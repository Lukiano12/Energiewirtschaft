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zenarien/"/>
    </mc:Choice>
  </mc:AlternateContent>
  <xr:revisionPtr revIDLastSave="1169" documentId="11_AD4DB114E441178AC67DF455D694D890693EDF26" xr6:coauthVersionLast="47" xr6:coauthVersionMax="47" xr10:uidLastSave="{6296C573-0BE2-4AD6-92F3-208F2CBC17F4}"/>
  <bookViews>
    <workbookView xWindow="-110" yWindow="-110" windowWidth="19420" windowHeight="10300" xr2:uid="{00000000-000D-0000-FFFF-FFFF00000000}"/>
  </bookViews>
  <sheets>
    <sheet name="NEP-Zahlen" sheetId="1" r:id="rId1"/>
    <sheet name="Faktor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G11" i="1" s="1"/>
  <c r="H5" i="1"/>
  <c r="H14" i="1"/>
  <c r="H15" i="1"/>
  <c r="H6" i="1"/>
  <c r="H7" i="1"/>
  <c r="H8" i="1"/>
  <c r="H9" i="1"/>
  <c r="H10" i="1"/>
  <c r="H12" i="1"/>
  <c r="H11" i="1"/>
  <c r="H25" i="1"/>
  <c r="H26" i="1"/>
  <c r="H19" i="1"/>
  <c r="H20" i="1"/>
  <c r="H18" i="1"/>
  <c r="H21" i="1"/>
  <c r="H22" i="1"/>
  <c r="H23" i="1"/>
  <c r="G5" i="1"/>
  <c r="G14" i="1"/>
  <c r="G15" i="1"/>
  <c r="G6" i="1"/>
  <c r="G7" i="1"/>
  <c r="G8" i="1"/>
  <c r="G9" i="1"/>
  <c r="G10" i="1"/>
  <c r="G12" i="1"/>
  <c r="G25" i="1"/>
  <c r="G26" i="1"/>
  <c r="G19" i="1"/>
  <c r="G20" i="1"/>
  <c r="G18" i="1"/>
  <c r="G21" i="1"/>
  <c r="G22" i="1"/>
  <c r="G23" i="1"/>
  <c r="E5" i="1"/>
  <c r="E14" i="1"/>
  <c r="E15" i="1"/>
  <c r="E6" i="1"/>
  <c r="E7" i="1"/>
  <c r="E8" i="1"/>
  <c r="E9" i="1"/>
  <c r="E10" i="1"/>
  <c r="E12" i="1"/>
  <c r="E25" i="1"/>
  <c r="E26" i="1"/>
  <c r="E19" i="1"/>
  <c r="E20" i="1"/>
  <c r="E18" i="1"/>
  <c r="E21" i="1"/>
  <c r="E22" i="1"/>
  <c r="E23" i="1"/>
  <c r="E11" i="1" l="1"/>
</calcChain>
</file>

<file path=xl/sharedStrings.xml><?xml version="1.0" encoding="utf-8"?>
<sst xmlns="http://schemas.openxmlformats.org/spreadsheetml/2006/main" count="119" uniqueCount="62">
  <si>
    <t>Szenarien</t>
  </si>
  <si>
    <t>Modell</t>
  </si>
  <si>
    <t>DE</t>
  </si>
  <si>
    <t>4 RZ</t>
  </si>
  <si>
    <t>N-S</t>
  </si>
  <si>
    <t>Bezug</t>
  </si>
  <si>
    <t>Wärmepumpen</t>
  </si>
  <si>
    <t>Rechenzentren</t>
  </si>
  <si>
    <t>Elektrolyseure</t>
  </si>
  <si>
    <t>Einspeisung</t>
  </si>
  <si>
    <t>PV (privat und Freifläche)</t>
  </si>
  <si>
    <t>Wind Onshore</t>
  </si>
  <si>
    <t>Wind Offshore</t>
  </si>
  <si>
    <t>Braunkohle</t>
  </si>
  <si>
    <t>Biomasse</t>
  </si>
  <si>
    <t>Wasserkraft</t>
  </si>
  <si>
    <t>regn. Erzeugung (Rest)</t>
  </si>
  <si>
    <t>Speicher</t>
  </si>
  <si>
    <t>Batterien</t>
  </si>
  <si>
    <t>Speicherkraftwerke</t>
  </si>
  <si>
    <t>Zuwachs seit 2024</t>
  </si>
  <si>
    <t>Zuwachs seit 2037</t>
  </si>
  <si>
    <t>Biomasse [GW]</t>
  </si>
  <si>
    <t>Wasserkraft [GW]</t>
  </si>
  <si>
    <t>regn. Erzeugungen [GW]</t>
  </si>
  <si>
    <t>Netto Stromverbrauch [GWh]</t>
  </si>
  <si>
    <t>Power-to-Heat [GW]</t>
  </si>
  <si>
    <t>Elektrolyse [GW]</t>
  </si>
  <si>
    <t>Elektromobilität</t>
  </si>
  <si>
    <t>Quelle RZ 2024: https://www.handelsblatt.com/technik/it-internet/rechenzentren-wie-laesst-sich-der-energiebedarf-nachhaltig-decken/100165699.html</t>
  </si>
  <si>
    <t>-</t>
  </si>
  <si>
    <t>Nettostromverbrauch</t>
  </si>
  <si>
    <t>Rest (v. a. Haushalt und Industrie,…)</t>
  </si>
  <si>
    <t>Basis</t>
  </si>
  <si>
    <t>alle anderen konventionellen</t>
  </si>
  <si>
    <t>Steinkohle (H2-ready) und Gas</t>
  </si>
  <si>
    <t>Individuelle Ausbaufaktoren werden in Config gesetzt (Basiswert = 1)</t>
  </si>
  <si>
    <t>Einspeisung [GW]</t>
  </si>
  <si>
    <t>Bezug [GWh]</t>
  </si>
  <si>
    <t>Wärme privat</t>
  </si>
  <si>
    <t>Wärme gewerblich</t>
  </si>
  <si>
    <t>gesamt</t>
  </si>
  <si>
    <t>Restlast (Haushalte, Industrie,…)</t>
  </si>
  <si>
    <t>Elektromobilität (Ladesäulen)</t>
  </si>
  <si>
    <t>…</t>
  </si>
  <si>
    <t>Netto abzüglich extra Lastprofile</t>
  </si>
  <si>
    <t>Erklärung zu Lastprofilen</t>
  </si>
  <si>
    <t>von SMARD</t>
  </si>
  <si>
    <t>selbst erstellt</t>
  </si>
  <si>
    <t>keins; Merit Order</t>
  </si>
  <si>
    <t>Lastgang minus extra modellierte Lastprofile (JEB muss in Summe stimmen!)</t>
  </si>
  <si>
    <t>nicht Betrachtung da dynamisch</t>
  </si>
  <si>
    <t>selbst erstellt (konstante Last)</t>
  </si>
  <si>
    <t>Werte nach NEP -&gt; Lastprofilerstellung</t>
  </si>
  <si>
    <t>Thermische Kraftwerke</t>
  </si>
  <si>
    <t>Pumpspeicher</t>
  </si>
  <si>
    <t>Photovoltaik</t>
  </si>
  <si>
    <t>onshore</t>
  </si>
  <si>
    <t>offshore</t>
  </si>
  <si>
    <t>Wind</t>
  </si>
  <si>
    <t>abzüglich Bus und Bahn</t>
  </si>
  <si>
    <t>kompensiert Redispatch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</si>
</sst>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 style="dashed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0" fillId="4" borderId="0" xfId="0" applyFill="1"/>
    <xf numFmtId="0" fontId="0" fillId="6" borderId="0" xfId="0" applyFill="1"/>
    <xf numFmtId="2" fontId="6" fillId="2" borderId="8" xfId="0" applyNumberFormat="1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8" fillId="2" borderId="15" xfId="0" applyNumberFormat="1" applyFont="1" applyFill="1" applyBorder="1" applyAlignment="1">
      <alignment horizontal="center"/>
    </xf>
    <xf numFmtId="2" fontId="8" fillId="3" borderId="14" xfId="0" applyNumberFormat="1" applyFont="1" applyFill="1" applyBorder="1" applyAlignment="1">
      <alignment horizontal="center"/>
    </xf>
    <xf numFmtId="2" fontId="8" fillId="3" borderId="15" xfId="0" applyNumberFormat="1" applyFont="1" applyFill="1" applyBorder="1" applyAlignment="1">
      <alignment horizontal="center"/>
    </xf>
    <xf numFmtId="2" fontId="8" fillId="3" borderId="18" xfId="0" applyNumberFormat="1" applyFont="1" applyFill="1" applyBorder="1" applyAlignment="1">
      <alignment horizontal="center"/>
    </xf>
    <xf numFmtId="0" fontId="5" fillId="3" borderId="2" xfId="0" applyFont="1" applyFill="1" applyBorder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1" fillId="7" borderId="34" xfId="0" applyFont="1" applyFill="1" applyBorder="1"/>
    <xf numFmtId="0" fontId="1" fillId="7" borderId="36" xfId="0" applyFont="1" applyFill="1" applyBorder="1"/>
    <xf numFmtId="0" fontId="0" fillId="7" borderId="36" xfId="0" applyFill="1" applyBorder="1"/>
    <xf numFmtId="49" fontId="0" fillId="7" borderId="36" xfId="0" applyNumberFormat="1" applyFill="1" applyBorder="1"/>
    <xf numFmtId="0" fontId="1" fillId="7" borderId="32" xfId="0" applyFont="1" applyFill="1" applyBorder="1"/>
    <xf numFmtId="0" fontId="5" fillId="7" borderId="13" xfId="0" applyFont="1" applyFill="1" applyBorder="1" applyAlignment="1">
      <alignment horizontal="left" vertical="top"/>
    </xf>
    <xf numFmtId="2" fontId="0" fillId="7" borderId="13" xfId="0" applyNumberFormat="1" applyFill="1" applyBorder="1" applyAlignment="1">
      <alignment horizontal="center" vertical="center"/>
    </xf>
    <xf numFmtId="0" fontId="5" fillId="7" borderId="34" xfId="0" applyFont="1" applyFill="1" applyBorder="1"/>
    <xf numFmtId="0" fontId="3" fillId="7" borderId="39" xfId="0" applyFont="1" applyFill="1" applyBorder="1"/>
    <xf numFmtId="0" fontId="1" fillId="7" borderId="23" xfId="0" applyFont="1" applyFill="1" applyBorder="1"/>
    <xf numFmtId="0" fontId="1" fillId="7" borderId="25" xfId="0" applyFont="1" applyFill="1" applyBorder="1" applyAlignment="1">
      <alignment horizontal="center"/>
    </xf>
    <xf numFmtId="0" fontId="1" fillId="7" borderId="24" xfId="0" applyFont="1" applyFill="1" applyBorder="1"/>
    <xf numFmtId="0" fontId="1" fillId="7" borderId="6" xfId="0" applyFont="1" applyFill="1" applyBorder="1"/>
    <xf numFmtId="0" fontId="1" fillId="7" borderId="8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0" fillId="5" borderId="0" xfId="0" applyFill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2" fontId="0" fillId="5" borderId="4" xfId="0" applyNumberFormat="1" applyFill="1" applyBorder="1"/>
    <xf numFmtId="2" fontId="4" fillId="5" borderId="3" xfId="0" applyNumberFormat="1" applyFont="1" applyFill="1" applyBorder="1"/>
    <xf numFmtId="0" fontId="5" fillId="7" borderId="36" xfId="0" applyFont="1" applyFill="1" applyBorder="1"/>
    <xf numFmtId="0" fontId="5" fillId="6" borderId="5" xfId="0" applyFont="1" applyFill="1" applyBorder="1"/>
    <xf numFmtId="2" fontId="6" fillId="6" borderId="9" xfId="0" applyNumberFormat="1" applyFont="1" applyFill="1" applyBorder="1" applyAlignment="1">
      <alignment horizontal="center"/>
    </xf>
    <xf numFmtId="2" fontId="8" fillId="7" borderId="19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38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3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8" borderId="0" xfId="0" applyFont="1" applyFill="1"/>
    <xf numFmtId="0" fontId="7" fillId="8" borderId="3" xfId="0" applyFont="1" applyFill="1" applyBorder="1"/>
    <xf numFmtId="2" fontId="7" fillId="5" borderId="3" xfId="0" applyNumberFormat="1" applyFont="1" applyFill="1" applyBorder="1"/>
    <xf numFmtId="2" fontId="7" fillId="5" borderId="4" xfId="0" applyNumberFormat="1" applyFont="1" applyFill="1" applyBorder="1"/>
    <xf numFmtId="0" fontId="0" fillId="8" borderId="0" xfId="0" applyFill="1" applyAlignment="1">
      <alignment horizontal="left" vertical="top" wrapText="1"/>
    </xf>
    <xf numFmtId="2" fontId="6" fillId="5" borderId="3" xfId="0" applyNumberFormat="1" applyFont="1" applyFill="1" applyBorder="1"/>
    <xf numFmtId="2" fontId="5" fillId="6" borderId="17" xfId="0" applyNumberFormat="1" applyFont="1" applyFill="1" applyBorder="1" applyAlignment="1">
      <alignment horizontal="center"/>
    </xf>
    <xf numFmtId="0" fontId="5" fillId="7" borderId="0" xfId="0" applyFont="1" applyFill="1"/>
    <xf numFmtId="2" fontId="0" fillId="7" borderId="8" xfId="0" applyNumberForma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37" xfId="0" applyFont="1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2" fontId="8" fillId="4" borderId="15" xfId="0" applyNumberFormat="1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37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2" borderId="0" xfId="0" applyFill="1"/>
    <xf numFmtId="0" fontId="5" fillId="5" borderId="2" xfId="0" applyFont="1" applyFill="1" applyBorder="1"/>
    <xf numFmtId="2" fontId="0" fillId="5" borderId="7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5" fillId="5" borderId="0" xfId="0" applyFont="1" applyFill="1"/>
    <xf numFmtId="2" fontId="0" fillId="5" borderId="8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5" xfId="0" applyFill="1" applyBorder="1" applyAlignment="1">
      <alignment horizontal="center"/>
    </xf>
    <xf numFmtId="0" fontId="5" fillId="5" borderId="40" xfId="0" applyFont="1" applyFill="1" applyBorder="1"/>
    <xf numFmtId="2" fontId="0" fillId="5" borderId="41" xfId="0" applyNumberFormat="1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10" fillId="0" borderId="0" xfId="0" applyFont="1"/>
    <xf numFmtId="0" fontId="10" fillId="8" borderId="3" xfId="0" applyFont="1" applyFill="1" applyBorder="1"/>
    <xf numFmtId="0" fontId="1" fillId="8" borderId="23" xfId="0" applyFont="1" applyFill="1" applyBorder="1"/>
    <xf numFmtId="0" fontId="0" fillId="8" borderId="27" xfId="0" applyFill="1" applyBorder="1"/>
    <xf numFmtId="0" fontId="0" fillId="8" borderId="26" xfId="0" applyFill="1" applyBorder="1"/>
    <xf numFmtId="2" fontId="4" fillId="5" borderId="26" xfId="0" applyNumberFormat="1" applyFont="1" applyFill="1" applyBorder="1"/>
    <xf numFmtId="2" fontId="0" fillId="5" borderId="24" xfId="0" applyNumberFormat="1" applyFill="1" applyBorder="1"/>
    <xf numFmtId="0" fontId="0" fillId="8" borderId="44" xfId="0" applyFill="1" applyBorder="1"/>
    <xf numFmtId="0" fontId="0" fillId="8" borderId="36" xfId="0" applyFill="1" applyBorder="1"/>
    <xf numFmtId="0" fontId="0" fillId="8" borderId="45" xfId="0" applyFill="1" applyBorder="1"/>
    <xf numFmtId="0" fontId="7" fillId="8" borderId="45" xfId="0" applyFont="1" applyFill="1" applyBorder="1"/>
    <xf numFmtId="0" fontId="7" fillId="8" borderId="36" xfId="0" applyFont="1" applyFill="1" applyBorder="1"/>
    <xf numFmtId="0" fontId="0" fillId="8" borderId="39" xfId="0" applyFill="1" applyBorder="1"/>
    <xf numFmtId="0" fontId="0" fillId="8" borderId="40" xfId="0" applyFill="1" applyBorder="1"/>
    <xf numFmtId="0" fontId="0" fillId="8" borderId="42" xfId="0" applyFill="1" applyBorder="1"/>
    <xf numFmtId="2" fontId="4" fillId="5" borderId="42" xfId="0" applyNumberFormat="1" applyFont="1" applyFill="1" applyBorder="1"/>
    <xf numFmtId="2" fontId="0" fillId="5" borderId="49" xfId="0" applyNumberFormat="1" applyFill="1" applyBorder="1"/>
    <xf numFmtId="0" fontId="0" fillId="8" borderId="46" xfId="0" applyFill="1" applyBorder="1"/>
    <xf numFmtId="0" fontId="7" fillId="8" borderId="39" xfId="0" applyFont="1" applyFill="1" applyBorder="1"/>
    <xf numFmtId="0" fontId="7" fillId="8" borderId="40" xfId="0" applyFont="1" applyFill="1" applyBorder="1"/>
    <xf numFmtId="0" fontId="7" fillId="8" borderId="42" xfId="0" applyFont="1" applyFill="1" applyBorder="1"/>
    <xf numFmtId="2" fontId="7" fillId="5" borderId="42" xfId="0" applyNumberFormat="1" applyFont="1" applyFill="1" applyBorder="1"/>
    <xf numFmtId="2" fontId="7" fillId="5" borderId="49" xfId="0" applyNumberFormat="1" applyFont="1" applyFill="1" applyBorder="1"/>
    <xf numFmtId="0" fontId="7" fillId="8" borderId="46" xfId="0" applyFont="1" applyFill="1" applyBorder="1"/>
    <xf numFmtId="0" fontId="1" fillId="8" borderId="50" xfId="0" applyFont="1" applyFill="1" applyBorder="1"/>
    <xf numFmtId="0" fontId="1" fillId="5" borderId="51" xfId="0" applyFont="1" applyFill="1" applyBorder="1"/>
    <xf numFmtId="0" fontId="1" fillId="8" borderId="52" xfId="0" applyFont="1" applyFill="1" applyBorder="1"/>
    <xf numFmtId="0" fontId="1" fillId="5" borderId="52" xfId="0" applyFont="1" applyFill="1" applyBorder="1"/>
    <xf numFmtId="0" fontId="1" fillId="8" borderId="53" xfId="0" applyFont="1" applyFill="1" applyBorder="1"/>
    <xf numFmtId="0" fontId="0" fillId="8" borderId="8" xfId="0" applyFill="1" applyBorder="1"/>
    <xf numFmtId="0" fontId="1" fillId="7" borderId="26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16</xdr:col>
      <xdr:colOff>511100</xdr:colOff>
      <xdr:row>26</xdr:row>
      <xdr:rowOff>52041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B400352-B11E-4761-A946-14569523F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0" y="2362200"/>
          <a:ext cx="4425875" cy="25952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tabSelected="1" zoomScale="77" zoomScaleNormal="100" workbookViewId="0">
      <selection activeCell="J7" sqref="J7"/>
    </sheetView>
  </sheetViews>
  <sheetFormatPr baseColWidth="10" defaultColWidth="9.08984375" defaultRowHeight="14.5" x14ac:dyDescent="0.35"/>
  <cols>
    <col min="2" max="2" width="30.08984375" bestFit="1" customWidth="1"/>
    <col min="3" max="3" width="30.26953125" bestFit="1" customWidth="1"/>
    <col min="4" max="4" width="6" bestFit="1" customWidth="1"/>
    <col min="5" max="5" width="16.81640625" bestFit="1" customWidth="1"/>
    <col min="6" max="6" width="6" bestFit="1" customWidth="1"/>
    <col min="7" max="8" width="16.81640625" bestFit="1" customWidth="1"/>
    <col min="9" max="9" width="7" bestFit="1" customWidth="1"/>
  </cols>
  <sheetData>
    <row r="2" spans="2:11" ht="15" thickBot="1" x14ac:dyDescent="0.4"/>
    <row r="3" spans="2:11" ht="15" thickBot="1" x14ac:dyDescent="0.4">
      <c r="D3" s="123">
        <v>2024</v>
      </c>
      <c r="E3" s="124" t="s">
        <v>20</v>
      </c>
      <c r="F3" s="125">
        <v>2037</v>
      </c>
      <c r="G3" s="124" t="s">
        <v>20</v>
      </c>
      <c r="H3" s="126" t="s">
        <v>21</v>
      </c>
      <c r="I3" s="127">
        <v>2045</v>
      </c>
    </row>
    <row r="4" spans="2:11" x14ac:dyDescent="0.35">
      <c r="B4" s="101" t="s">
        <v>38</v>
      </c>
      <c r="C4" s="102"/>
      <c r="D4" s="103"/>
      <c r="E4" s="104"/>
      <c r="F4" s="102"/>
      <c r="G4" s="104"/>
      <c r="H4" s="105"/>
      <c r="I4" s="106"/>
    </row>
    <row r="5" spans="2:11" x14ac:dyDescent="0.35">
      <c r="B5" s="107" t="s">
        <v>25</v>
      </c>
      <c r="C5" s="40"/>
      <c r="D5" s="38">
        <v>464.4</v>
      </c>
      <c r="E5" s="65">
        <f>F5/D5</f>
        <v>2.0600775193798451</v>
      </c>
      <c r="F5" s="40">
        <v>956.7</v>
      </c>
      <c r="G5" s="65">
        <f>I5/D5</f>
        <v>2.3725236864771748</v>
      </c>
      <c r="H5" s="41">
        <f>I5/F5</f>
        <v>1.15166718929654</v>
      </c>
      <c r="I5" s="108">
        <v>1101.8</v>
      </c>
    </row>
    <row r="6" spans="2:11" x14ac:dyDescent="0.35">
      <c r="B6" s="107" t="s">
        <v>28</v>
      </c>
      <c r="C6" s="60" t="s">
        <v>60</v>
      </c>
      <c r="D6" s="38">
        <v>3</v>
      </c>
      <c r="E6" s="42">
        <f t="shared" ref="E6:E23" si="0">F6/D6</f>
        <v>43</v>
      </c>
      <c r="F6" s="40">
        <v>129</v>
      </c>
      <c r="G6" s="42">
        <f t="shared" ref="G6:G23" si="1">I6/D6</f>
        <v>54.933333333333337</v>
      </c>
      <c r="H6" s="41">
        <f t="shared" ref="H6:H23" si="2">I6/F6</f>
        <v>1.2775193798449613</v>
      </c>
      <c r="I6" s="108">
        <v>164.8</v>
      </c>
    </row>
    <row r="7" spans="2:11" x14ac:dyDescent="0.35">
      <c r="B7" s="107" t="s">
        <v>6</v>
      </c>
      <c r="C7" s="40" t="s">
        <v>41</v>
      </c>
      <c r="D7" s="38">
        <v>11.600000000000001</v>
      </c>
      <c r="E7" s="42">
        <f t="shared" si="0"/>
        <v>5.7844827586206886</v>
      </c>
      <c r="F7" s="40">
        <v>67.099999999999994</v>
      </c>
      <c r="G7" s="42">
        <f t="shared" si="1"/>
        <v>8.9137931034482758</v>
      </c>
      <c r="H7" s="41">
        <f t="shared" si="2"/>
        <v>1.5409836065573772</v>
      </c>
      <c r="I7" s="108">
        <v>103.4</v>
      </c>
    </row>
    <row r="8" spans="2:11" x14ac:dyDescent="0.35">
      <c r="B8" s="107"/>
      <c r="C8" s="60" t="s">
        <v>39</v>
      </c>
      <c r="D8" s="61">
        <v>10.3</v>
      </c>
      <c r="E8" s="62">
        <f t="shared" si="0"/>
        <v>4.8349514563106792</v>
      </c>
      <c r="F8" s="60">
        <v>49.8</v>
      </c>
      <c r="G8" s="62">
        <f t="shared" si="1"/>
        <v>7.8446601941747565</v>
      </c>
      <c r="H8" s="63">
        <f t="shared" si="2"/>
        <v>1.6224899598393574</v>
      </c>
      <c r="I8" s="109">
        <v>80.8</v>
      </c>
    </row>
    <row r="9" spans="2:11" x14ac:dyDescent="0.35">
      <c r="B9" s="107"/>
      <c r="C9" s="60" t="s">
        <v>40</v>
      </c>
      <c r="D9" s="61">
        <v>1.3</v>
      </c>
      <c r="E9" s="62">
        <f t="shared" si="0"/>
        <v>13.307692307692308</v>
      </c>
      <c r="F9" s="60">
        <v>17.3</v>
      </c>
      <c r="G9" s="62">
        <f t="shared" si="1"/>
        <v>17.384615384615387</v>
      </c>
      <c r="H9" s="63">
        <f t="shared" si="2"/>
        <v>1.3063583815028903</v>
      </c>
      <c r="I9" s="109">
        <v>22.6</v>
      </c>
    </row>
    <row r="10" spans="2:11" x14ac:dyDescent="0.35">
      <c r="B10" s="107" t="s">
        <v>7</v>
      </c>
      <c r="C10" s="40"/>
      <c r="D10" s="100">
        <v>20</v>
      </c>
      <c r="E10" s="42">
        <f t="shared" si="0"/>
        <v>5.8650000000000002</v>
      </c>
      <c r="F10" s="40">
        <v>117.3</v>
      </c>
      <c r="G10" s="42">
        <f t="shared" si="1"/>
        <v>5.8650000000000002</v>
      </c>
      <c r="H10" s="41">
        <f t="shared" si="2"/>
        <v>1</v>
      </c>
      <c r="I10" s="108">
        <v>117.3</v>
      </c>
      <c r="K10" s="99" t="s">
        <v>29</v>
      </c>
    </row>
    <row r="11" spans="2:11" x14ac:dyDescent="0.35">
      <c r="B11" s="107" t="s">
        <v>42</v>
      </c>
      <c r="C11" s="60" t="s">
        <v>45</v>
      </c>
      <c r="D11" s="128">
        <f>D5-D6-D7-D10</f>
        <v>429.79999999999995</v>
      </c>
      <c r="E11" s="42">
        <f>F11/D11</f>
        <v>1.2305723592368547</v>
      </c>
      <c r="F11" s="39">
        <v>528.90000000000009</v>
      </c>
      <c r="G11" s="42">
        <f>I11/D11</f>
        <v>1.1984644020474644</v>
      </c>
      <c r="H11" s="41">
        <f>I11/F11</f>
        <v>0.97390811117413512</v>
      </c>
      <c r="I11" s="108">
        <v>515.10000000000014</v>
      </c>
    </row>
    <row r="12" spans="2:11" x14ac:dyDescent="0.35">
      <c r="B12" s="107" t="s">
        <v>8</v>
      </c>
      <c r="C12" s="40"/>
      <c r="D12" s="61">
        <v>0</v>
      </c>
      <c r="E12" s="62" t="e">
        <f>F12/D12</f>
        <v>#DIV/0!</v>
      </c>
      <c r="F12" s="60">
        <v>114.4</v>
      </c>
      <c r="G12" s="62" t="e">
        <f>I12/D12</f>
        <v>#DIV/0!</v>
      </c>
      <c r="H12" s="63">
        <f>I12/F12</f>
        <v>1.7587412587412585</v>
      </c>
      <c r="I12" s="109">
        <v>201.2</v>
      </c>
    </row>
    <row r="13" spans="2:11" x14ac:dyDescent="0.35">
      <c r="B13" s="107"/>
      <c r="C13" s="64"/>
      <c r="D13" s="38"/>
      <c r="E13" s="42"/>
      <c r="F13" s="40"/>
      <c r="G13" s="42"/>
      <c r="H13" s="41"/>
      <c r="I13" s="108"/>
    </row>
    <row r="14" spans="2:11" x14ac:dyDescent="0.35">
      <c r="B14" s="110" t="s">
        <v>26</v>
      </c>
      <c r="C14" s="60"/>
      <c r="D14" s="61">
        <v>0.8</v>
      </c>
      <c r="E14" s="62">
        <f>F14/D14</f>
        <v>31.625</v>
      </c>
      <c r="F14" s="60">
        <v>25.3</v>
      </c>
      <c r="G14" s="62">
        <f>I14/D14</f>
        <v>32.625</v>
      </c>
      <c r="H14" s="63">
        <f>I14/F14</f>
        <v>1.0316205533596838</v>
      </c>
      <c r="I14" s="109">
        <v>26.1</v>
      </c>
    </row>
    <row r="15" spans="2:11" x14ac:dyDescent="0.35">
      <c r="B15" s="110" t="s">
        <v>27</v>
      </c>
      <c r="C15" s="60"/>
      <c r="D15" s="61">
        <v>0.2</v>
      </c>
      <c r="E15" s="62">
        <f>F15/D15</f>
        <v>210</v>
      </c>
      <c r="F15" s="60">
        <v>42</v>
      </c>
      <c r="G15" s="62">
        <f>I15/D15</f>
        <v>292.5</v>
      </c>
      <c r="H15" s="63">
        <f>I15/F15</f>
        <v>1.3928571428571428</v>
      </c>
      <c r="I15" s="109">
        <v>58.5</v>
      </c>
    </row>
    <row r="16" spans="2:11" ht="15" thickBot="1" x14ac:dyDescent="0.4">
      <c r="B16" s="111"/>
      <c r="C16" s="112"/>
      <c r="D16" s="113"/>
      <c r="E16" s="114"/>
      <c r="F16" s="112"/>
      <c r="G16" s="114"/>
      <c r="H16" s="115"/>
      <c r="I16" s="116"/>
    </row>
    <row r="17" spans="2:9" x14ac:dyDescent="0.35">
      <c r="B17" s="101" t="s">
        <v>37</v>
      </c>
      <c r="C17" s="102"/>
      <c r="D17" s="103"/>
      <c r="E17" s="104"/>
      <c r="F17" s="102"/>
      <c r="G17" s="104"/>
      <c r="H17" s="105"/>
      <c r="I17" s="106"/>
    </row>
    <row r="18" spans="2:9" x14ac:dyDescent="0.35">
      <c r="B18" s="107" t="s">
        <v>56</v>
      </c>
      <c r="C18" s="40"/>
      <c r="D18" s="38">
        <v>99.8</v>
      </c>
      <c r="E18" s="42">
        <f>F18/D18</f>
        <v>3.4609218436873745</v>
      </c>
      <c r="F18" s="40">
        <v>345.4</v>
      </c>
      <c r="G18" s="42">
        <f>I18/D18</f>
        <v>4.0080160320641287</v>
      </c>
      <c r="H18" s="41">
        <f>I18/F18</f>
        <v>1.1580775911986103</v>
      </c>
      <c r="I18" s="108">
        <v>400</v>
      </c>
    </row>
    <row r="19" spans="2:9" x14ac:dyDescent="0.35">
      <c r="B19" s="107" t="s">
        <v>59</v>
      </c>
      <c r="C19" s="40" t="s">
        <v>57</v>
      </c>
      <c r="D19" s="38">
        <v>63.5</v>
      </c>
      <c r="E19" s="42">
        <f>F19/D19</f>
        <v>2.491338582677165</v>
      </c>
      <c r="F19" s="40">
        <v>158.19999999999999</v>
      </c>
      <c r="G19" s="42">
        <f>I19/D19</f>
        <v>2.5196850393700787</v>
      </c>
      <c r="H19" s="41">
        <f>I19/F19</f>
        <v>1.0113780025284451</v>
      </c>
      <c r="I19" s="108">
        <v>160</v>
      </c>
    </row>
    <row r="20" spans="2:9" x14ac:dyDescent="0.35">
      <c r="B20" s="107"/>
      <c r="C20" s="40" t="s">
        <v>58</v>
      </c>
      <c r="D20" s="38">
        <v>9.1999999999999993</v>
      </c>
      <c r="E20" s="42">
        <f>F20/D20</f>
        <v>6.0869565217391308</v>
      </c>
      <c r="F20" s="40">
        <v>56</v>
      </c>
      <c r="G20" s="42">
        <f>I20/D20</f>
        <v>7.608695652173914</v>
      </c>
      <c r="H20" s="41">
        <f>I20/F20</f>
        <v>1.25</v>
      </c>
      <c r="I20" s="108">
        <v>70</v>
      </c>
    </row>
    <row r="21" spans="2:9" x14ac:dyDescent="0.35">
      <c r="B21" s="107" t="s">
        <v>22</v>
      </c>
      <c r="C21" s="40"/>
      <c r="D21" s="38">
        <v>9.1</v>
      </c>
      <c r="E21" s="42">
        <f t="shared" si="0"/>
        <v>0.5494505494505495</v>
      </c>
      <c r="F21" s="40">
        <v>5</v>
      </c>
      <c r="G21" s="42">
        <f t="shared" si="1"/>
        <v>0.32967032967032966</v>
      </c>
      <c r="H21" s="41">
        <f t="shared" si="2"/>
        <v>0.6</v>
      </c>
      <c r="I21" s="108">
        <v>3</v>
      </c>
    </row>
    <row r="22" spans="2:9" x14ac:dyDescent="0.35">
      <c r="B22" s="107" t="s">
        <v>23</v>
      </c>
      <c r="C22" s="40"/>
      <c r="D22" s="38">
        <v>4.5999999999999996</v>
      </c>
      <c r="E22" s="42">
        <f t="shared" si="0"/>
        <v>1</v>
      </c>
      <c r="F22" s="40">
        <v>4.5999999999999996</v>
      </c>
      <c r="G22" s="42">
        <f t="shared" si="1"/>
        <v>1</v>
      </c>
      <c r="H22" s="41">
        <f t="shared" si="2"/>
        <v>1</v>
      </c>
      <c r="I22" s="108">
        <v>4.5999999999999996</v>
      </c>
    </row>
    <row r="23" spans="2:9" x14ac:dyDescent="0.35">
      <c r="B23" s="107" t="s">
        <v>24</v>
      </c>
      <c r="C23" s="40"/>
      <c r="D23" s="38">
        <v>0.9</v>
      </c>
      <c r="E23" s="42">
        <f t="shared" si="0"/>
        <v>1.1111111111111112</v>
      </c>
      <c r="F23" s="40">
        <v>1</v>
      </c>
      <c r="G23" s="42">
        <f t="shared" si="1"/>
        <v>1.1111111111111112</v>
      </c>
      <c r="H23" s="41">
        <f t="shared" si="2"/>
        <v>1</v>
      </c>
      <c r="I23" s="108">
        <v>1</v>
      </c>
    </row>
    <row r="24" spans="2:9" x14ac:dyDescent="0.35">
      <c r="B24" s="107"/>
      <c r="C24" s="40"/>
      <c r="D24" s="38"/>
      <c r="E24" s="42"/>
      <c r="F24" s="40"/>
      <c r="G24" s="42"/>
      <c r="H24" s="41"/>
      <c r="I24" s="108"/>
    </row>
    <row r="25" spans="2:9" x14ac:dyDescent="0.35">
      <c r="B25" s="110" t="s">
        <v>54</v>
      </c>
      <c r="C25" s="60"/>
      <c r="D25" s="61">
        <v>75.8</v>
      </c>
      <c r="E25" s="62">
        <f>F25/D25</f>
        <v>0.84696569920844333</v>
      </c>
      <c r="F25" s="60">
        <v>64.2</v>
      </c>
      <c r="G25" s="62">
        <f>I25/D25</f>
        <v>1.1015831134564644</v>
      </c>
      <c r="H25" s="63">
        <f>I25/F25</f>
        <v>1.3006230529595015</v>
      </c>
      <c r="I25" s="109">
        <v>83.5</v>
      </c>
    </row>
    <row r="26" spans="2:9" ht="15" thickBot="1" x14ac:dyDescent="0.4">
      <c r="B26" s="117" t="s">
        <v>55</v>
      </c>
      <c r="C26" s="118"/>
      <c r="D26" s="119">
        <v>9.9</v>
      </c>
      <c r="E26" s="120">
        <f>F26/D26</f>
        <v>1.2121212121212122</v>
      </c>
      <c r="F26" s="118">
        <v>12</v>
      </c>
      <c r="G26" s="120">
        <f>I26/D26</f>
        <v>1.2121212121212122</v>
      </c>
      <c r="H26" s="121">
        <f>I26/F26</f>
        <v>1</v>
      </c>
      <c r="I26" s="122">
        <v>12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773-CEE9-426A-AE58-E89767AE7C39}">
  <dimension ref="B2:N25"/>
  <sheetViews>
    <sheetView workbookViewId="0">
      <selection activeCell="D7" sqref="D7:I7"/>
    </sheetView>
  </sheetViews>
  <sheetFormatPr baseColWidth="10" defaultRowHeight="14.5" x14ac:dyDescent="0.35"/>
  <cols>
    <col min="2" max="2" width="11.6328125" bestFit="1" customWidth="1"/>
    <col min="3" max="3" width="33.36328125" bestFit="1" customWidth="1"/>
    <col min="4" max="12" width="7.08984375" customWidth="1"/>
    <col min="14" max="14" width="72.26953125" bestFit="1" customWidth="1"/>
  </cols>
  <sheetData>
    <row r="2" spans="2:14" ht="15" thickBot="1" x14ac:dyDescent="0.4"/>
    <row r="3" spans="2:14" x14ac:dyDescent="0.35">
      <c r="B3" s="25" t="s">
        <v>0</v>
      </c>
      <c r="C3" s="27"/>
      <c r="D3" s="26">
        <v>2024</v>
      </c>
      <c r="E3" s="129">
        <v>2037</v>
      </c>
      <c r="F3" s="130"/>
      <c r="G3" s="130"/>
      <c r="H3" s="130"/>
      <c r="I3" s="131">
        <v>2045</v>
      </c>
      <c r="J3" s="132"/>
      <c r="K3" s="133"/>
      <c r="L3" s="134"/>
      <c r="N3" s="1" t="s">
        <v>46</v>
      </c>
    </row>
    <row r="4" spans="2:14" x14ac:dyDescent="0.35">
      <c r="B4" s="20" t="s">
        <v>1</v>
      </c>
      <c r="C4" s="28"/>
      <c r="D4" s="29" t="s">
        <v>2</v>
      </c>
      <c r="E4" s="30" t="s">
        <v>33</v>
      </c>
      <c r="F4" s="31" t="s">
        <v>2</v>
      </c>
      <c r="G4" s="31" t="s">
        <v>3</v>
      </c>
      <c r="H4" s="32" t="s">
        <v>4</v>
      </c>
      <c r="I4" s="33" t="s">
        <v>33</v>
      </c>
      <c r="J4" s="34" t="s">
        <v>2</v>
      </c>
      <c r="K4" s="35" t="s">
        <v>3</v>
      </c>
      <c r="L4" s="36" t="s">
        <v>4</v>
      </c>
    </row>
    <row r="5" spans="2:14" x14ac:dyDescent="0.35">
      <c r="B5" s="16" t="s">
        <v>5</v>
      </c>
      <c r="C5" s="21" t="s">
        <v>31</v>
      </c>
      <c r="D5" s="22">
        <v>1</v>
      </c>
      <c r="E5" s="46">
        <v>2.0600775193798451</v>
      </c>
      <c r="F5" s="47" t="s">
        <v>30</v>
      </c>
      <c r="G5" s="48" t="s">
        <v>30</v>
      </c>
      <c r="H5" s="48" t="s">
        <v>30</v>
      </c>
      <c r="I5" s="46">
        <v>2.3725236864771748</v>
      </c>
      <c r="J5" s="47" t="s">
        <v>30</v>
      </c>
      <c r="K5" s="48" t="s">
        <v>30</v>
      </c>
      <c r="L5" s="49" t="s">
        <v>30</v>
      </c>
      <c r="N5" s="80" t="s">
        <v>47</v>
      </c>
    </row>
    <row r="6" spans="2:14" x14ac:dyDescent="0.35">
      <c r="B6" s="18"/>
      <c r="C6" s="14" t="s">
        <v>43</v>
      </c>
      <c r="D6" s="4">
        <v>1</v>
      </c>
      <c r="E6" s="8">
        <v>43</v>
      </c>
      <c r="F6" s="50" t="s">
        <v>30</v>
      </c>
      <c r="G6" s="50" t="s">
        <v>30</v>
      </c>
      <c r="H6" s="50" t="s">
        <v>30</v>
      </c>
      <c r="I6" s="8">
        <v>54.933333333333337</v>
      </c>
      <c r="J6" s="50" t="s">
        <v>30</v>
      </c>
      <c r="K6" s="50" t="s">
        <v>30</v>
      </c>
      <c r="L6" s="51" t="s">
        <v>30</v>
      </c>
      <c r="N6" s="81" t="s">
        <v>48</v>
      </c>
    </row>
    <row r="7" spans="2:14" x14ac:dyDescent="0.35">
      <c r="B7" s="19"/>
      <c r="C7" s="14" t="s">
        <v>6</v>
      </c>
      <c r="D7" s="4">
        <v>1</v>
      </c>
      <c r="E7" s="8">
        <v>5.7844827586206886</v>
      </c>
      <c r="F7" s="50" t="s">
        <v>30</v>
      </c>
      <c r="G7" s="50" t="s">
        <v>30</v>
      </c>
      <c r="H7" s="50" t="s">
        <v>30</v>
      </c>
      <c r="I7" s="8">
        <v>8.9137931034482758</v>
      </c>
      <c r="J7" s="50" t="s">
        <v>30</v>
      </c>
      <c r="K7" s="50" t="s">
        <v>30</v>
      </c>
      <c r="L7" s="51" t="s">
        <v>30</v>
      </c>
      <c r="N7" s="81" t="s">
        <v>48</v>
      </c>
    </row>
    <row r="8" spans="2:14" x14ac:dyDescent="0.35">
      <c r="B8" s="17"/>
      <c r="C8" s="14" t="s">
        <v>7</v>
      </c>
      <c r="D8" s="5">
        <v>1</v>
      </c>
      <c r="E8" s="8">
        <v>5.8650000000000002</v>
      </c>
      <c r="F8" s="50" t="s">
        <v>30</v>
      </c>
      <c r="G8" s="50" t="s">
        <v>30</v>
      </c>
      <c r="H8" s="50" t="s">
        <v>30</v>
      </c>
      <c r="I8" s="8">
        <v>5.8650000000000002</v>
      </c>
      <c r="J8" s="50" t="s">
        <v>30</v>
      </c>
      <c r="K8" s="50" t="s">
        <v>30</v>
      </c>
      <c r="L8" s="51" t="s">
        <v>30</v>
      </c>
      <c r="N8" s="81" t="s">
        <v>52</v>
      </c>
    </row>
    <row r="9" spans="2:14" x14ac:dyDescent="0.35">
      <c r="B9" s="17"/>
      <c r="C9" s="15" t="s">
        <v>32</v>
      </c>
      <c r="D9" s="73">
        <v>1</v>
      </c>
      <c r="E9" s="74">
        <v>1.2305723592368547</v>
      </c>
      <c r="F9" s="75" t="s">
        <v>30</v>
      </c>
      <c r="G9" s="76" t="s">
        <v>30</v>
      </c>
      <c r="H9" s="76" t="s">
        <v>30</v>
      </c>
      <c r="I9" s="74">
        <v>1.1984644020474644</v>
      </c>
      <c r="J9" s="75" t="s">
        <v>30</v>
      </c>
      <c r="K9" s="76" t="s">
        <v>30</v>
      </c>
      <c r="L9" s="77" t="s">
        <v>30</v>
      </c>
      <c r="N9" s="2" t="s">
        <v>50</v>
      </c>
    </row>
    <row r="10" spans="2:14" x14ac:dyDescent="0.35">
      <c r="B10" s="20"/>
      <c r="C10" s="44" t="s">
        <v>8</v>
      </c>
      <c r="D10" s="45">
        <v>1</v>
      </c>
      <c r="E10" s="66" t="s">
        <v>30</v>
      </c>
      <c r="F10" s="52" t="s">
        <v>30</v>
      </c>
      <c r="G10" s="53" t="s">
        <v>30</v>
      </c>
      <c r="H10" s="53" t="s">
        <v>30</v>
      </c>
      <c r="I10" s="66" t="s">
        <v>30</v>
      </c>
      <c r="J10" s="52" t="s">
        <v>30</v>
      </c>
      <c r="K10" s="53" t="s">
        <v>30</v>
      </c>
      <c r="L10" s="54" t="s">
        <v>30</v>
      </c>
      <c r="N10" s="3" t="s">
        <v>61</v>
      </c>
    </row>
    <row r="11" spans="2:14" x14ac:dyDescent="0.35">
      <c r="B11" s="16" t="s">
        <v>9</v>
      </c>
      <c r="C11" s="12" t="s">
        <v>10</v>
      </c>
      <c r="D11" s="6">
        <v>1</v>
      </c>
      <c r="E11" s="9">
        <v>3.4609218436873745</v>
      </c>
      <c r="F11" s="55">
        <v>1</v>
      </c>
      <c r="G11" s="55">
        <v>1</v>
      </c>
      <c r="H11" s="55">
        <v>1</v>
      </c>
      <c r="I11" s="9">
        <v>4.0080160320641287</v>
      </c>
      <c r="J11" s="55">
        <v>1</v>
      </c>
      <c r="K11" s="55">
        <v>1</v>
      </c>
      <c r="L11" s="56">
        <v>1</v>
      </c>
      <c r="N11" s="80" t="s">
        <v>47</v>
      </c>
    </row>
    <row r="12" spans="2:14" x14ac:dyDescent="0.35">
      <c r="B12" s="18"/>
      <c r="C12" s="13" t="s">
        <v>11</v>
      </c>
      <c r="D12" s="7">
        <v>1</v>
      </c>
      <c r="E12" s="10">
        <v>2.491338582677165</v>
      </c>
      <c r="F12" s="57">
        <v>1</v>
      </c>
      <c r="G12" s="57">
        <v>1</v>
      </c>
      <c r="H12" s="57">
        <v>1</v>
      </c>
      <c r="I12" s="10">
        <v>2.5196850393700787</v>
      </c>
      <c r="J12" s="57">
        <v>1</v>
      </c>
      <c r="K12" s="57">
        <v>1</v>
      </c>
      <c r="L12" s="58">
        <v>1</v>
      </c>
      <c r="N12" s="80" t="s">
        <v>47</v>
      </c>
    </row>
    <row r="13" spans="2:14" x14ac:dyDescent="0.35">
      <c r="B13" s="17"/>
      <c r="C13" s="13" t="s">
        <v>12</v>
      </c>
      <c r="D13" s="7">
        <v>1</v>
      </c>
      <c r="E13" s="10">
        <v>6.0869565217391308</v>
      </c>
      <c r="F13" s="57">
        <v>1</v>
      </c>
      <c r="G13" s="57">
        <v>1</v>
      </c>
      <c r="H13" s="59">
        <v>1</v>
      </c>
      <c r="I13" s="10">
        <v>7.608695652173914</v>
      </c>
      <c r="J13" s="57">
        <v>1</v>
      </c>
      <c r="K13" s="57">
        <v>1</v>
      </c>
      <c r="L13" s="58">
        <v>1</v>
      </c>
      <c r="N13" s="80" t="s">
        <v>47</v>
      </c>
    </row>
    <row r="14" spans="2:14" x14ac:dyDescent="0.35">
      <c r="B14" s="17"/>
      <c r="C14" s="13" t="s">
        <v>14</v>
      </c>
      <c r="D14" s="7">
        <v>1</v>
      </c>
      <c r="E14" s="11">
        <v>0.5494505494505495</v>
      </c>
      <c r="F14" s="57">
        <v>1</v>
      </c>
      <c r="G14" s="57">
        <v>1</v>
      </c>
      <c r="H14" s="59">
        <v>1</v>
      </c>
      <c r="I14" s="10">
        <v>0.32967032967032966</v>
      </c>
      <c r="J14" s="57">
        <v>1</v>
      </c>
      <c r="K14" s="57">
        <v>1</v>
      </c>
      <c r="L14" s="58">
        <v>1</v>
      </c>
      <c r="N14" s="80" t="s">
        <v>47</v>
      </c>
    </row>
    <row r="15" spans="2:14" x14ac:dyDescent="0.35">
      <c r="B15" s="17"/>
      <c r="C15" s="13" t="s">
        <v>15</v>
      </c>
      <c r="D15" s="7">
        <v>1</v>
      </c>
      <c r="E15" s="11">
        <v>1</v>
      </c>
      <c r="F15" s="57">
        <v>1</v>
      </c>
      <c r="G15" s="57">
        <v>1</v>
      </c>
      <c r="H15" s="59">
        <v>1</v>
      </c>
      <c r="I15" s="10">
        <v>1</v>
      </c>
      <c r="J15" s="57">
        <v>1</v>
      </c>
      <c r="K15" s="57">
        <v>1</v>
      </c>
      <c r="L15" s="58">
        <v>1</v>
      </c>
      <c r="N15" s="80" t="s">
        <v>47</v>
      </c>
    </row>
    <row r="16" spans="2:14" x14ac:dyDescent="0.35">
      <c r="B16" s="17"/>
      <c r="C16" s="13" t="s">
        <v>16</v>
      </c>
      <c r="D16" s="7">
        <v>1</v>
      </c>
      <c r="E16" s="11">
        <v>1.1111111111111112</v>
      </c>
      <c r="F16" s="57">
        <v>1</v>
      </c>
      <c r="G16" s="57">
        <v>1</v>
      </c>
      <c r="H16" s="59">
        <v>1</v>
      </c>
      <c r="I16" s="10">
        <v>1.1111111111111112</v>
      </c>
      <c r="J16" s="57">
        <v>1</v>
      </c>
      <c r="K16" s="57">
        <v>1</v>
      </c>
      <c r="L16" s="58">
        <v>1</v>
      </c>
      <c r="N16" s="80" t="s">
        <v>47</v>
      </c>
    </row>
    <row r="17" spans="2:14" x14ac:dyDescent="0.35">
      <c r="B17" s="17"/>
      <c r="C17" s="67" t="s">
        <v>13</v>
      </c>
      <c r="D17" s="68">
        <v>1</v>
      </c>
      <c r="E17" s="69"/>
      <c r="F17" s="69"/>
      <c r="G17" s="69"/>
      <c r="H17" s="70"/>
      <c r="I17" s="71"/>
      <c r="J17" s="69"/>
      <c r="K17" s="69"/>
      <c r="L17" s="72"/>
      <c r="N17" t="s">
        <v>49</v>
      </c>
    </row>
    <row r="18" spans="2:14" x14ac:dyDescent="0.35">
      <c r="B18" s="17"/>
      <c r="C18" s="67" t="s">
        <v>35</v>
      </c>
      <c r="D18" s="68">
        <v>1</v>
      </c>
      <c r="E18" s="69"/>
      <c r="F18" s="69"/>
      <c r="G18" s="69"/>
      <c r="H18" s="70"/>
      <c r="I18" s="71"/>
      <c r="J18" s="69"/>
      <c r="K18" s="69"/>
      <c r="L18" s="72"/>
      <c r="N18" t="s">
        <v>49</v>
      </c>
    </row>
    <row r="19" spans="2:14" x14ac:dyDescent="0.35">
      <c r="B19" s="17"/>
      <c r="C19" s="67" t="s">
        <v>34</v>
      </c>
      <c r="D19" s="68">
        <v>1</v>
      </c>
      <c r="E19" s="69"/>
      <c r="F19" s="69"/>
      <c r="G19" s="69"/>
      <c r="H19" s="70"/>
      <c r="I19" s="71"/>
      <c r="J19" s="69"/>
      <c r="K19" s="69"/>
      <c r="L19" s="72"/>
      <c r="N19" t="s">
        <v>49</v>
      </c>
    </row>
    <row r="20" spans="2:14" x14ac:dyDescent="0.35">
      <c r="B20" s="23" t="s">
        <v>17</v>
      </c>
      <c r="C20" s="82" t="s">
        <v>18</v>
      </c>
      <c r="D20" s="83"/>
      <c r="E20" s="84"/>
      <c r="F20" s="85"/>
      <c r="G20" s="85"/>
      <c r="H20" s="86"/>
      <c r="I20" s="84"/>
      <c r="J20" s="85"/>
      <c r="K20" s="85"/>
      <c r="L20" s="87"/>
      <c r="N20" s="37" t="s">
        <v>51</v>
      </c>
    </row>
    <row r="21" spans="2:14" x14ac:dyDescent="0.35">
      <c r="B21" s="43"/>
      <c r="C21" s="88" t="s">
        <v>19</v>
      </c>
      <c r="D21" s="89"/>
      <c r="E21" s="90"/>
      <c r="F21" s="91"/>
      <c r="G21" s="91"/>
      <c r="H21" s="91"/>
      <c r="I21" s="90"/>
      <c r="J21" s="91"/>
      <c r="K21" s="91"/>
      <c r="L21" s="92"/>
      <c r="N21" s="37" t="s">
        <v>51</v>
      </c>
    </row>
    <row r="22" spans="2:14" ht="15" thickBot="1" x14ac:dyDescent="0.4">
      <c r="B22" s="24"/>
      <c r="C22" s="93" t="s">
        <v>44</v>
      </c>
      <c r="D22" s="94"/>
      <c r="E22" s="95"/>
      <c r="F22" s="96"/>
      <c r="G22" s="96"/>
      <c r="H22" s="97"/>
      <c r="I22" s="95"/>
      <c r="J22" s="96"/>
      <c r="K22" s="96"/>
      <c r="L22" s="98"/>
      <c r="N22" s="37" t="s">
        <v>51</v>
      </c>
    </row>
    <row r="24" spans="2:14" x14ac:dyDescent="0.35">
      <c r="B24" s="78" t="s">
        <v>53</v>
      </c>
    </row>
    <row r="25" spans="2:14" x14ac:dyDescent="0.35">
      <c r="B25" s="79" t="s">
        <v>36</v>
      </c>
    </row>
  </sheetData>
  <mergeCells count="2">
    <mergeCell ref="E3:H3"/>
    <mergeCell ref="I3:L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NEP-Zahlen</vt:lpstr>
      <vt:lpstr>Faktoren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Weisshaupt</dc:creator>
  <cp:keywords/>
  <dc:description/>
  <cp:lastModifiedBy>Grupp, Benedikt</cp:lastModifiedBy>
  <cp:revision/>
  <dcterms:created xsi:type="dcterms:W3CDTF">2015-06-05T18:19:34Z</dcterms:created>
  <dcterms:modified xsi:type="dcterms:W3CDTF">2026-01-19T15:34:31Z</dcterms:modified>
  <cp:category/>
  <cp:contentStatus/>
</cp:coreProperties>
</file>