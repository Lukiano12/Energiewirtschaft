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hude-my.sharepoint.com/personal/weisfe01_thu_de/Documents/Die Strompreiszoner/Strompreiszonen_Modell_Alex/"/>
    </mc:Choice>
  </mc:AlternateContent>
  <xr:revisionPtr revIDLastSave="2" documentId="13_ncr:1_{101FCA20-E807-47F5-92AA-68CDF778DF55}" xr6:coauthVersionLast="47" xr6:coauthVersionMax="47" xr10:uidLastSave="{B54F5D37-03CC-4C5C-8949-56D2FE8AEE00}"/>
  <bookViews>
    <workbookView xWindow="-110" yWindow="-110" windowWidth="19420" windowHeight="10300" xr2:uid="{FB384C86-3A43-4932-B932-35BB82B402A1}"/>
  </bookViews>
  <sheets>
    <sheet name="Kraftwerksliste_Miri" sheetId="2" r:id="rId1"/>
    <sheet name="Tabelle3" sheetId="3" r:id="rId2"/>
  </sheets>
  <definedNames>
    <definedName name="_xlnm._FilterDatabase" localSheetId="0" hidden="1">Kraftwerksliste_Miri!$A$1:$Y$686</definedName>
    <definedName name="_xlnm._FilterDatabase" localSheetId="1" hidden="1">Tabelle3!$A$1:$R$1129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9" i="2" l="1"/>
  <c r="C385" i="2"/>
  <c r="C538" i="2"/>
  <c r="C676" i="2"/>
  <c r="C677" i="2"/>
  <c r="C678" i="2"/>
  <c r="C679" i="2"/>
  <c r="C680" i="2"/>
  <c r="C66" i="2"/>
  <c r="C293" i="2"/>
  <c r="C129" i="2"/>
  <c r="C130" i="2"/>
  <c r="C131" i="2"/>
  <c r="C132" i="2"/>
  <c r="C133" i="2"/>
  <c r="C317" i="2"/>
  <c r="C583" i="2"/>
  <c r="C144" i="2"/>
  <c r="C592" i="2"/>
  <c r="C201" i="2"/>
  <c r="C220" i="2"/>
  <c r="C526" i="2"/>
  <c r="C628" i="2"/>
  <c r="C622" i="2"/>
  <c r="C681" i="2"/>
  <c r="C85" i="2"/>
  <c r="C294" i="2"/>
  <c r="C27" i="2"/>
  <c r="C28" i="2"/>
  <c r="C29" i="2"/>
  <c r="C30" i="2"/>
  <c r="C31" i="2"/>
  <c r="C32" i="2"/>
  <c r="C33" i="2"/>
  <c r="C34" i="2"/>
  <c r="C35" i="2"/>
  <c r="C682" i="2"/>
  <c r="C270" i="2"/>
  <c r="C271" i="2"/>
  <c r="C325" i="2"/>
  <c r="C591" i="2"/>
  <c r="C208" i="2"/>
  <c r="C218" i="2"/>
  <c r="C86" i="2"/>
  <c r="C281" i="2"/>
  <c r="C3" i="2"/>
  <c r="C523" i="2"/>
  <c r="C373" i="2"/>
  <c r="C479" i="2"/>
  <c r="C371" i="2"/>
  <c r="C167" i="2"/>
  <c r="C246" i="2"/>
  <c r="C74" i="2"/>
  <c r="C150" i="2"/>
  <c r="C151" i="2"/>
  <c r="C152" i="2"/>
  <c r="C153" i="2"/>
  <c r="C154" i="2"/>
  <c r="C202" i="2"/>
  <c r="C344" i="2"/>
  <c r="C464" i="2"/>
  <c r="C466" i="2"/>
  <c r="C274" i="2"/>
  <c r="C569" i="2"/>
  <c r="C43" i="2"/>
  <c r="C44" i="2"/>
  <c r="C45" i="2"/>
  <c r="C46" i="2"/>
  <c r="C47" i="2"/>
  <c r="C48" i="2"/>
  <c r="C49" i="2"/>
  <c r="C685" i="2"/>
  <c r="C653" i="2"/>
  <c r="C465" i="2"/>
  <c r="C50" i="2"/>
  <c r="C51" i="2"/>
  <c r="C52" i="2"/>
  <c r="C53" i="2"/>
  <c r="C54" i="2"/>
  <c r="C166" i="2"/>
  <c r="C265" i="2"/>
  <c r="C590" i="2"/>
  <c r="C455" i="2"/>
  <c r="C348" i="2"/>
  <c r="C684" i="2"/>
  <c r="C282" i="2"/>
  <c r="C514" i="2"/>
  <c r="C515" i="2"/>
  <c r="C450" i="2"/>
  <c r="C524" i="2"/>
  <c r="C126" i="2"/>
  <c r="C683" i="2"/>
  <c r="C548" i="2"/>
  <c r="C228" i="2"/>
  <c r="C527" i="2"/>
  <c r="C586" i="2"/>
  <c r="C525" i="2"/>
  <c r="C499" i="2"/>
  <c r="C256" i="2"/>
  <c r="C283" i="2"/>
  <c r="C307" i="2"/>
  <c r="C489" i="2"/>
  <c r="C629" i="2"/>
  <c r="C78" i="2"/>
  <c r="C224" i="2"/>
  <c r="C451" i="2"/>
  <c r="C114" i="2"/>
  <c r="C347" i="2"/>
  <c r="C570" i="2"/>
  <c r="C264" i="2"/>
  <c r="C309" i="2"/>
  <c r="C504" i="2"/>
  <c r="C198" i="2"/>
  <c r="C199" i="2"/>
  <c r="C119" i="2"/>
  <c r="C120" i="2"/>
  <c r="C255" i="2"/>
  <c r="C26" i="2"/>
  <c r="C503" i="2"/>
  <c r="C528" i="2"/>
  <c r="C444" i="2"/>
  <c r="C445" i="2"/>
  <c r="C318" i="2"/>
  <c r="C505" i="2"/>
  <c r="C160" i="2"/>
  <c r="C349" i="2"/>
  <c r="C306" i="2"/>
  <c r="C109" i="2"/>
  <c r="C110" i="2"/>
  <c r="C103" i="2"/>
  <c r="C467" i="2"/>
  <c r="C238" i="2"/>
  <c r="C301" i="2"/>
  <c r="C251" i="2"/>
  <c r="C480" i="2"/>
  <c r="C544" i="2"/>
  <c r="C651" i="2"/>
  <c r="C493" i="2"/>
  <c r="C655" i="2"/>
  <c r="C284" i="2"/>
  <c r="C285" i="2"/>
  <c r="C125" i="2"/>
  <c r="C513" i="2"/>
  <c r="C310" i="2"/>
  <c r="C25" i="2"/>
  <c r="C272" i="2"/>
  <c r="C273" i="2"/>
  <c r="C204" i="2"/>
  <c r="C560" i="2"/>
  <c r="C87" i="2"/>
  <c r="C594" i="2"/>
  <c r="C268" i="2"/>
  <c r="C623" i="2"/>
  <c r="C165" i="2"/>
  <c r="C203" i="2"/>
  <c r="C506" i="2"/>
  <c r="C474" i="2"/>
  <c r="C58" i="2"/>
  <c r="C630" i="2"/>
  <c r="C656" i="2"/>
  <c r="C240" i="2"/>
  <c r="C241" i="2"/>
  <c r="C530" i="2"/>
  <c r="C200" i="2"/>
  <c r="C79" i="2"/>
  <c r="C353" i="2"/>
  <c r="C247" i="2"/>
  <c r="C539" i="2"/>
  <c r="C654" i="2"/>
  <c r="C487" i="2"/>
  <c r="C481" i="2"/>
  <c r="C384" i="2"/>
  <c r="C266" i="2"/>
  <c r="C482" i="2"/>
  <c r="C250" i="2"/>
  <c r="C369" i="2"/>
  <c r="C121" i="2"/>
  <c r="C295" i="2"/>
  <c r="C296" i="2"/>
  <c r="C561" i="2"/>
  <c r="C627" i="2"/>
  <c r="C221" i="2"/>
  <c r="C511" i="2"/>
  <c r="C59" i="2"/>
  <c r="C60" i="2"/>
  <c r="C222" i="2"/>
  <c r="C316" i="2"/>
  <c r="C540" i="2"/>
  <c r="C145" i="2"/>
  <c r="C146" i="2"/>
  <c r="C111" i="2"/>
  <c r="C345" i="2"/>
  <c r="C531" i="2"/>
  <c r="C112" i="2"/>
  <c r="C108" i="2"/>
  <c r="C80" i="2"/>
  <c r="C118" i="2"/>
  <c r="C541" i="2"/>
  <c r="C447" i="2"/>
  <c r="C41" i="2"/>
  <c r="C233" i="2"/>
  <c r="C155" i="2"/>
  <c r="C134" i="2"/>
  <c r="C4" i="2"/>
  <c r="C673" i="2"/>
  <c r="C135" i="2"/>
  <c r="C225" i="2"/>
  <c r="C488" i="2"/>
  <c r="C500" i="2"/>
  <c r="C113" i="2"/>
  <c r="C286" i="2"/>
  <c r="C311" i="2"/>
  <c r="C115" i="2"/>
  <c r="C456" i="2"/>
  <c r="C350" i="2"/>
  <c r="C351" i="2"/>
  <c r="C533" i="2"/>
  <c r="C234" i="2"/>
  <c r="C381" i="2"/>
  <c r="C382" i="2"/>
  <c r="C657" i="2"/>
  <c r="C446" i="2"/>
  <c r="C483" i="2"/>
  <c r="C534" i="2"/>
  <c r="C484" i="2"/>
  <c r="C652" i="2"/>
  <c r="C532" i="2"/>
  <c r="C102" i="2"/>
  <c r="C235" i="2"/>
  <c r="C105" i="2"/>
  <c r="C383" i="2"/>
  <c r="C584" i="2"/>
  <c r="C88" i="2"/>
  <c r="C279" i="2"/>
  <c r="C379" i="2"/>
  <c r="C237" i="2"/>
  <c r="C658" i="2"/>
  <c r="C122" i="2"/>
  <c r="C76" i="2"/>
  <c r="C593" i="2"/>
  <c r="C376" i="2"/>
  <c r="C542" i="2"/>
  <c r="C468" i="2"/>
  <c r="C104" i="2"/>
  <c r="C354" i="2"/>
  <c r="C319" i="2"/>
  <c r="C364" i="2"/>
  <c r="C365" i="2"/>
  <c r="C529" i="2"/>
  <c r="C547" i="2"/>
  <c r="C549" i="2"/>
  <c r="C116" i="2"/>
  <c r="C485" i="2"/>
  <c r="C236" i="2"/>
  <c r="C42" i="2"/>
  <c r="C147" i="2"/>
  <c r="C675" i="2"/>
  <c r="C107" i="2"/>
  <c r="C148" i="2"/>
  <c r="C242" i="2"/>
  <c r="C366" i="2"/>
  <c r="C257" i="2"/>
  <c r="C258" i="2"/>
  <c r="C9" i="2"/>
  <c r="C140" i="2"/>
  <c r="C141" i="2"/>
  <c r="C142" i="2"/>
  <c r="C576" i="2"/>
  <c r="C259" i="2"/>
  <c r="C143" i="2"/>
  <c r="C81" i="2"/>
  <c r="C82" i="2"/>
  <c r="C161" i="2"/>
  <c r="C457" i="2"/>
  <c r="C587" i="2"/>
  <c r="C326" i="2"/>
  <c r="C77" i="2"/>
  <c r="C535" i="2"/>
  <c r="C83" i="2"/>
  <c r="C624" i="2"/>
  <c r="C367" i="2"/>
  <c r="C507" i="2"/>
  <c r="C156" i="2"/>
  <c r="C157" i="2"/>
  <c r="C158" i="2"/>
  <c r="C159" i="2"/>
  <c r="C491" i="2"/>
  <c r="C67" i="2"/>
  <c r="C494" i="2"/>
  <c r="C248" i="2"/>
  <c r="C508" i="2"/>
  <c r="C243" i="2"/>
  <c r="C356" i="2"/>
  <c r="C267" i="2"/>
  <c r="C5" i="2"/>
  <c r="C55" i="2"/>
  <c r="C56" i="2"/>
  <c r="C355" i="2"/>
  <c r="C380" i="2"/>
  <c r="C452" i="2"/>
  <c r="C453" i="2"/>
  <c r="C454" i="2"/>
  <c r="C633" i="2"/>
  <c r="C127" i="2"/>
  <c r="C585" i="2"/>
  <c r="C588" i="2"/>
  <c r="C205" i="2"/>
  <c r="C327" i="2"/>
  <c r="C501" i="2"/>
  <c r="C260" i="2"/>
  <c r="C577" i="2"/>
  <c r="C578" i="2"/>
  <c r="C550" i="2"/>
  <c r="C579" i="2"/>
  <c r="C580" i="2"/>
  <c r="C287" i="2"/>
  <c r="C288" i="2"/>
  <c r="C61" i="2"/>
  <c r="C69" i="2"/>
  <c r="C536" i="2"/>
  <c r="C543" i="2"/>
  <c r="C6" i="2"/>
  <c r="C206" i="2"/>
  <c r="C562" i="2"/>
  <c r="C244" i="2"/>
  <c r="C486" i="2"/>
  <c r="C563" i="2"/>
  <c r="C245" i="2"/>
  <c r="C571" i="2"/>
  <c r="C509" i="2"/>
  <c r="C510" i="2"/>
  <c r="C128" i="2"/>
  <c r="C289" i="2"/>
  <c r="C352" i="2"/>
  <c r="C377" i="2"/>
  <c r="C378" i="2"/>
  <c r="C75" i="2"/>
  <c r="C328" i="2"/>
  <c r="C261" i="2"/>
  <c r="C262" i="2"/>
  <c r="C84" i="2"/>
  <c r="C263" i="2"/>
  <c r="C162" i="2"/>
  <c r="C63" i="2"/>
  <c r="C636" i="2"/>
  <c r="C64" i="2"/>
  <c r="C65" i="2"/>
  <c r="C329" i="2"/>
  <c r="C330" i="2"/>
  <c r="C331" i="2"/>
  <c r="C332" i="2"/>
  <c r="C123" i="2"/>
  <c r="C512" i="2"/>
  <c r="C537" i="2"/>
  <c r="C163" i="2"/>
  <c r="C164" i="2"/>
  <c r="C372" i="2"/>
  <c r="C249" i="2"/>
  <c r="C36" i="2"/>
  <c r="C37" i="2"/>
  <c r="C38" i="2"/>
  <c r="C124" i="2"/>
  <c r="C136" i="2"/>
  <c r="C137" i="2"/>
  <c r="C360" i="2"/>
  <c r="C138" i="2"/>
  <c r="C139" i="2"/>
  <c r="C361" i="2"/>
  <c r="C448" i="2"/>
  <c r="C13" i="2"/>
  <c r="C497" i="2"/>
  <c r="C459" i="2"/>
  <c r="C290" i="2"/>
  <c r="C212" i="2"/>
  <c r="C478" i="2"/>
  <c r="C39" i="2"/>
  <c r="C522" i="2"/>
  <c r="C357" i="2"/>
  <c r="C358" i="2"/>
  <c r="C460" i="2"/>
  <c r="C492" i="2"/>
  <c r="C674" i="2"/>
  <c r="C638" i="2"/>
  <c r="C461" i="2"/>
  <c r="C359" i="2"/>
  <c r="C2" i="2"/>
  <c r="C291" i="2"/>
  <c r="C292" i="2"/>
  <c r="C213" i="2"/>
  <c r="C315" i="2"/>
  <c r="C346" i="2"/>
  <c r="C564" i="2"/>
  <c r="C565" i="2"/>
  <c r="C449" i="2"/>
  <c r="C362" i="2"/>
  <c r="C117" i="2"/>
  <c r="C581" i="2"/>
  <c r="C582" i="2"/>
  <c r="C300" i="2"/>
  <c r="C62" i="2"/>
  <c r="C321" i="2"/>
  <c r="C498" i="2"/>
  <c r="C333" i="2"/>
  <c r="C490" i="2"/>
  <c r="C17" i="2"/>
  <c r="C18" i="2"/>
  <c r="C566" i="2"/>
  <c r="C589" i="2"/>
  <c r="C303" i="2"/>
  <c r="C567" i="2"/>
  <c r="C568" i="2"/>
  <c r="C322" i="2"/>
  <c r="C19" i="2"/>
  <c r="C20" i="2"/>
  <c r="C214" i="2"/>
  <c r="C215" i="2"/>
  <c r="C334" i="2"/>
  <c r="C335" i="2"/>
  <c r="C21" i="2"/>
  <c r="C22" i="2"/>
  <c r="C336" i="2"/>
  <c r="C342" i="2"/>
  <c r="C343" i="2"/>
  <c r="C216" i="2"/>
  <c r="C217" i="2"/>
  <c r="C323" i="2"/>
  <c r="C297" i="2"/>
  <c r="C471" i="2"/>
  <c r="C472" i="2"/>
  <c r="C473" i="2"/>
  <c r="C305" i="2"/>
  <c r="C337" i="2"/>
  <c r="C338" i="2"/>
  <c r="C298" i="2"/>
  <c r="C299" i="2"/>
  <c r="C572" i="2"/>
  <c r="C339" i="2"/>
  <c r="C340" i="2"/>
  <c r="C341" i="2"/>
  <c r="C573" i="2"/>
  <c r="C574" i="2"/>
  <c r="C308" i="2"/>
  <c r="C368" i="2"/>
  <c r="C470" i="2"/>
  <c r="C374" i="2"/>
  <c r="C375" i="2"/>
  <c r="C324" i="2"/>
  <c r="C575" i="2"/>
  <c r="C363" i="2"/>
  <c r="C269" i="2"/>
  <c r="C149" i="2"/>
</calcChain>
</file>

<file path=xl/sharedStrings.xml><?xml version="1.0" encoding="utf-8"?>
<sst xmlns="http://schemas.openxmlformats.org/spreadsheetml/2006/main" count="26199" uniqueCount="4082">
  <si>
    <t>Teil der Merit-Order?</t>
  </si>
  <si>
    <t xml:space="preserve">MaStR-Nr. </t>
  </si>
  <si>
    <t>ÜNB</t>
  </si>
  <si>
    <t>Status</t>
  </si>
  <si>
    <t>Anlagenbetreiber</t>
  </si>
  <si>
    <t>Anzeige-Name</t>
  </si>
  <si>
    <t>PLZ der Einheit</t>
  </si>
  <si>
    <t>Ort der Einheit</t>
  </si>
  <si>
    <t>Straße und Hausnummer
der Einheit</t>
  </si>
  <si>
    <t>Bundesland der Einheit</t>
  </si>
  <si>
    <t>Datum der erstmaligen Inbetriebnahme der Einheit</t>
  </si>
  <si>
    <t>Energieträger</t>
  </si>
  <si>
    <t>Hauptbrennstoff</t>
  </si>
  <si>
    <t>Auswertung Energieträger</t>
  </si>
  <si>
    <t>Wärmeauskopplung (KW) ja/nein</t>
  </si>
  <si>
    <t>Technologie der Stromerzeugung</t>
  </si>
  <si>
    <t xml:space="preserve">Angenommener Hauptenergieträger </t>
  </si>
  <si>
    <t>Zuordnung Kraftwerkstyp</t>
  </si>
  <si>
    <t>Effizienz</t>
  </si>
  <si>
    <t>Quelle Effizienz</t>
  </si>
  <si>
    <t>Bruttoleistung [MW]</t>
  </si>
  <si>
    <t>Netto-Nennleistung
(elektrische Wirkleistung) [MW]</t>
  </si>
  <si>
    <t>Mittlere verfügbare
Netto-Nennleistung [MW]</t>
  </si>
  <si>
    <t>Brennstoffkosten (inkl. Transport) [EUR/MWHth]</t>
  </si>
  <si>
    <t>Grenzkosten [EUR/MWHel]</t>
  </si>
  <si>
    <t>Ja</t>
  </si>
  <si>
    <t>SEE987512757786</t>
  </si>
  <si>
    <t>In Betrieb</t>
  </si>
  <si>
    <t>ArcelorMittal Eisenhüttenstadt GmbH</t>
  </si>
  <si>
    <t>IKW Block 8</t>
  </si>
  <si>
    <t>Eisenhüttenstadt</t>
  </si>
  <si>
    <t>Jugendstraße 1</t>
  </si>
  <si>
    <t>Brandenburg</t>
  </si>
  <si>
    <t>Erdgas</t>
  </si>
  <si>
    <t>Erdgas, Erdölgas</t>
  </si>
  <si>
    <t>Gasturbinen mit nachgeschalteter Dampfturbine</t>
  </si>
  <si>
    <t>Gasturbine</t>
  </si>
  <si>
    <t>Annahme basierend auf DIW (2014)</t>
  </si>
  <si>
    <t>SEE961788817153</t>
  </si>
  <si>
    <t>BASF Schwarzheide GmbH</t>
  </si>
  <si>
    <t>DT2</t>
  </si>
  <si>
    <t>01987</t>
  </si>
  <si>
    <t>Schwarzheide</t>
  </si>
  <si>
    <t>Schipkauer Straße 1</t>
  </si>
  <si>
    <t>Nein</t>
  </si>
  <si>
    <t>Kondensationsmaschine ohne Entnahme</t>
  </si>
  <si>
    <t>GuD</t>
  </si>
  <si>
    <t>OPSD (2020)</t>
  </si>
  <si>
    <t>SEE971164680486</t>
  </si>
  <si>
    <t>DT1</t>
  </si>
  <si>
    <t>Gegendruckmaschine mit Entnahme</t>
  </si>
  <si>
    <t>SEE918705951896</t>
  </si>
  <si>
    <t>GT2</t>
  </si>
  <si>
    <t>SEE904165703137</t>
  </si>
  <si>
    <t>GT1</t>
  </si>
  <si>
    <t>SEE963909310185</t>
  </si>
  <si>
    <t>BEW Berliner Energie und Wärme AG</t>
  </si>
  <si>
    <t>HKW Moabit Gasturbine 5</t>
  </si>
  <si>
    <t>Berlin</t>
  </si>
  <si>
    <t>Friedrich-Krause-Ufer 42278</t>
  </si>
  <si>
    <t>Mineralölprodukte</t>
  </si>
  <si>
    <t>Heizöl, leicht</t>
  </si>
  <si>
    <t>Gasturbinen ohne Abhitzekessel</t>
  </si>
  <si>
    <t>Öl</t>
  </si>
  <si>
    <t>SEE992645841813</t>
  </si>
  <si>
    <t>HKW Moabit Gasturbine 6</t>
  </si>
  <si>
    <t>SEE988848971327</t>
  </si>
  <si>
    <t>HKW Reuter, Dampfturbine M</t>
  </si>
  <si>
    <t>Otternbuchtstraße 11</t>
  </si>
  <si>
    <t>Wärme</t>
  </si>
  <si>
    <t>Dampf (zum Beispiel Prozesswärme)</t>
  </si>
  <si>
    <t>Sonstige</t>
  </si>
  <si>
    <t>SEE997719859992</t>
  </si>
  <si>
    <t>HKW Klingenberg Dampfturbine 1</t>
  </si>
  <si>
    <t>Köpenicker Chaussee 42-45</t>
  </si>
  <si>
    <t>SEE988684097793</t>
  </si>
  <si>
    <t>HKW Klingenberg Dampfturbine 2</t>
  </si>
  <si>
    <t>SEE965333653821</t>
  </si>
  <si>
    <t>HKW Klingenberg Dampfturbine 3</t>
  </si>
  <si>
    <t>SEE982928435068</t>
  </si>
  <si>
    <t>GuD Marzahn Dampfturbine</t>
  </si>
  <si>
    <t>Allee der Kosmonauten 26 B</t>
  </si>
  <si>
    <t>Kondensationsmaschine mit Entnahme</t>
  </si>
  <si>
    <t>https://www.siemens-energy.com/global/en/offerings/power-generation/gas-turbines/sgt5-2000e.html</t>
  </si>
  <si>
    <t>SEE926090463146</t>
  </si>
  <si>
    <t>HKW Charlottenburg Gasturbine 4</t>
  </si>
  <si>
    <t>Am Spreebord 5</t>
  </si>
  <si>
    <t>Gasturbinen mit Abhitzekessel</t>
  </si>
  <si>
    <t>SEE962934119541</t>
  </si>
  <si>
    <t>HKW Charlottenburg Gasturbine 5</t>
  </si>
  <si>
    <t>SEE981109871657</t>
  </si>
  <si>
    <t>HKW Moabit Dampfturbine</t>
  </si>
  <si>
    <t>Steinkohle</t>
  </si>
  <si>
    <t>Steinkohlen</t>
  </si>
  <si>
    <t>SEE929077603696</t>
  </si>
  <si>
    <t>GuD Lichterfelde Dampfturbine</t>
  </si>
  <si>
    <t>Ostpreußendamm 61</t>
  </si>
  <si>
    <t>SEE992187994404</t>
  </si>
  <si>
    <t>HKW Mitte Dampfturbine</t>
  </si>
  <si>
    <t>Köpenicker Straße 60</t>
  </si>
  <si>
    <t>SEE904819420762</t>
  </si>
  <si>
    <t>HKW Mitte Gasturbine 1</t>
  </si>
  <si>
    <t>SEE948541471333</t>
  </si>
  <si>
    <t>HKW Mitte Gasturbine 2</t>
  </si>
  <si>
    <t>SEE923401813959</t>
  </si>
  <si>
    <t>GuD Lichterfelde Gasturbine</t>
  </si>
  <si>
    <t>SEE937536026146</t>
  </si>
  <si>
    <t>GuD Marzahn Gasturbine</t>
  </si>
  <si>
    <t>eigene Annahme</t>
  </si>
  <si>
    <t>SEE974883809046</t>
  </si>
  <si>
    <t>HKW Reuter West Dampfturbine E</t>
  </si>
  <si>
    <t>Großer Spreering 5</t>
  </si>
  <si>
    <t>SEE989328541450</t>
  </si>
  <si>
    <t>HKW Reuter West Dampfturbine D</t>
  </si>
  <si>
    <t>SEE941053107073</t>
  </si>
  <si>
    <t>Cargill Deutschland GmbH</t>
  </si>
  <si>
    <t>Stromerzeugung Barby</t>
  </si>
  <si>
    <t>Barby</t>
  </si>
  <si>
    <t>Monplaisirstraße 22</t>
  </si>
  <si>
    <t>Sachsen-Anhalt</t>
  </si>
  <si>
    <t>SEE905257392765</t>
  </si>
  <si>
    <t>Cosun Beet Company GmbH &amp; Co. KG</t>
  </si>
  <si>
    <t>Kesselhaus</t>
  </si>
  <si>
    <t>Anklam</t>
  </si>
  <si>
    <t>Bluthsluster Straße 24</t>
  </si>
  <si>
    <t>Mecklenburg-Vorpommern</t>
  </si>
  <si>
    <t>SEE907667929555</t>
  </si>
  <si>
    <t>DREWAG - Stadtwerke Dresden GmbH</t>
  </si>
  <si>
    <t>HKW Dresden-Nord</t>
  </si>
  <si>
    <t>01099</t>
  </si>
  <si>
    <t>Dresden</t>
  </si>
  <si>
    <t>Hermann-Mende-Straße 2</t>
  </si>
  <si>
    <t>Sachsen</t>
  </si>
  <si>
    <t>SEE965660903200</t>
  </si>
  <si>
    <t>Gasmotoren-Heizkraftwerk Dresden-Reick - Aggregat I</t>
  </si>
  <si>
    <t>01277</t>
  </si>
  <si>
    <t>Liebstädter Straße 1</t>
  </si>
  <si>
    <t>Verbrennungsmotor</t>
  </si>
  <si>
    <t>SEE985036646654</t>
  </si>
  <si>
    <t>Gasmotoren-Heizkraftwerk Dresden-Reick - Aggregat II</t>
  </si>
  <si>
    <t>SEE930647914081</t>
  </si>
  <si>
    <t>Gasmotoren-Heizkraftwerk Dresden-Reick - Aggregat III</t>
  </si>
  <si>
    <t>SEE962395118756</t>
  </si>
  <si>
    <t>Gasmotoren-Heizkraftwerk Dresden-Reick - Aggregat IV</t>
  </si>
  <si>
    <t>SEE924562445072</t>
  </si>
  <si>
    <t>Gasmotoren-Heizkraftwerk Dresden-Reick - Aggregat V</t>
  </si>
  <si>
    <t>SEE963438570067</t>
  </si>
  <si>
    <t>Gasmotoren-Heizkraftwerk Dresden-Reick - Aggregat VI</t>
  </si>
  <si>
    <t>SEE939899660715</t>
  </si>
  <si>
    <t>Gasmotoren-Heizkraftwerk Dresden-Reick - Aggregat VII</t>
  </si>
  <si>
    <t>SEE923793340132</t>
  </si>
  <si>
    <t>Gasmotoren-Heizkraftwerk Dresden-Reick - Aggregat VIII</t>
  </si>
  <si>
    <t>SEE967194778880</t>
  </si>
  <si>
    <t>01159</t>
  </si>
  <si>
    <t>Oederaner Straße 21</t>
  </si>
  <si>
    <t>SEE968254365774</t>
  </si>
  <si>
    <t>SEE901410470721</t>
  </si>
  <si>
    <t>GT3</t>
  </si>
  <si>
    <t>SEE950477241393</t>
  </si>
  <si>
    <t>DT</t>
  </si>
  <si>
    <t>SEE932949912406</t>
  </si>
  <si>
    <t>e.distherm Energielösungen GmbH</t>
  </si>
  <si>
    <t>Energiezentrale Notstrom</t>
  </si>
  <si>
    <t>Schönefeld</t>
  </si>
  <si>
    <t>Hugo-Eckener-Allee 12</t>
  </si>
  <si>
    <t>SEE928761575349</t>
  </si>
  <si>
    <t>EEW Energy from Waste Großräschen GmbH</t>
  </si>
  <si>
    <t>EEW Großräschen GmbH</t>
  </si>
  <si>
    <t>01983</t>
  </si>
  <si>
    <t>Großräschen</t>
  </si>
  <si>
    <t>Bergmannstraße 900 r</t>
  </si>
  <si>
    <t>nicht biogener Abfall</t>
  </si>
  <si>
    <t>Abfall (Hausmüll, Siedl.abf.)</t>
  </si>
  <si>
    <t>Abfall</t>
  </si>
  <si>
    <t>SEE940303116315</t>
  </si>
  <si>
    <t>EEW Energy from Waste Premnitz GmbH</t>
  </si>
  <si>
    <t>Turbosatz 5</t>
  </si>
  <si>
    <t>Premnitz</t>
  </si>
  <si>
    <t>Dr.-Herbert-Rein-Straße 1</t>
  </si>
  <si>
    <t>eigene Annahme basierend auf OPSD (2020)</t>
  </si>
  <si>
    <t>SEE944044057432</t>
  </si>
  <si>
    <t>eins energie in sachsen GmbH &amp; Co. KG</t>
  </si>
  <si>
    <t>Motor-Heizkraftwerk Chemnitz-Nord, Motor 1</t>
  </si>
  <si>
    <t>09114</t>
  </si>
  <si>
    <t>Chemnitz</t>
  </si>
  <si>
    <t>Blankenburgstraße 2</t>
  </si>
  <si>
    <t>SEE928331694449</t>
  </si>
  <si>
    <t>Motor-Heizkraftwerk Chemnitz-Nord, Motor 2</t>
  </si>
  <si>
    <t>SEE909466066615</t>
  </si>
  <si>
    <t>Motor-Heizkraftwerk Chemnitz-Nord. Motor 3</t>
  </si>
  <si>
    <t>SEE946709181179</t>
  </si>
  <si>
    <t>Motor-Heizkraftwerk Chemnitz-Nord, Motor 4</t>
  </si>
  <si>
    <t>SEE972779194474</t>
  </si>
  <si>
    <t>Motor-Heizkraftwerk Chemnitz-Nord, Motor 5</t>
  </si>
  <si>
    <t>SEE974236609859</t>
  </si>
  <si>
    <t>Motor-Heizkraftwerk Chemnitz-Nord, Motor 6</t>
  </si>
  <si>
    <t>SEE955076814825</t>
  </si>
  <si>
    <t>Motor-Heizkraftwerk Chemnitz-Nord, Motor 7</t>
  </si>
  <si>
    <t>SEE936761155751</t>
  </si>
  <si>
    <t>Motor-Heizkraftwerk Chemnitz-Süd, Motor 1</t>
  </si>
  <si>
    <t>09125</t>
  </si>
  <si>
    <t>Südstraße 1</t>
  </si>
  <si>
    <t>SEE912224455828</t>
  </si>
  <si>
    <t>Motor-Heizkraftwerk Chemnitz-Süd, Motor 2</t>
  </si>
  <si>
    <t>SEE901205245022</t>
  </si>
  <si>
    <t>Motor-Heizkraftwerk Chemnitz-Süd, Motor 3</t>
  </si>
  <si>
    <t>SEE917303295586</t>
  </si>
  <si>
    <t>Motor-Heizkraftwerk Chemnitz-Süd, Motor 4</t>
  </si>
  <si>
    <t>SEE903779951637</t>
  </si>
  <si>
    <t>Motor-Heizkraftwerk Chemnitz-Süd, Motor 5</t>
  </si>
  <si>
    <t>SEE999966551940</t>
  </si>
  <si>
    <t>Energie und Wasser Potsdam GmbH</t>
  </si>
  <si>
    <t>HKW Potsdam-Süd Block1</t>
  </si>
  <si>
    <t>Potsdam</t>
  </si>
  <si>
    <t>Zum Heizwerk 20</t>
  </si>
  <si>
    <t>SEE914878135613</t>
  </si>
  <si>
    <t>HKW Potsdam-Süd Block2</t>
  </si>
  <si>
    <t>SEE976404468497</t>
  </si>
  <si>
    <t>Energieversorgung Schwerin GmbH &amp; Co. Erzeugung KG</t>
  </si>
  <si>
    <t>SN-Lankow-GUD-2023</t>
  </si>
  <si>
    <t>Schwerin</t>
  </si>
  <si>
    <t>Grevesmühlener Str. 28</t>
  </si>
  <si>
    <t>SEE998526561375</t>
  </si>
  <si>
    <t>SN-Süd-GUD-DT</t>
  </si>
  <si>
    <t>Pampower Str. 50</t>
  </si>
  <si>
    <t>SEE977613214097</t>
  </si>
  <si>
    <t>SN-Süd-GUD-GT01</t>
  </si>
  <si>
    <t>SEE950689982695</t>
  </si>
  <si>
    <t>SN-Süd-GUD-GT02</t>
  </si>
  <si>
    <t>SEE918916993708</t>
  </si>
  <si>
    <t>envia THERM GmbH</t>
  </si>
  <si>
    <t>Wolfen GT</t>
  </si>
  <si>
    <t>06766</t>
  </si>
  <si>
    <t>Bitterfeld-Wolfen</t>
  </si>
  <si>
    <t>Sensientstraße 7</t>
  </si>
  <si>
    <t>SEE934669010578</t>
  </si>
  <si>
    <t>Bitterfeld GuD</t>
  </si>
  <si>
    <t>06749</t>
  </si>
  <si>
    <t>Parsevalstraße 3 B</t>
  </si>
  <si>
    <t>SEE914438115895</t>
  </si>
  <si>
    <t>EVH GmbH</t>
  </si>
  <si>
    <t>Heizkraftwerk Dieselstraße Block A</t>
  </si>
  <si>
    <t>06130</t>
  </si>
  <si>
    <t>Halle</t>
  </si>
  <si>
    <t>Dieselstraße 141</t>
  </si>
  <si>
    <t>SEE946568262484</t>
  </si>
  <si>
    <t>Heizkraftwerk Dieselstraße Block B</t>
  </si>
  <si>
    <t>SEE901050642113</t>
  </si>
  <si>
    <t>Heizkraftwerk Dieselstraße Block C</t>
  </si>
  <si>
    <t>https://evh.de/privatkunden/unternehmen/energiepark/dieselstra%C3%9Fe</t>
  </si>
  <si>
    <t>SEE926982393704</t>
  </si>
  <si>
    <t>Fernheizwerk Neukölln AG</t>
  </si>
  <si>
    <t>BHKW 10</t>
  </si>
  <si>
    <t>Weigandufer 49</t>
  </si>
  <si>
    <t>SEE976907281142</t>
  </si>
  <si>
    <t>Fernwärmeversorgungs- GmbH Dessau</t>
  </si>
  <si>
    <t>HKW Dessau</t>
  </si>
  <si>
    <t>06842</t>
  </si>
  <si>
    <t>Dessau-Roßlau</t>
  </si>
  <si>
    <t>An der Fine 4</t>
  </si>
  <si>
    <t>OPSD (2018)</t>
  </si>
  <si>
    <t>SEE973601397087</t>
  </si>
  <si>
    <t>Hamburger Energiewerke GmbH</t>
  </si>
  <si>
    <t>Tiefstack GuD DT40</t>
  </si>
  <si>
    <t>Hamburg</t>
  </si>
  <si>
    <t>Andreas-Meyer-Straße 8</t>
  </si>
  <si>
    <t>Gegendruckmaschine ohne Entnahme</t>
  </si>
  <si>
    <t>Eigene Annahme</t>
  </si>
  <si>
    <t>SEE913896693631</t>
  </si>
  <si>
    <t>Tiefstack GuD GT41</t>
  </si>
  <si>
    <t>SEE999106955379</t>
  </si>
  <si>
    <t>Tiefstack GuD GT42</t>
  </si>
  <si>
    <t>SEE934530018092</t>
  </si>
  <si>
    <t>HKW Wedel Block 2</t>
  </si>
  <si>
    <t>Wedel</t>
  </si>
  <si>
    <t>Tinsdaler Weg 146</t>
  </si>
  <si>
    <t>Schleswig-Holstein</t>
  </si>
  <si>
    <t>SEE960100973492</t>
  </si>
  <si>
    <t>HKW Wedel Block 1</t>
  </si>
  <si>
    <t>SEE987197130805</t>
  </si>
  <si>
    <t>Tiefstack HKW Block 20</t>
  </si>
  <si>
    <t>SEE900403199748</t>
  </si>
  <si>
    <t>Heizkraftwerk Halle-Trotha GmbH</t>
  </si>
  <si>
    <t>Heizkraftwerk Halle-Trotha - Dampfturbine</t>
  </si>
  <si>
    <t>06118</t>
  </si>
  <si>
    <t>Brachwitzer Straße 23</t>
  </si>
  <si>
    <t>https://evh.de/gro%C3%9Fkunden/unternehmen/Heizkraftwerke/energiepark/trotha</t>
  </si>
  <si>
    <t>SEE965768299069</t>
  </si>
  <si>
    <t>Heizkraftwerk Halle-Trotha - Gasturbine</t>
  </si>
  <si>
    <t>SEE924286409503</t>
  </si>
  <si>
    <t>IKW Rüdersdorf</t>
  </si>
  <si>
    <t>Rüdersdorf</t>
  </si>
  <si>
    <t>Siedlerweg 11</t>
  </si>
  <si>
    <t>Industrieabfall</t>
  </si>
  <si>
    <t>SEE911283118750</t>
  </si>
  <si>
    <t>Industriekraftwerk Greifswald GmbH</t>
  </si>
  <si>
    <t>Lubmin</t>
  </si>
  <si>
    <t>Am Hafen 2</t>
  </si>
  <si>
    <t>SEE991050894971</t>
  </si>
  <si>
    <t>InfraLeuna GmbH</t>
  </si>
  <si>
    <t>EKT</t>
  </si>
  <si>
    <t>06237</t>
  </si>
  <si>
    <t>Leuna</t>
  </si>
  <si>
    <t xml:space="preserve"> </t>
  </si>
  <si>
    <t>SEE900957573537</t>
  </si>
  <si>
    <t>KT1</t>
  </si>
  <si>
    <t>SEE998623498277</t>
  </si>
  <si>
    <t>DT3</t>
  </si>
  <si>
    <t>SEE947225300921</t>
  </si>
  <si>
    <t>SEE930522848685</t>
  </si>
  <si>
    <t>SEE959858570855</t>
  </si>
  <si>
    <t>GT4</t>
  </si>
  <si>
    <t>SEE992864019192</t>
  </si>
  <si>
    <t>GT5</t>
  </si>
  <si>
    <t>SEE926471060193</t>
  </si>
  <si>
    <t>K+S Minerals and Agriculture GmbH</t>
  </si>
  <si>
    <t>Kraftwerk UB DT1</t>
  </si>
  <si>
    <t>Unterbreizbach</t>
  </si>
  <si>
    <t>Schachtstraße 10</t>
  </si>
  <si>
    <t>Thüringen</t>
  </si>
  <si>
    <t>SEE970114818481</t>
  </si>
  <si>
    <t>Kraftwerk UB DT3</t>
  </si>
  <si>
    <t>SEE979396678813</t>
  </si>
  <si>
    <t>Kraftwerk ZI DT1</t>
  </si>
  <si>
    <t>Zielitz</t>
  </si>
  <si>
    <t>Farsleber Straße 1</t>
  </si>
  <si>
    <t>SEE950355589975</t>
  </si>
  <si>
    <t>Kraftwerk ZI DT 2</t>
  </si>
  <si>
    <t>SEE930596800480</t>
  </si>
  <si>
    <t>Kapazitätsreserve</t>
  </si>
  <si>
    <t>Lausitz Energie Kraftwerke AG</t>
  </si>
  <si>
    <t>Gasturbinenkraftwerk Ahrensfelde GT A</t>
  </si>
  <si>
    <t>Ahrensfelde</t>
  </si>
  <si>
    <t>Lindenberger Straße 12</t>
  </si>
  <si>
    <t>https://www.wikiwand.com/de/articles/Gasturbinenkraftwerk_Ahrensfelde</t>
  </si>
  <si>
    <t>SEE929797382345</t>
  </si>
  <si>
    <t>Gasturbinenkraftwerk Ahrensfelde GT B</t>
  </si>
  <si>
    <t>SEE988046628214</t>
  </si>
  <si>
    <t>Gasturbinenkraftwerk Ahrensfelde GT C</t>
  </si>
  <si>
    <t>SEE923527691592</t>
  </si>
  <si>
    <t>Gasturbinenkraftwerk Ahrensfelde GT D</t>
  </si>
  <si>
    <t>SEE992841152355</t>
  </si>
  <si>
    <t>Gasturbinenkraftwerk Thyrow GT A</t>
  </si>
  <si>
    <t>Zossen</t>
  </si>
  <si>
    <t>Am Umspannwerk 12</t>
  </si>
  <si>
    <t>https://www.bakerhughes.com/sites/bakerhughes/files/2021-06/BakerHughes_Frame61B_Overview-060121.pdf</t>
  </si>
  <si>
    <t>SEE957496380690</t>
  </si>
  <si>
    <t>Gasturbinenkraftwerk Thyrow GT B</t>
  </si>
  <si>
    <t>Am Umspannwert 12</t>
  </si>
  <si>
    <t>SEE980421575656</t>
  </si>
  <si>
    <t>Gasturbinenkraftwerk Thyrow GT C</t>
  </si>
  <si>
    <t>SEE989393516094</t>
  </si>
  <si>
    <t>Gasturbinenkraftwerk Thyrow GT D</t>
  </si>
  <si>
    <t>SEE983877705974</t>
  </si>
  <si>
    <t>Gasturbinenkraftwerk Thyrow GT E</t>
  </si>
  <si>
    <t>SEE991817093418</t>
  </si>
  <si>
    <t>Kraftwerk Jänschwalde Block A</t>
  </si>
  <si>
    <t>03185</t>
  </si>
  <si>
    <t>Teichland</t>
  </si>
  <si>
    <t xml:space="preserve">Am Kraftwerk </t>
  </si>
  <si>
    <t>Braunkohle</t>
  </si>
  <si>
    <t>Rohbraunkohlen</t>
  </si>
  <si>
    <t>SEE938669585906</t>
  </si>
  <si>
    <t>Kraftwerk Jänschwalde Block B</t>
  </si>
  <si>
    <t>SEE989591633753</t>
  </si>
  <si>
    <t>Kraftwerk Jänschwalde Block C</t>
  </si>
  <si>
    <t>SEE923943268279</t>
  </si>
  <si>
    <t>Kraftwerk Jänschwalde Block D</t>
  </si>
  <si>
    <t>SEE973464796218</t>
  </si>
  <si>
    <t>LEIPA Georg Leinfelder GmbH</t>
  </si>
  <si>
    <t>Dampfturbine FSK Kuhheide 32a</t>
  </si>
  <si>
    <t>Schwedt</t>
  </si>
  <si>
    <t>Kuhheide 34</t>
  </si>
  <si>
    <t>SEE945682618689</t>
  </si>
  <si>
    <t>Model Sachsen Papier GmbH</t>
  </si>
  <si>
    <t>Dampfturbine Model Sachsen Papier</t>
  </si>
  <si>
    <t>04838</t>
  </si>
  <si>
    <t>Eilenburg</t>
  </si>
  <si>
    <t>Am Schanzberg 1</t>
  </si>
  <si>
    <t>SEE911097916719</t>
  </si>
  <si>
    <t>Gasturbine Model Sachsen Papier</t>
  </si>
  <si>
    <t>SEE962737235608</t>
  </si>
  <si>
    <t>Müllheizkraftwerk Rothensee GmbH</t>
  </si>
  <si>
    <t>Block 1</t>
  </si>
  <si>
    <t>Magdeburg</t>
  </si>
  <si>
    <t>Kraftwerk-Privatweg 7</t>
  </si>
  <si>
    <t>SEE963848288279</t>
  </si>
  <si>
    <t>Dampfturbine Block 3</t>
  </si>
  <si>
    <t>SEE999819576335</t>
  </si>
  <si>
    <t>Block 2</t>
  </si>
  <si>
    <t>SEE977898966292</t>
  </si>
  <si>
    <t>MVR Müllverwertung Rugenberger Damm GmbH</t>
  </si>
  <si>
    <t>MVR Rugenberger Damm Müll</t>
  </si>
  <si>
    <t>Rugenberger Damm 1</t>
  </si>
  <si>
    <t>SEE981876305560</t>
  </si>
  <si>
    <t>MVV Umwelt Asset GmbH</t>
  </si>
  <si>
    <t>TREA Leuna 1</t>
  </si>
  <si>
    <t>An der B 91 Tor 12</t>
  </si>
  <si>
    <t>SEE925794342412</t>
  </si>
  <si>
    <t>TREA Leuna 2</t>
  </si>
  <si>
    <t>SEE932265704129</t>
  </si>
  <si>
    <t>Neubrandenburger Stadtwerke GmbH</t>
  </si>
  <si>
    <t>Neubrandenburg</t>
  </si>
  <si>
    <t>Warliner Straße 22</t>
  </si>
  <si>
    <t>SEE975464070619</t>
  </si>
  <si>
    <t>SEE964935453853</t>
  </si>
  <si>
    <t>Dampfmotor</t>
  </si>
  <si>
    <t>SEE935952275827</t>
  </si>
  <si>
    <t>Nordzucker, Werk Klein Wanzleben</t>
  </si>
  <si>
    <t>Dampfturbine</t>
  </si>
  <si>
    <t>Wanzleben-Börde</t>
  </si>
  <si>
    <t>Magdeburger Landstraße 1</t>
  </si>
  <si>
    <t>SEE932127408097</t>
  </si>
  <si>
    <t>PreZero Energy Zorbau GmbH</t>
  </si>
  <si>
    <t>Generator Zorbau</t>
  </si>
  <si>
    <t>06686</t>
  </si>
  <si>
    <t>Lützen</t>
  </si>
  <si>
    <t>Bayerische Straße 20</t>
  </si>
  <si>
    <t>SEE944111876263</t>
  </si>
  <si>
    <t>Progroup Power 1 GmbH</t>
  </si>
  <si>
    <t>PPO1 - Eisenhüttenstadt</t>
  </si>
  <si>
    <t>Oderlandstraße 109</t>
  </si>
  <si>
    <t>SEE986097297199</t>
  </si>
  <si>
    <t>Qemetica Energy Deutschland</t>
  </si>
  <si>
    <t>QED_GuD_Staßfurt</t>
  </si>
  <si>
    <t>Staßfurt</t>
  </si>
  <si>
    <t>Athenslebener Weg (Staßfurt) 57</t>
  </si>
  <si>
    <t>SEE950593842498</t>
  </si>
  <si>
    <t>Remondis Thermische Abfallverwertung GmbH</t>
  </si>
  <si>
    <t>Butterwecker Weg 6</t>
  </si>
  <si>
    <t>SEE904662075126</t>
  </si>
  <si>
    <t>Sachsenmilch Leppersdorf GmbH</t>
  </si>
  <si>
    <t>7712MKA10-GT2</t>
  </si>
  <si>
    <t>01454</t>
  </si>
  <si>
    <t>Wachau</t>
  </si>
  <si>
    <t xml:space="preserve">An den Breiten </t>
  </si>
  <si>
    <t>SEE989200392347</t>
  </si>
  <si>
    <t>7711MKA10-GT1</t>
  </si>
  <si>
    <t>SEE966530598731</t>
  </si>
  <si>
    <t>Solvay GmbH</t>
  </si>
  <si>
    <t>Gegendruckdampfturbine Industriekraftwerk</t>
  </si>
  <si>
    <t>06406</t>
  </si>
  <si>
    <t>Bernburg</t>
  </si>
  <si>
    <t>Köthensche Straße 0,0416666666666667</t>
  </si>
  <si>
    <t>SEE956268312785</t>
  </si>
  <si>
    <t>Kondensationsturbine EKT</t>
  </si>
  <si>
    <t>Köthensche Straße 1</t>
  </si>
  <si>
    <t>SEE921877855527</t>
  </si>
  <si>
    <t>Gasturbine 01 Industriekraftwerk</t>
  </si>
  <si>
    <t>SEE988178455061</t>
  </si>
  <si>
    <t>Gasturbine 02 Industriekraftwerk</t>
  </si>
  <si>
    <t>Köthensche Straße 1A</t>
  </si>
  <si>
    <t>SEE937544161082</t>
  </si>
  <si>
    <t>SpreeStromErzeugungs GmbH</t>
  </si>
  <si>
    <t>EBS Heizkraftwerk Spremberg</t>
  </si>
  <si>
    <t>03130</t>
  </si>
  <si>
    <t>Spremberg</t>
  </si>
  <si>
    <t>An der Heide A9</t>
  </si>
  <si>
    <t>SEE964073339897</t>
  </si>
  <si>
    <t>Stadtwerke - Altmärkische Gas-, Wasser-und Elektrizitätswerke GmbH Stendal</t>
  </si>
  <si>
    <t>Heizkraftwerk Stendal</t>
  </si>
  <si>
    <t>Stendal</t>
  </si>
  <si>
    <t xml:space="preserve">Schillerstraße </t>
  </si>
  <si>
    <t>SEE978888539755</t>
  </si>
  <si>
    <t>Stadtwerke Cottbus GmbH</t>
  </si>
  <si>
    <t>Mittel-Niederdruckdampfturbine</t>
  </si>
  <si>
    <t>03052</t>
  </si>
  <si>
    <t>Cottbus</t>
  </si>
  <si>
    <t>Werner-von-Siemens-Straße 16</t>
  </si>
  <si>
    <t>SEE911129038174</t>
  </si>
  <si>
    <t>BHKW-Anlage</t>
  </si>
  <si>
    <t>SEE946069613440</t>
  </si>
  <si>
    <t>Stadtwerke Frankfurt (Oder) GmbH</t>
  </si>
  <si>
    <t>HKW FFO GM1</t>
  </si>
  <si>
    <t>Frankfurt</t>
  </si>
  <si>
    <t>Am Hohen Feld 4</t>
  </si>
  <si>
    <t xml:space="preserve">https://www.man-es.com/energy-storage/products/gas-fuel-engines </t>
  </si>
  <si>
    <t>SEE969511682320</t>
  </si>
  <si>
    <t>HKW FFO GM2</t>
  </si>
  <si>
    <t>SEE937997291855</t>
  </si>
  <si>
    <t>HKW FFO GM3</t>
  </si>
  <si>
    <t>https://www.man-es.com/energy-storage/products/gas-fuel-engines</t>
  </si>
  <si>
    <t>SEE900549498521</t>
  </si>
  <si>
    <t>HKW FFO GM4</t>
  </si>
  <si>
    <t>SEE939848582457</t>
  </si>
  <si>
    <t>HKW FFO GM5</t>
  </si>
  <si>
    <t>SEE955310827123</t>
  </si>
  <si>
    <t>Stadtwerke Leipzig GmbH</t>
  </si>
  <si>
    <t>Heizkraftwerk Leipzig Nord DT8B</t>
  </si>
  <si>
    <t>04105</t>
  </si>
  <si>
    <t>Leipzig</t>
  </si>
  <si>
    <t>Eutritzscher Straße 14b</t>
  </si>
  <si>
    <t>https://www.leipziger-industriekultur.de/heizkraftwerknord/</t>
  </si>
  <si>
    <t>SEE986249505394</t>
  </si>
  <si>
    <t>Heizkraftwerk Leipzig Nord DT8C</t>
  </si>
  <si>
    <t>SEE923244371197</t>
  </si>
  <si>
    <t>Heizkraftwerk Leipzig Nord GT81</t>
  </si>
  <si>
    <t>Eutritzscher Straße 14 b</t>
  </si>
  <si>
    <t>SEE936196276359</t>
  </si>
  <si>
    <t>Heizkraftwerk Leipzig Nord GT82</t>
  </si>
  <si>
    <t>SEE980915157566</t>
  </si>
  <si>
    <t>Heizkraftwerk Leipzig Süd GTA 9B</t>
  </si>
  <si>
    <t>04279</t>
  </si>
  <si>
    <t>Bornaische Straße 120</t>
  </si>
  <si>
    <t>SEE918609979057</t>
  </si>
  <si>
    <t>Heizkraftwerk Leipzig Süd GTA 9A</t>
  </si>
  <si>
    <t>SEE916662059105</t>
  </si>
  <si>
    <t>Stadtwerke Rostock Aktiengesellschaft</t>
  </si>
  <si>
    <t>GuD-Block 1</t>
  </si>
  <si>
    <t>Rostock</t>
  </si>
  <si>
    <t>Schmarler Damm 5</t>
  </si>
  <si>
    <t>SEE942226311273</t>
  </si>
  <si>
    <t>GuD-Block 2</t>
  </si>
  <si>
    <t>SEE908746529123</t>
  </si>
  <si>
    <t>GuD-Block 3</t>
  </si>
  <si>
    <t>SEE987361570932</t>
  </si>
  <si>
    <t>StWB Stadtwerke Brandenburg an der Havel</t>
  </si>
  <si>
    <t>HKW BRB</t>
  </si>
  <si>
    <t>Upstallstraße 9</t>
  </si>
  <si>
    <t>SEE908964165929</t>
  </si>
  <si>
    <t>SWE Energie GmbH</t>
  </si>
  <si>
    <t>T-DT</t>
  </si>
  <si>
    <t>Erfurt</t>
  </si>
  <si>
    <t>Stotternheimer Straße 40</t>
  </si>
  <si>
    <t>SEE915645322953</t>
  </si>
  <si>
    <t>GT 1</t>
  </si>
  <si>
    <t>SEE924373150776</t>
  </si>
  <si>
    <t>GT 2</t>
  </si>
  <si>
    <t>SEE997242656822</t>
  </si>
  <si>
    <t>GT 3</t>
  </si>
  <si>
    <t>SEE959229794460</t>
  </si>
  <si>
    <t>SEE901246020381</t>
  </si>
  <si>
    <t>TEAG Thüringer Energie AG</t>
  </si>
  <si>
    <t>Gasmotor Bad Salzungen</t>
  </si>
  <si>
    <t>Bad Salzungen</t>
  </si>
  <si>
    <t>Langenfelder Straße 82</t>
  </si>
  <si>
    <t>SEE988601422752</t>
  </si>
  <si>
    <t>Gasmotor 1 Jena</t>
  </si>
  <si>
    <t>07745</t>
  </si>
  <si>
    <t>Jena</t>
  </si>
  <si>
    <t>Rudolstädter Straße 41</t>
  </si>
  <si>
    <t>SEE936473203580</t>
  </si>
  <si>
    <t>Gasmotor 2 Jena</t>
  </si>
  <si>
    <t>SEE912583238223</t>
  </si>
  <si>
    <t>Gasmotor 3 Jena</t>
  </si>
  <si>
    <t>SEE969004747543</t>
  </si>
  <si>
    <t>Gasmotor 4 Jena</t>
  </si>
  <si>
    <t>SEE951160693116</t>
  </si>
  <si>
    <t>Gasmotor 5 Jena</t>
  </si>
  <si>
    <t>SEE991087959599</t>
  </si>
  <si>
    <t>Dampfturbine 1 Jena</t>
  </si>
  <si>
    <t>SEE998644964959</t>
  </si>
  <si>
    <t>Gasturbine 1 Jena</t>
  </si>
  <si>
    <t>SEE994538470544</t>
  </si>
  <si>
    <t>Gasturbine 2 Jena</t>
  </si>
  <si>
    <t>SEE959025997980</t>
  </si>
  <si>
    <t>Gasturbine 3 Jena</t>
  </si>
  <si>
    <t>SEE963454497492</t>
  </si>
  <si>
    <t>Dampfturbine 2 Jena</t>
  </si>
  <si>
    <t>SEE934298270268</t>
  </si>
  <si>
    <t>Thermische Abfallbehandlung Lauta GmbH &amp; Co. oHG</t>
  </si>
  <si>
    <t>T.A. Lauta</t>
  </si>
  <si>
    <t>02991</t>
  </si>
  <si>
    <t>Lauta</t>
  </si>
  <si>
    <t>Ind-u Gewg L Straße B 5</t>
  </si>
  <si>
    <t>SEE912160334607</t>
  </si>
  <si>
    <t>TotalEnergies Raffinerie Mitteldeutschland GmbH</t>
  </si>
  <si>
    <t>Leuna GT2</t>
  </si>
  <si>
    <t>SEE963827374382</t>
  </si>
  <si>
    <t>Uniper Kraftwerke GmbH</t>
  </si>
  <si>
    <t>Kirchmöser DT</t>
  </si>
  <si>
    <t>Bahntechnikerring 17</t>
  </si>
  <si>
    <t>SEE905035807238</t>
  </si>
  <si>
    <t>Kirchmöser GT 1</t>
  </si>
  <si>
    <t>SEE902267138956</t>
  </si>
  <si>
    <t>Kirchmöser GT 2</t>
  </si>
  <si>
    <t>SEE946934017984</t>
  </si>
  <si>
    <t>Vattenfall Europe New Energy Ecopower GmbH</t>
  </si>
  <si>
    <t>EBS-HKW Rostock</t>
  </si>
  <si>
    <t>Ost-West-Str. 25</t>
  </si>
  <si>
    <t>SEE970806189455</t>
  </si>
  <si>
    <t>Volkswagen Sachsen GmbH</t>
  </si>
  <si>
    <t>BHKW-G66-KWK-groß</t>
  </si>
  <si>
    <t>08058</t>
  </si>
  <si>
    <t>Zwickau</t>
  </si>
  <si>
    <t>Glauchauer Straße 40</t>
  </si>
  <si>
    <t>SEE951648072822</t>
  </si>
  <si>
    <t>Zweckverband für Abfallwirtschaft Südwestthüringen (ZASt)</t>
  </si>
  <si>
    <t>ZASt</t>
  </si>
  <si>
    <t>Zella-Mehlis</t>
  </si>
  <si>
    <t>Am Schießstand 15</t>
  </si>
  <si>
    <t>SEE996548424685</t>
  </si>
  <si>
    <t>IKW Block 4</t>
  </si>
  <si>
    <t>andere Gase</t>
  </si>
  <si>
    <t>Hochofengas, Konvertergas</t>
  </si>
  <si>
    <t>Sonstige Energieträger (nicht erneuerbar)</t>
  </si>
  <si>
    <t>SEE983138549866</t>
  </si>
  <si>
    <t>IKW Block 7</t>
  </si>
  <si>
    <t>SEE921449009914</t>
  </si>
  <si>
    <t>CropEnergies Bioethanol GmbH</t>
  </si>
  <si>
    <t>Dampfturbine IV CropEnergies Zeitz</t>
  </si>
  <si>
    <t>06712</t>
  </si>
  <si>
    <t>Zeitz</t>
  </si>
  <si>
    <t>Albrechtstraße 54</t>
  </si>
  <si>
    <t>SEE966844914388</t>
  </si>
  <si>
    <t>Großkayna GT1</t>
  </si>
  <si>
    <t>06242</t>
  </si>
  <si>
    <t>Großkayna</t>
  </si>
  <si>
    <t>Werkstraße 1</t>
  </si>
  <si>
    <t>SEE941844408532</t>
  </si>
  <si>
    <t>Großkayna GT2</t>
  </si>
  <si>
    <t>SEE905270326723</t>
  </si>
  <si>
    <t>Großkayna GT3</t>
  </si>
  <si>
    <t>SEE985842749525</t>
  </si>
  <si>
    <t>Boxberg Block N</t>
  </si>
  <si>
    <t>02943</t>
  </si>
  <si>
    <t>Boxberg</t>
  </si>
  <si>
    <t>Am Kraftwerk 1</t>
  </si>
  <si>
    <t>SEE908125004449</t>
  </si>
  <si>
    <t>Boxberg Block P</t>
  </si>
  <si>
    <t>SEE968582186379</t>
  </si>
  <si>
    <t>Boxberg Block R</t>
  </si>
  <si>
    <t>SEE938337436349</t>
  </si>
  <si>
    <t>Kraftwerk Schwarze Pumpe Block A</t>
  </si>
  <si>
    <t>An der alten Ziegelei 1</t>
  </si>
  <si>
    <t>SEE952672318108</t>
  </si>
  <si>
    <t>Kraftwerk Schwarze Pumpe Block B</t>
  </si>
  <si>
    <t>SEE907389779292</t>
  </si>
  <si>
    <t>Boxberg Block Q</t>
  </si>
  <si>
    <t>SEE966331411864</t>
  </si>
  <si>
    <t>Kraftwerk Lippendorf Block R</t>
  </si>
  <si>
    <t>04575</t>
  </si>
  <si>
    <t>Neukieritzsch</t>
  </si>
  <si>
    <t>Hauptstraße 200</t>
  </si>
  <si>
    <t>SEE998111672394</t>
  </si>
  <si>
    <t>MIBRAG GmbH</t>
  </si>
  <si>
    <t>IKW Wählitz</t>
  </si>
  <si>
    <t>06679</t>
  </si>
  <si>
    <t>Hohenmölsen</t>
  </si>
  <si>
    <t>Fabrikstraße 26</t>
  </si>
  <si>
    <t>SEE906257837416</t>
  </si>
  <si>
    <t>PCK Raffinerie GmbH</t>
  </si>
  <si>
    <t>5MKA</t>
  </si>
  <si>
    <t>Passower Chaussee 111</t>
  </si>
  <si>
    <t>Andere Mineralölprodukte</t>
  </si>
  <si>
    <t>SEE960529046555</t>
  </si>
  <si>
    <t>6MKA</t>
  </si>
  <si>
    <t>SEE943750140889</t>
  </si>
  <si>
    <t>4MKA</t>
  </si>
  <si>
    <t>SEE954086855965</t>
  </si>
  <si>
    <t>1MKA</t>
  </si>
  <si>
    <t>SEE995943794058</t>
  </si>
  <si>
    <t>2MKA</t>
  </si>
  <si>
    <t>SEE927630371594</t>
  </si>
  <si>
    <t>ROMONTA GmbH</t>
  </si>
  <si>
    <t>Grubenheizkraftwerk Amsdorf</t>
  </si>
  <si>
    <t>06317</t>
  </si>
  <si>
    <t>Seegebiet Mansfelder Land</t>
  </si>
  <si>
    <t>Chausseestraße 1</t>
  </si>
  <si>
    <t>Staub- und Trockenkohle</t>
  </si>
  <si>
    <t>SEE919134316447</t>
  </si>
  <si>
    <t>Saale Energie GmbH</t>
  </si>
  <si>
    <t>Schkopau A+B Bahngenerator</t>
  </si>
  <si>
    <t>06258</t>
  </si>
  <si>
    <t>Schkopau</t>
  </si>
  <si>
    <t>An der Bober 100</t>
  </si>
  <si>
    <t>SEE960652233358</t>
  </si>
  <si>
    <t>Schkopau A</t>
  </si>
  <si>
    <t>SEE947677200282</t>
  </si>
  <si>
    <t>Schkopau B</t>
  </si>
  <si>
    <t>SEE994335340088</t>
  </si>
  <si>
    <t>HKW DT</t>
  </si>
  <si>
    <t>SEE970305352633</t>
  </si>
  <si>
    <t>Südzucker AG</t>
  </si>
  <si>
    <t>Dampfturbine III Südzucker Zeitz</t>
  </si>
  <si>
    <t>SEE982556430190</t>
  </si>
  <si>
    <t>Raffineriekraftwerk Leuna HDT</t>
  </si>
  <si>
    <t>Am Haupttor 3691</t>
  </si>
  <si>
    <t>SEE974711013546</t>
  </si>
  <si>
    <t>Raffineriekraftwerk Leuna NDT</t>
  </si>
  <si>
    <t>SEE912935247576</t>
  </si>
  <si>
    <t>Raffineriekraftwerk Leuna MDT</t>
  </si>
  <si>
    <t>SEE943427876363</t>
  </si>
  <si>
    <t>EnBW Energie Baden-Württemberg AG</t>
  </si>
  <si>
    <t>Kraftwerk Rostock Block A</t>
  </si>
  <si>
    <t>Am Kühlturm 1</t>
  </si>
  <si>
    <t>SEE998199911088</t>
  </si>
  <si>
    <t>Kraftwerk Lippendorf Block S</t>
  </si>
  <si>
    <t>SEE945150729886</t>
  </si>
  <si>
    <t>AGR Abfallentsorgungs-Gesellschaft Ruhrgebiet mbH</t>
  </si>
  <si>
    <t>RZR I Turbine1</t>
  </si>
  <si>
    <t>Herten</t>
  </si>
  <si>
    <t>Im Emscherbruch 11</t>
  </si>
  <si>
    <t>Nordrhein-Westfalen</t>
  </si>
  <si>
    <t>SEE941568392261</t>
  </si>
  <si>
    <t>RZR I Turbine2</t>
  </si>
  <si>
    <t>SEE953718174887</t>
  </si>
  <si>
    <t>Allgäuer Überlandwerk GmbH</t>
  </si>
  <si>
    <t>Spitzenlastkraftwerk Veits Gasturbine</t>
  </si>
  <si>
    <t>Waltenhofen</t>
  </si>
  <si>
    <t>Veits 13</t>
  </si>
  <si>
    <t>Bayern</t>
  </si>
  <si>
    <t>SEE900664653232</t>
  </si>
  <si>
    <t>AMK-Abfallentsorgungsgesellschaft des Märkischen Kreises mbH</t>
  </si>
  <si>
    <t>Turbine 1</t>
  </si>
  <si>
    <t>Iserlohn</t>
  </si>
  <si>
    <t>Giesestraße 10</t>
  </si>
  <si>
    <t>SEE909553236495</t>
  </si>
  <si>
    <t>Arla Foods Deutschland GmbH</t>
  </si>
  <si>
    <t>Turbine Pronsfeld</t>
  </si>
  <si>
    <t>Pronsfeld</t>
  </si>
  <si>
    <t>Im Scheid 1</t>
  </si>
  <si>
    <t>Rheinland-Pfalz</t>
  </si>
  <si>
    <t>SEE957830042178</t>
  </si>
  <si>
    <t>AVEA Entsorgungsbetriebe</t>
  </si>
  <si>
    <t>Turbine 3</t>
  </si>
  <si>
    <t>Leverkusen</t>
  </si>
  <si>
    <t>Im Eisholz 12</t>
  </si>
  <si>
    <t>SEE942956157011</t>
  </si>
  <si>
    <t>AVG Abfallentsorgungs- und Verwertungsgesellschaft Köln mbH</t>
  </si>
  <si>
    <t>Turbosatz 2</t>
  </si>
  <si>
    <t>Köln</t>
  </si>
  <si>
    <t>Geestemünder Str. 23</t>
  </si>
  <si>
    <t>SEE941568476039</t>
  </si>
  <si>
    <t>Turbosatz 1</t>
  </si>
  <si>
    <t>SEE971914041024</t>
  </si>
  <si>
    <t>Basell Polyolefine GmbH</t>
  </si>
  <si>
    <t>Gasturbine Basell Wesseling</t>
  </si>
  <si>
    <t>Wesseling</t>
  </si>
  <si>
    <t>Brühler Straße 60</t>
  </si>
  <si>
    <t>SEE915108754215</t>
  </si>
  <si>
    <t>Kraftwerk Basell Wesseling</t>
  </si>
  <si>
    <t>SEE940474859066</t>
  </si>
  <si>
    <t>BASF SE</t>
  </si>
  <si>
    <t>Z564 VT1</t>
  </si>
  <si>
    <t>Ludwigshafen</t>
  </si>
  <si>
    <t>Carl-Bosch-Straße 38</t>
  </si>
  <si>
    <t>SEE906899424722</t>
  </si>
  <si>
    <t>S300 NT7</t>
  </si>
  <si>
    <t>SEE976459856379</t>
  </si>
  <si>
    <t>S300 VT1</t>
  </si>
  <si>
    <t>SEE956943312185</t>
  </si>
  <si>
    <t>A718 KT9</t>
  </si>
  <si>
    <t>SEE943309807898</t>
  </si>
  <si>
    <t>GuD Süd DT</t>
  </si>
  <si>
    <t>SEE976850689781</t>
  </si>
  <si>
    <t>GuD Mitte DT10</t>
  </si>
  <si>
    <t>SEE923421872301</t>
  </si>
  <si>
    <t>GuD Süd GT2</t>
  </si>
  <si>
    <t>SEE944122961347</t>
  </si>
  <si>
    <t>GuD Süd GT1</t>
  </si>
  <si>
    <t>SEE920494524915</t>
  </si>
  <si>
    <t>GuD Mitte GT11</t>
  </si>
  <si>
    <t>SEE914414538991</t>
  </si>
  <si>
    <t>GuD Mitte GT12</t>
  </si>
  <si>
    <t>SEE984166693200</t>
  </si>
  <si>
    <t>Boehringer Ingelheim Pharma GmbH&amp;Co.KG</t>
  </si>
  <si>
    <t>Boehringer Ingelheim - 6482 - PSI - KWK</t>
  </si>
  <si>
    <t>Ingelheim</t>
  </si>
  <si>
    <t>Binger Strasse 173</t>
  </si>
  <si>
    <t>SEE960254517375</t>
  </si>
  <si>
    <t>BP Europa SE</t>
  </si>
  <si>
    <t>TG6</t>
  </si>
  <si>
    <t>Lingen</t>
  </si>
  <si>
    <t>Raffineriestr. 1</t>
  </si>
  <si>
    <t>Niedersachsen</t>
  </si>
  <si>
    <t>SEE950981928360</t>
  </si>
  <si>
    <t>TG4</t>
  </si>
  <si>
    <t>Raffineriestraße 1</t>
  </si>
  <si>
    <t>SEE967441234602</t>
  </si>
  <si>
    <t>SEE909297051026</t>
  </si>
  <si>
    <t>SEE908293161302</t>
  </si>
  <si>
    <t>Buchmann Karton</t>
  </si>
  <si>
    <t>Dampfturbine 7</t>
  </si>
  <si>
    <t>Annweiler</t>
  </si>
  <si>
    <t>Wasgaustraße 5</t>
  </si>
  <si>
    <t>SEE976415135319</t>
  </si>
  <si>
    <t>BHKW Kre</t>
  </si>
  <si>
    <t>Krefeld</t>
  </si>
  <si>
    <t>Düsseldorfer Straße 191</t>
  </si>
  <si>
    <t>SEE926239714443</t>
  </si>
  <si>
    <t>DT Kre</t>
  </si>
  <si>
    <t>Düsseldorfer Strasse 191</t>
  </si>
  <si>
    <t>SEE941166182769</t>
  </si>
  <si>
    <t>Currenta GmbH &amp; Co. OHG</t>
  </si>
  <si>
    <t>LEV KWG G22</t>
  </si>
  <si>
    <t>Kaiser-Wilhelm-Allee 80</t>
  </si>
  <si>
    <t>SEE976193474983</t>
  </si>
  <si>
    <t>LEV KWG G21</t>
  </si>
  <si>
    <t>SEE917033307511</t>
  </si>
  <si>
    <t>UER N230 VST4</t>
  </si>
  <si>
    <t>Rheinuferstraße 7</t>
  </si>
  <si>
    <t>SEE988421065542</t>
  </si>
  <si>
    <t>UER N230 NST2</t>
  </si>
  <si>
    <t>SEE910161577337</t>
  </si>
  <si>
    <t>UER L57 M1</t>
  </si>
  <si>
    <t>SEE956973616802</t>
  </si>
  <si>
    <t>LEV KWG G12</t>
  </si>
  <si>
    <t>SEE976489828827</t>
  </si>
  <si>
    <t>LEV KWG G11</t>
  </si>
  <si>
    <t>SEE968234156613</t>
  </si>
  <si>
    <t>LEV KWX G20</t>
  </si>
  <si>
    <t>SEE945462188876</t>
  </si>
  <si>
    <t>LEV KWG G19</t>
  </si>
  <si>
    <t>SEE993301547841</t>
  </si>
  <si>
    <t>UER N230 NST4</t>
  </si>
  <si>
    <t>SEE980525088564</t>
  </si>
  <si>
    <t>UER N230 NST3</t>
  </si>
  <si>
    <t>SEE942777699660</t>
  </si>
  <si>
    <t>EBS Kraftwerk GmbH</t>
  </si>
  <si>
    <t>EBKW Knapsack</t>
  </si>
  <si>
    <t>Hürth</t>
  </si>
  <si>
    <t>Industriestraße 300</t>
  </si>
  <si>
    <t>SEE915666168653</t>
  </si>
  <si>
    <t>EEW Energy from Waste Saarbrücken GmbH</t>
  </si>
  <si>
    <t>MHKW  Pirmasens Verbrennung II</t>
  </si>
  <si>
    <t>Pirmasens</t>
  </si>
  <si>
    <t>Staffelberg 4</t>
  </si>
  <si>
    <t>SEE974059990561</t>
  </si>
  <si>
    <t>EEW Energy from Waste Saarbrücken GmbH  AHKW-Neunkirchen</t>
  </si>
  <si>
    <t>AHKW-Neunkirchen Turbine 5</t>
  </si>
  <si>
    <t>Neunkirchen</t>
  </si>
  <si>
    <t>Am Blücherflöz 12</t>
  </si>
  <si>
    <t>Saarland</t>
  </si>
  <si>
    <t>SEE994551453975</t>
  </si>
  <si>
    <t>EkoCity</t>
  </si>
  <si>
    <t>Generator A</t>
  </si>
  <si>
    <t>Wuppertal</t>
  </si>
  <si>
    <t>Korzert 15</t>
  </si>
  <si>
    <t>SEE945602121718</t>
  </si>
  <si>
    <t>Generator B</t>
  </si>
  <si>
    <t>SEE950895373805</t>
  </si>
  <si>
    <t>Energie SaarLorLux AG</t>
  </si>
  <si>
    <t>Dampfturbinenanlage DT3</t>
  </si>
  <si>
    <t>Saarbrücken</t>
  </si>
  <si>
    <t>Bismarckstraße 143</t>
  </si>
  <si>
    <t>SEE975188536989</t>
  </si>
  <si>
    <t>HKW-Römerbrücke GuD-Anlage</t>
  </si>
  <si>
    <t>SEE927282130440</t>
  </si>
  <si>
    <t>Gasmotorenkraftwerk Römerbrücke</t>
  </si>
  <si>
    <t>Bismarckstraße 153</t>
  </si>
  <si>
    <t>SEE979779484642</t>
  </si>
  <si>
    <t>HKW-Römerbrücke Dampfturbinenanlage DT2</t>
  </si>
  <si>
    <t>SEE924302504816</t>
  </si>
  <si>
    <t>Energie- und Wasserversorgung Bonn/Rhein-Sieg GmbH</t>
  </si>
  <si>
    <t>HKW Bonn-Nord, Turbogruppe 4</t>
  </si>
  <si>
    <t>Bonn</t>
  </si>
  <si>
    <t>Karlstr. 2</t>
  </si>
  <si>
    <t>SEE990603147649</t>
  </si>
  <si>
    <t>Heizkraftwerk Bonn-Nord, Gasturbine 1 der GuD-Anlage</t>
  </si>
  <si>
    <t>Karlstraße 2</t>
  </si>
  <si>
    <t>SEE927419839802</t>
  </si>
  <si>
    <t>Heizkraftwerk Bonn-Nord, Gasturbine 2 der GuD-Anlage</t>
  </si>
  <si>
    <t>SEE997867646000</t>
  </si>
  <si>
    <t>Heizkraftwerk Bonn-Nord, Dampfturbine GuD-Anlage</t>
  </si>
  <si>
    <t>SEE922153723905</t>
  </si>
  <si>
    <t>Energieversorgung Oberhausen</t>
  </si>
  <si>
    <t>Heizkraftwerk I</t>
  </si>
  <si>
    <t>Oberhausen</t>
  </si>
  <si>
    <t>Danziger Str. 31</t>
  </si>
  <si>
    <t>SEE938782869693</t>
  </si>
  <si>
    <t>Energieversorgung Offenbach AG</t>
  </si>
  <si>
    <t>Müllheizkraftwerk Offenbach Turbine 1</t>
  </si>
  <si>
    <t>Offenbach</t>
  </si>
  <si>
    <t>Dietzenbacher Straße 189</t>
  </si>
  <si>
    <t>Hessen</t>
  </si>
  <si>
    <t>SEE954169155876</t>
  </si>
  <si>
    <t>Heizkraftwerk-Offenbach-EVO</t>
  </si>
  <si>
    <t>Andréstraße 71</t>
  </si>
  <si>
    <t>SEE963398776042</t>
  </si>
  <si>
    <t>Netzreserve</t>
  </si>
  <si>
    <t>ENTEGA AG</t>
  </si>
  <si>
    <t>GT11</t>
  </si>
  <si>
    <t>Darmstadt</t>
  </si>
  <si>
    <t>Frankfurter Straße 100</t>
  </si>
  <si>
    <t>SEE996136363488</t>
  </si>
  <si>
    <t>GT12</t>
  </si>
  <si>
    <t>SEE986030306643</t>
  </si>
  <si>
    <t>Entsorgungsgesellschaft Mainz mbH</t>
  </si>
  <si>
    <t>MHKW DTS</t>
  </si>
  <si>
    <t>Mainz</t>
  </si>
  <si>
    <t>Kraftwerkallee 1</t>
  </si>
  <si>
    <t>SEE977273010268</t>
  </si>
  <si>
    <t>Evonik Operations GmbH</t>
  </si>
  <si>
    <t>Kraftwerk IV, DT 411</t>
  </si>
  <si>
    <t>Marl</t>
  </si>
  <si>
    <t>Paul-Baumann-Straße 1</t>
  </si>
  <si>
    <t>SEE994351082467</t>
  </si>
  <si>
    <t>Kraftwerk VI, Block 61, DT610</t>
  </si>
  <si>
    <t>SEE970820981745</t>
  </si>
  <si>
    <t>Kraftwerk VI, Block 62, DT620</t>
  </si>
  <si>
    <t>SEE920801236685</t>
  </si>
  <si>
    <t>Kraftwerk VII, Block 71, DT710</t>
  </si>
  <si>
    <t>SEE945093389369</t>
  </si>
  <si>
    <t>Kraftwerk IV, GT 421</t>
  </si>
  <si>
    <t>SEE926313104276</t>
  </si>
  <si>
    <t>Kraftwerk VI, Block 62, GT621</t>
  </si>
  <si>
    <t>SEE907282834715</t>
  </si>
  <si>
    <t>Kraftwerk VI, Block 61, GT611</t>
  </si>
  <si>
    <t>SEE920575296687</t>
  </si>
  <si>
    <t>Kraftwerk VII, Block 71, GT711</t>
  </si>
  <si>
    <t>SEE940780197517</t>
  </si>
  <si>
    <t>Felix Schoeller GmbH &amp; Co. KG</t>
  </si>
  <si>
    <t>Felix Schoeller GmbH &amp; Co.KG Osnabrück</t>
  </si>
  <si>
    <t>Osnabrück</t>
  </si>
  <si>
    <t>Burg Gretesch 45</t>
  </si>
  <si>
    <t>SEE929826629465</t>
  </si>
  <si>
    <t>FFR Fernwärmeversorgung Flugplatz Ramstein</t>
  </si>
  <si>
    <t>BHKW Ramstein</t>
  </si>
  <si>
    <t>Ramstein-Miesenbach</t>
  </si>
  <si>
    <t>Reichswaldstraße 9</t>
  </si>
  <si>
    <t>SEE955937262338</t>
  </si>
  <si>
    <t>GMVA Gemeinschafts-Müll-Verbrennungsanlage Niederrhein GmbH</t>
  </si>
  <si>
    <t>„Turbosatz 1“</t>
  </si>
  <si>
    <t>Liricher Str. 121</t>
  </si>
  <si>
    <t>SEE993054223955</t>
  </si>
  <si>
    <t>„Turbosatz 2“</t>
  </si>
  <si>
    <t>SEE973931205885</t>
  </si>
  <si>
    <t>GSH Green Steam Hürth GmbH</t>
  </si>
  <si>
    <t>GSH Green Steam Hürth - Stromerzeugung nach KWKG</t>
  </si>
  <si>
    <t>Bertrams-Jagdweg 12</t>
  </si>
  <si>
    <t>SEE948351715917</t>
  </si>
  <si>
    <t>GuD Herne</t>
  </si>
  <si>
    <t>Herne</t>
  </si>
  <si>
    <t>Hertener Straße 16</t>
  </si>
  <si>
    <t>SEE949722134498</t>
  </si>
  <si>
    <t>Henkel AG &amp; Co. KGaA</t>
  </si>
  <si>
    <t>F03G2</t>
  </si>
  <si>
    <t>Düsseldorf</t>
  </si>
  <si>
    <t>Henkelstraße 67</t>
  </si>
  <si>
    <t>SEE952807166543</t>
  </si>
  <si>
    <t>F03G3</t>
  </si>
  <si>
    <t>SEE945580171361</t>
  </si>
  <si>
    <t>F13G5</t>
  </si>
  <si>
    <t>SEE907828499484</t>
  </si>
  <si>
    <t>F13G6</t>
  </si>
  <si>
    <t>SEE958335974377</t>
  </si>
  <si>
    <t>IHKW Industrieheizkraftwerk Andernach GmbH</t>
  </si>
  <si>
    <t>Andernach</t>
  </si>
  <si>
    <t>Koblenzer Straße 141</t>
  </si>
  <si>
    <t>SEE929865645150</t>
  </si>
  <si>
    <t>INEOS Manufacturing Deutschland</t>
  </si>
  <si>
    <t>Turbine 24</t>
  </si>
  <si>
    <t>Alte Str. 201</t>
  </si>
  <si>
    <t>Sonstige hergestellte Gase</t>
  </si>
  <si>
    <t>SEE935397901879</t>
  </si>
  <si>
    <t>Turbine 21</t>
  </si>
  <si>
    <t>SEE918791805134</t>
  </si>
  <si>
    <t>Turbine 23</t>
  </si>
  <si>
    <t>SEE933851011843</t>
  </si>
  <si>
    <t>Turbine 22</t>
  </si>
  <si>
    <t>SEE983237534152</t>
  </si>
  <si>
    <t>GT11800</t>
  </si>
  <si>
    <t>SEE988668060393</t>
  </si>
  <si>
    <t>Turbine 31</t>
  </si>
  <si>
    <t>SEE946501569267</t>
  </si>
  <si>
    <t>INEOS SOLVENTS GERMANY GMBH</t>
  </si>
  <si>
    <t>TG8</t>
  </si>
  <si>
    <t>Moers</t>
  </si>
  <si>
    <t>Römerstraße 733</t>
  </si>
  <si>
    <t>SEE909438607068</t>
  </si>
  <si>
    <t>Infraserv GmbH &amp; Co. Höchst KG</t>
  </si>
  <si>
    <t>IPH Strom VT3</t>
  </si>
  <si>
    <t>Brüningstraße 50</t>
  </si>
  <si>
    <t>SEE928072880231</t>
  </si>
  <si>
    <t>IPH Strom VT5</t>
  </si>
  <si>
    <t>SEE919137629452</t>
  </si>
  <si>
    <t>IPH Strom VT1</t>
  </si>
  <si>
    <t>SEE948546582201</t>
  </si>
  <si>
    <t>IPH Strom VT2</t>
  </si>
  <si>
    <t>SEE905366486355</t>
  </si>
  <si>
    <t>IPH Strom VT4</t>
  </si>
  <si>
    <t>SEE914989602134</t>
  </si>
  <si>
    <t>IPH Strom GTX2</t>
  </si>
  <si>
    <t>SEE969540726491</t>
  </si>
  <si>
    <t>IPH Strom GTX3</t>
  </si>
  <si>
    <t>SEE946744372112</t>
  </si>
  <si>
    <t>IPH Strom GTX1</t>
  </si>
  <si>
    <t>SEE958909269267</t>
  </si>
  <si>
    <t>IPH Ersatzbrennstoffverbrennung Turbine</t>
  </si>
  <si>
    <t>SEE974805767829</t>
  </si>
  <si>
    <t>IPH Strom GTX 8</t>
  </si>
  <si>
    <t>SEE936502086450</t>
  </si>
  <si>
    <t>IPH Strom GTX 7</t>
  </si>
  <si>
    <t>SEE964717210810</t>
  </si>
  <si>
    <t>Infraserv GmbH &amp; Co. Wiesbaden KG</t>
  </si>
  <si>
    <t>Generator 3</t>
  </si>
  <si>
    <t>Wiesbaden</t>
  </si>
  <si>
    <t>Rheingaustraße 190-196</t>
  </si>
  <si>
    <t>SEE988616317180</t>
  </si>
  <si>
    <t>Generator 4</t>
  </si>
  <si>
    <t>SEE968474056711</t>
  </si>
  <si>
    <t>Generator 6</t>
  </si>
  <si>
    <t>SEE919189403703</t>
  </si>
  <si>
    <t>Generator 7</t>
  </si>
  <si>
    <t>SEE959576281422</t>
  </si>
  <si>
    <t>Knapsack Power GmbH &amp; Co. KG</t>
  </si>
  <si>
    <t>Knapsack I - Dampfturbine - DT 10</t>
  </si>
  <si>
    <t>https://www.statkraft.com/about-statkraft/where-we-operate/germany/knapsack-i-and-ii-gas-fired-power-plants/</t>
  </si>
  <si>
    <t>SEE905192478234</t>
  </si>
  <si>
    <t>Knapsack I - Gasturbine GT12</t>
  </si>
  <si>
    <t>SEE930982693153</t>
  </si>
  <si>
    <t>Knapsack I - Gasturbine  GT11</t>
  </si>
  <si>
    <t>SEE928580946900</t>
  </si>
  <si>
    <t>Konsortium Energieversorgung Opel beschränkt haftende oHG</t>
  </si>
  <si>
    <t>GuD-Heizkraftwerk M120</t>
  </si>
  <si>
    <t>Rüsselsheim</t>
  </si>
  <si>
    <t xml:space="preserve">Mainzer Straße </t>
  </si>
  <si>
    <t>SEE936042422251</t>
  </si>
  <si>
    <t>Kraftwerk Neuss GmbH</t>
  </si>
  <si>
    <t>GT</t>
  </si>
  <si>
    <t>Neuss</t>
  </si>
  <si>
    <t>Düsseldorfer Straße 182-184</t>
  </si>
  <si>
    <t>SEE982563254987</t>
  </si>
  <si>
    <t>Kraftwerke Mainz-Wiesbaden AG</t>
  </si>
  <si>
    <t>KW2 GT26</t>
  </si>
  <si>
    <t>SEE996285049943</t>
  </si>
  <si>
    <t>KW3 DT32</t>
  </si>
  <si>
    <t>SEE969670581717</t>
  </si>
  <si>
    <t>KW2 DT27</t>
  </si>
  <si>
    <t>Facts &amp; Figures Kerngesch</t>
  </si>
  <si>
    <t>SEE909927513559</t>
  </si>
  <si>
    <t>KW3 GT31</t>
  </si>
  <si>
    <t>SEE992947793209</t>
  </si>
  <si>
    <t>Kreis Weseler Abfallgesellschaft mbH &amp; Co.KG</t>
  </si>
  <si>
    <t>Kamp-Lintfort</t>
  </si>
  <si>
    <t>Graftstraße 25</t>
  </si>
  <si>
    <t>SEE957639615832</t>
  </si>
  <si>
    <t>MAN Energy Solutions SE</t>
  </si>
  <si>
    <t>Prüfstand 15</t>
  </si>
  <si>
    <t>Augsburg</t>
  </si>
  <si>
    <t>Stadtbachstraße 1</t>
  </si>
  <si>
    <t>SEE942982288260</t>
  </si>
  <si>
    <t>Mark-E Aktiengesellschaft</t>
  </si>
  <si>
    <t>Cuno Heizkraftwerk Herdecke H6</t>
  </si>
  <si>
    <t>Herdecke</t>
  </si>
  <si>
    <t>Wetterstraße 111</t>
  </si>
  <si>
    <t>SEE982064018118</t>
  </si>
  <si>
    <t>Moritz J. Weig GmbH &amp; Co. KG</t>
  </si>
  <si>
    <t>Gasturbine 2</t>
  </si>
  <si>
    <t>Mayen</t>
  </si>
  <si>
    <t>Polcher Straße 113</t>
  </si>
  <si>
    <t>SEE999756197518</t>
  </si>
  <si>
    <t>Dampfturbine 2</t>
  </si>
  <si>
    <t>SEE927727929912</t>
  </si>
  <si>
    <t>MVA Weisweiler GmbH &amp; Co. KG</t>
  </si>
  <si>
    <t>MVA-Turbine</t>
  </si>
  <si>
    <t>Eschweiler</t>
  </si>
  <si>
    <t>Zum Hagelkreuz 22</t>
  </si>
  <si>
    <t>SEE921785427038</t>
  </si>
  <si>
    <t>OQ Chemicals Produktion GmbH &amp; Co.KG</t>
  </si>
  <si>
    <t>T/G 6</t>
  </si>
  <si>
    <t>Otto-Roelen-Strasse 3</t>
  </si>
  <si>
    <t>SEE957163765348</t>
  </si>
  <si>
    <t>ORION Engineered Carbons GmbH</t>
  </si>
  <si>
    <t>Harry-Kloepfer-Str. 1</t>
  </si>
  <si>
    <t>Andere Gase</t>
  </si>
  <si>
    <t>SEE944148486770</t>
  </si>
  <si>
    <t>SEE995077047419</t>
  </si>
  <si>
    <t>Palm Power GmbH &amp; Co. KG</t>
  </si>
  <si>
    <t>HKW Wörth</t>
  </si>
  <si>
    <t>Wörth</t>
  </si>
  <si>
    <t>Am Oberwald 2</t>
  </si>
  <si>
    <t>SEE998558143099</t>
  </si>
  <si>
    <t>Pfeifer &amp; Langen GmbH ＆ Co. KG</t>
  </si>
  <si>
    <t>Generator Jülich</t>
  </si>
  <si>
    <t>Jülich</t>
  </si>
  <si>
    <t>Dürener Str. 20</t>
  </si>
  <si>
    <t>SEE961057667205</t>
  </si>
  <si>
    <t>Pirelli Deutschland</t>
  </si>
  <si>
    <t>Gasturbine Kraftwerk</t>
  </si>
  <si>
    <t>Breuberg</t>
  </si>
  <si>
    <t>Höchster Straße 48 -60</t>
  </si>
  <si>
    <t>SEE961660070034</t>
  </si>
  <si>
    <t>RheinEnergie AG</t>
  </si>
  <si>
    <t>Block 4 Merkenich RheinEnergie</t>
  </si>
  <si>
    <t>Merkenicher Hauptstr. 2</t>
  </si>
  <si>
    <t>SEE972128015696</t>
  </si>
  <si>
    <t>BHKW Merheim RheinEnergie</t>
  </si>
  <si>
    <t>Ostmerheimer Str. 557</t>
  </si>
  <si>
    <t>SEE915426748132</t>
  </si>
  <si>
    <t>Block 6 Merkenich RheinEnergie</t>
  </si>
  <si>
    <t>Wirbelschichtkohle</t>
  </si>
  <si>
    <t>SEE978207781308</t>
  </si>
  <si>
    <t>GuD Merkenich RheinEnergie</t>
  </si>
  <si>
    <t>SEE916609233650</t>
  </si>
  <si>
    <t>DT Niehl 2 RheinEnergie</t>
  </si>
  <si>
    <t>Am Molenkopf 3</t>
  </si>
  <si>
    <t>SEE984335626152</t>
  </si>
  <si>
    <t>GT Niehl 2 RheinEnergie</t>
  </si>
  <si>
    <t>SEE931050475398</t>
  </si>
  <si>
    <t>GuD Niehl 3 RheinEnergie</t>
  </si>
  <si>
    <t>SEE956884287917</t>
  </si>
  <si>
    <t>Röhm GmbH</t>
  </si>
  <si>
    <t>Generator 2</t>
  </si>
  <si>
    <t>Worms</t>
  </si>
  <si>
    <t>Im Pfaffenwinkel 6</t>
  </si>
  <si>
    <t>SEE904604163027</t>
  </si>
  <si>
    <t>RWE Generation SE</t>
  </si>
  <si>
    <t>Karnap B</t>
  </si>
  <si>
    <t>Essen</t>
  </si>
  <si>
    <t>Arenbergstr. 45</t>
  </si>
  <si>
    <t>SEE978654614532</t>
  </si>
  <si>
    <t>Gersteinwerk H1</t>
  </si>
  <si>
    <t>Werne</t>
  </si>
  <si>
    <t>Hammer Straße 2</t>
  </si>
  <si>
    <t>SEE995899706617</t>
  </si>
  <si>
    <t>Gersteinwerk I GT (I1)</t>
  </si>
  <si>
    <t>SEE933564106935</t>
  </si>
  <si>
    <t>Emsland B GT1</t>
  </si>
  <si>
    <t>Schüttorfer Straße 100</t>
  </si>
  <si>
    <t>SEE951620659119</t>
  </si>
  <si>
    <t>Emsland B GT2</t>
  </si>
  <si>
    <t>SEE925192446583</t>
  </si>
  <si>
    <t>Emsland C GT2</t>
  </si>
  <si>
    <t>SEE921098709050</t>
  </si>
  <si>
    <t>Emsland C GT1</t>
  </si>
  <si>
    <t>SEE964242179781</t>
  </si>
  <si>
    <t>Gersteinwerk K</t>
  </si>
  <si>
    <t>SEE914857304191</t>
  </si>
  <si>
    <t>Dormagen GT1</t>
  </si>
  <si>
    <t>Dormagen</t>
  </si>
  <si>
    <t>Alte Heerstraße 1</t>
  </si>
  <si>
    <t>SEE908089235248</t>
  </si>
  <si>
    <t>Dormagen GT2</t>
  </si>
  <si>
    <t>SEE991220769276</t>
  </si>
  <si>
    <t>Dormagen DT</t>
  </si>
  <si>
    <t>SEE911671792326</t>
  </si>
  <si>
    <t>Emsland D GT1</t>
  </si>
  <si>
    <t>SEE929022761297</t>
  </si>
  <si>
    <t>Emsland D GT2</t>
  </si>
  <si>
    <t>SEE979958390276</t>
  </si>
  <si>
    <t>Emsland D DT</t>
  </si>
  <si>
    <t>SEE985908351792</t>
  </si>
  <si>
    <t>Emsland B DT</t>
  </si>
  <si>
    <t>SEE994418588468</t>
  </si>
  <si>
    <t>Emsland C DT</t>
  </si>
  <si>
    <t>SEE909886576275</t>
  </si>
  <si>
    <t>RWE Power AG</t>
  </si>
  <si>
    <t>Weisweiler G VGT</t>
  </si>
  <si>
    <t>Am Kraftwerk 17</t>
  </si>
  <si>
    <t>SEE999117793854</t>
  </si>
  <si>
    <t>Weisweiler H VGT</t>
  </si>
  <si>
    <t>SEE947996339434</t>
  </si>
  <si>
    <t>RZR II Herten GmbH</t>
  </si>
  <si>
    <t>RZR II Turbine4</t>
  </si>
  <si>
    <t>SEE923271533315</t>
  </si>
  <si>
    <t>RZR II Turbine3</t>
  </si>
  <si>
    <t>SEE969775213346</t>
  </si>
  <si>
    <t>Shell Deutschland GmbH</t>
  </si>
  <si>
    <t>Shell Energy and Chemicals Park, Kraftwerk Godorf</t>
  </si>
  <si>
    <t>Godorfer Hauptstr. 150</t>
  </si>
  <si>
    <t>Raffineriegas</t>
  </si>
  <si>
    <t>SEE991324265957</t>
  </si>
  <si>
    <t>Smurfit Westrock Zülpich Paper GmbH</t>
  </si>
  <si>
    <t>DT06</t>
  </si>
  <si>
    <t>Zülpich</t>
  </si>
  <si>
    <t>Zum Mühlengraben 1</t>
  </si>
  <si>
    <t>SEE986520256656</t>
  </si>
  <si>
    <t>Solvay Rb TA7</t>
  </si>
  <si>
    <t>Rheinberg</t>
  </si>
  <si>
    <t>Xantener Straße 237</t>
  </si>
  <si>
    <t>SEE993292613167</t>
  </si>
  <si>
    <t>Solvay Rb TA8</t>
  </si>
  <si>
    <t>SEE964450365167</t>
  </si>
  <si>
    <t>Solvay Rb TA9</t>
  </si>
  <si>
    <t>SEE970931306376</t>
  </si>
  <si>
    <t>Solvay Rb TA10</t>
  </si>
  <si>
    <t>SEE952058615067</t>
  </si>
  <si>
    <t>Solvay Rb TA1</t>
  </si>
  <si>
    <t>SEE982512881400</t>
  </si>
  <si>
    <t>Stadtwerke Augsburg Energie GmbH</t>
  </si>
  <si>
    <t>HKW, Dampfturbine 2</t>
  </si>
  <si>
    <t>Franziskanergasse 9</t>
  </si>
  <si>
    <t>SEE918373264410</t>
  </si>
  <si>
    <t>BHKW GT-Ost</t>
  </si>
  <si>
    <t>Beim Grenzgraben 10</t>
  </si>
  <si>
    <t>SEE942845579245</t>
  </si>
  <si>
    <t>Stadtwerke Bochum Holding GmbH</t>
  </si>
  <si>
    <t>KWK Hiltrop</t>
  </si>
  <si>
    <t>Bochum</t>
  </si>
  <si>
    <t>In der Grume 5</t>
  </si>
  <si>
    <t>SEE964745752825</t>
  </si>
  <si>
    <t>Stadtwerke Duisburg AG</t>
  </si>
  <si>
    <t>HKW III  Block A</t>
  </si>
  <si>
    <t>Duisburg</t>
  </si>
  <si>
    <t>Wanheimer Str. 439</t>
  </si>
  <si>
    <t>SEE915885358156</t>
  </si>
  <si>
    <t>HKW III  Block B</t>
  </si>
  <si>
    <t>SEE922855765289</t>
  </si>
  <si>
    <t>SEE916495905242</t>
  </si>
  <si>
    <t>SEE972458947407</t>
  </si>
  <si>
    <t>Stadtwerke Düsseldorf AG</t>
  </si>
  <si>
    <t>SWD KWL GTE2</t>
  </si>
  <si>
    <t>Auf der Lausward 75</t>
  </si>
  <si>
    <t>SEE989503748513</t>
  </si>
  <si>
    <t>SWD KWL GTE1</t>
  </si>
  <si>
    <t>SEE957083466325</t>
  </si>
  <si>
    <t>SWD KWL AGuD</t>
  </si>
  <si>
    <t>SEE975361659900</t>
  </si>
  <si>
    <t>SWD KWL GuD F</t>
  </si>
  <si>
    <t>SEE991633857065</t>
  </si>
  <si>
    <t>Stadtwerke Münster GmbH</t>
  </si>
  <si>
    <t>GUD-1-1 (GT1)</t>
  </si>
  <si>
    <t>Münster</t>
  </si>
  <si>
    <t>Am Mittelhafen 11</t>
  </si>
  <si>
    <t>SEE924909675933</t>
  </si>
  <si>
    <t>GUD-1-2 (GT2)</t>
  </si>
  <si>
    <t>SEE953872640426</t>
  </si>
  <si>
    <t>SEE943297204990</t>
  </si>
  <si>
    <t>Stadtwerke Saarbrücken GmbH</t>
  </si>
  <si>
    <t>ZF-SBR-GuD-Heizkraftwerk</t>
  </si>
  <si>
    <t xml:space="preserve">Untertürkheimer Straße </t>
  </si>
  <si>
    <t>SEE903983424590</t>
  </si>
  <si>
    <t>Statkraft Markets GmbH</t>
  </si>
  <si>
    <t>Kraftwerk Knapsack II</t>
  </si>
  <si>
    <t>SEE915851127786</t>
  </si>
  <si>
    <t>STAWAG – Stadt- und Städteregionswerke Aachen AG</t>
  </si>
  <si>
    <t>BHKW Schwarzer Weg</t>
  </si>
  <si>
    <t>Aachen</t>
  </si>
  <si>
    <t>Schwarzer Weg 19 b</t>
  </si>
  <si>
    <t>SEE999705546763</t>
  </si>
  <si>
    <t>Dampfturbine III Südzucker Rain</t>
  </si>
  <si>
    <t>Rain</t>
  </si>
  <si>
    <t>Donauwörther Straße 50</t>
  </si>
  <si>
    <t>SEE969051180959</t>
  </si>
  <si>
    <t>Dampfturbine I Südzucker Offstein</t>
  </si>
  <si>
    <t>Obrigheim</t>
  </si>
  <si>
    <t>Wormser Straße 11</t>
  </si>
  <si>
    <t>SEE957723162266</t>
  </si>
  <si>
    <t>SWK Stadtwerke Kaiserslautern Versorgungs-AG</t>
  </si>
  <si>
    <t>HKW Karcherstraße</t>
  </si>
  <si>
    <t>Kaiserslautern</t>
  </si>
  <si>
    <t>Karcherstraße 28</t>
  </si>
  <si>
    <t>SEE942253705168</t>
  </si>
  <si>
    <t>Technische Werke Ludwigshafen am Rhein</t>
  </si>
  <si>
    <t>FHKW DT 2</t>
  </si>
  <si>
    <t>Industriestraße 3</t>
  </si>
  <si>
    <t>SEE987970110314</t>
  </si>
  <si>
    <t>Trianel Gaskraftwerk Hamm</t>
  </si>
  <si>
    <t>Trianel Gaskraftwerk Hamm Block 10</t>
  </si>
  <si>
    <t>Hamm</t>
  </si>
  <si>
    <t>Trianelstraße 1</t>
  </si>
  <si>
    <t>SEE900628853036</t>
  </si>
  <si>
    <t>Trianel Gaskraftwerk Hamm Block 20</t>
  </si>
  <si>
    <t>SEE970579995963</t>
  </si>
  <si>
    <t>Scholven 1 DT</t>
  </si>
  <si>
    <t>Gelsenkirchen</t>
  </si>
  <si>
    <t>Glückaufstraße 56</t>
  </si>
  <si>
    <t>SEE939692270074</t>
  </si>
  <si>
    <t>Scholven 1 GT1</t>
  </si>
  <si>
    <t>SEE938587513135</t>
  </si>
  <si>
    <t>Scholven 1 GT2</t>
  </si>
  <si>
    <t>SEE933094075404</t>
  </si>
  <si>
    <t>UPM GmbH</t>
  </si>
  <si>
    <t>UPM Schongau HKW 3 DT</t>
  </si>
  <si>
    <t>Schongau</t>
  </si>
  <si>
    <t>Friedrich-Haindl-Straße 10</t>
  </si>
  <si>
    <t>SEE912975333499</t>
  </si>
  <si>
    <t>UPM Schongau HKW 3 GT</t>
  </si>
  <si>
    <t>SEE960352714492</t>
  </si>
  <si>
    <t>WSW Energie &amp; Wasser AG</t>
  </si>
  <si>
    <t>Am Clef 32</t>
  </si>
  <si>
    <t>SEE978399772948</t>
  </si>
  <si>
    <t>SEE968471468838</t>
  </si>
  <si>
    <t>DT23</t>
  </si>
  <si>
    <t>SEE942369834141</t>
  </si>
  <si>
    <t>Zanders Paper GmbH</t>
  </si>
  <si>
    <t>Kraftwerk Zanders Paper GmbH</t>
  </si>
  <si>
    <t>Bergisch Gladbach</t>
  </si>
  <si>
    <t>An der Gohrsmühle 25</t>
  </si>
  <si>
    <t>SEE957686843929</t>
  </si>
  <si>
    <t>Zweckverband Abfallverwertung Südhessen (ZAS)</t>
  </si>
  <si>
    <t>Otto-Röhm-Straße 19</t>
  </si>
  <si>
    <t>SEE913203719740</t>
  </si>
  <si>
    <t>AG der Dillinger Hüttenwerke</t>
  </si>
  <si>
    <t>GKW</t>
  </si>
  <si>
    <t>Dillingen</t>
  </si>
  <si>
    <t>SEE959496642280</t>
  </si>
  <si>
    <t>AVA Velsen GmbH</t>
  </si>
  <si>
    <t>Alte Grube Velsen 16</t>
  </si>
  <si>
    <t>SEE965067693100</t>
  </si>
  <si>
    <t>DK Recycling und Roheisen GmbH</t>
  </si>
  <si>
    <t>Kraftwerk DK</t>
  </si>
  <si>
    <t>Werthauser Str. 182</t>
  </si>
  <si>
    <t>SEE939242219362</t>
  </si>
  <si>
    <t>Hüttenwerke Krupp Mannesmann GmbH</t>
  </si>
  <si>
    <t>Huckingen A</t>
  </si>
  <si>
    <t>Ehinger Str. 200</t>
  </si>
  <si>
    <t>SEE992213654456</t>
  </si>
  <si>
    <t>Huckingen B</t>
  </si>
  <si>
    <t>SEE997020557907</t>
  </si>
  <si>
    <t>KG Deutsche Gasrusswerke GmbH u Co</t>
  </si>
  <si>
    <t>DGW TG 15</t>
  </si>
  <si>
    <t>Dortmund</t>
  </si>
  <si>
    <t>Weidenstraße 70</t>
  </si>
  <si>
    <t>SEE910950875330</t>
  </si>
  <si>
    <t>bnBm GasKW BIB GT1</t>
  </si>
  <si>
    <t>Biblis</t>
  </si>
  <si>
    <t>Bei den Münchäckern 50</t>
  </si>
  <si>
    <t>https://www.gevernova.com/gas-power/resources/case-studies/rwe-generation/de</t>
  </si>
  <si>
    <t>SEE960934136643</t>
  </si>
  <si>
    <t>bnBm GasKW BIB GT2</t>
  </si>
  <si>
    <t>SEE902280549463</t>
  </si>
  <si>
    <t>bnBm GasKW BIB GT3</t>
  </si>
  <si>
    <t>SEE920753145547</t>
  </si>
  <si>
    <t>bnBm GasKW BIB GT4</t>
  </si>
  <si>
    <t>SEE927542617698</t>
  </si>
  <si>
    <t>bnBm GasKW BIB GT5</t>
  </si>
  <si>
    <t>SEE915847711449</t>
  </si>
  <si>
    <t>bnBm GasKW BIB GT6</t>
  </si>
  <si>
    <t>SEE912980761904</t>
  </si>
  <si>
    <t>bnBm GasKW BIB GT7</t>
  </si>
  <si>
    <t>SEE918332839635</t>
  </si>
  <si>
    <t>bnBm GasKW BIB GT8</t>
  </si>
  <si>
    <t>SEE922908994215</t>
  </si>
  <si>
    <t>bnBm GasKW BIB GT9</t>
  </si>
  <si>
    <t>SEE931497805147</t>
  </si>
  <si>
    <t>bnBm GasKW BIB GT10</t>
  </si>
  <si>
    <t>SEE976107471893</t>
  </si>
  <si>
    <t>bnBm GasKW BIB GT11</t>
  </si>
  <si>
    <t>SEE923304040681</t>
  </si>
  <si>
    <t>Gersteinwerk F GT (F1)</t>
  </si>
  <si>
    <t>https://de.wikipedia.org/wiki/Gersteinwerk</t>
  </si>
  <si>
    <t>SEE932787342328</t>
  </si>
  <si>
    <t>Gersteinwerk G GT (G1)</t>
  </si>
  <si>
    <t>SEE942237774470</t>
  </si>
  <si>
    <t>Gersteinwerk F DT (F2)</t>
  </si>
  <si>
    <t>SEE908672656115</t>
  </si>
  <si>
    <t>Gersteinwerk G DT (G2)</t>
  </si>
  <si>
    <t>SEE906830618081</t>
  </si>
  <si>
    <t>Fab Fortuna</t>
  </si>
  <si>
    <t>Bergheim</t>
  </si>
  <si>
    <t xml:space="preserve">Auenheimer Straße </t>
  </si>
  <si>
    <t>SEE905721866655</t>
  </si>
  <si>
    <t>Fab Frechen</t>
  </si>
  <si>
    <t>Frechen</t>
  </si>
  <si>
    <t xml:space="preserve">Ludwigstraße </t>
  </si>
  <si>
    <t>SEE999145467468</t>
  </si>
  <si>
    <t>GoWerk F</t>
  </si>
  <si>
    <t>Goldenbergstraße 2</t>
  </si>
  <si>
    <t>SEE986331287955</t>
  </si>
  <si>
    <t>Fab Berrenrath</t>
  </si>
  <si>
    <t>Bertrams-Jagdweg 10</t>
  </si>
  <si>
    <t>SEE921905907730</t>
  </si>
  <si>
    <t>Niederaußem G</t>
  </si>
  <si>
    <t xml:space="preserve">Werkstr. </t>
  </si>
  <si>
    <t>SEE957229968300</t>
  </si>
  <si>
    <t>Niederaußem H</t>
  </si>
  <si>
    <t>SEE955314088254</t>
  </si>
  <si>
    <t>Weisweiler H</t>
  </si>
  <si>
    <t>SEE987007884447</t>
  </si>
  <si>
    <t>Weisweiler G</t>
  </si>
  <si>
    <t>SEE983252937631</t>
  </si>
  <si>
    <t>Niederaußem K</t>
  </si>
  <si>
    <t>SEE925599434282</t>
  </si>
  <si>
    <t>Neurath F</t>
  </si>
  <si>
    <t>Grevenbroich</t>
  </si>
  <si>
    <t>Energiestraße 101</t>
  </si>
  <si>
    <t>SEE993592183001</t>
  </si>
  <si>
    <t>Neurath G</t>
  </si>
  <si>
    <t>SEE924053403383</t>
  </si>
  <si>
    <t>Shell Energy and Chemicals Park, Kraftwerk Wesseling, Turbine 5</t>
  </si>
  <si>
    <t>Ludwigshafener Str. 1</t>
  </si>
  <si>
    <t>Heizöl, schwer</t>
  </si>
  <si>
    <t>SEE990523934756</t>
  </si>
  <si>
    <t>Shell Energy and Chemicals Park, Kraftwerk Wesseling, Turbine 1</t>
  </si>
  <si>
    <t>SEE976549634931</t>
  </si>
  <si>
    <t>SWD KWF GTKW</t>
  </si>
  <si>
    <t>Behrenstraße 85</t>
  </si>
  <si>
    <t>SEE923485223774</t>
  </si>
  <si>
    <t>STEAG Power GmbH</t>
  </si>
  <si>
    <t>Fenne MKV Gasturbine</t>
  </si>
  <si>
    <t>Völklingen</t>
  </si>
  <si>
    <t>Saarbrücker Straße 135</t>
  </si>
  <si>
    <t>SEE919393178787</t>
  </si>
  <si>
    <t>Fenne MKV</t>
  </si>
  <si>
    <t>SEE987838157994</t>
  </si>
  <si>
    <t>Fenne HKV</t>
  </si>
  <si>
    <t>SEE945908806647</t>
  </si>
  <si>
    <t>Herne 4</t>
  </si>
  <si>
    <t>SEE906326984744</t>
  </si>
  <si>
    <t>Weiher 3</t>
  </si>
  <si>
    <t>Quierschied</t>
  </si>
  <si>
    <t>Kraftwerk Weiher 2</t>
  </si>
  <si>
    <t>SEE930673793902</t>
  </si>
  <si>
    <t>Bergkamen A</t>
  </si>
  <si>
    <t>Bergkamen</t>
  </si>
  <si>
    <t>Westenhellweg 111</t>
  </si>
  <si>
    <t>SEE918143230942</t>
  </si>
  <si>
    <t>Walsum 10</t>
  </si>
  <si>
    <t>Dr.-Wilhelm-Roelen-Str. 129</t>
  </si>
  <si>
    <t>SEE954971534470</t>
  </si>
  <si>
    <t>Bexbach</t>
  </si>
  <si>
    <t xml:space="preserve">Grubenstraße </t>
  </si>
  <si>
    <t>SEE905588844841</t>
  </si>
  <si>
    <t>Sustainable Energy Aschaffenburg GmbH</t>
  </si>
  <si>
    <t>GuD-Anlage (Dampfturbine)</t>
  </si>
  <si>
    <t>Aschaffenburg</t>
  </si>
  <si>
    <t>Weichertstraße 7</t>
  </si>
  <si>
    <t>SEE965350369514</t>
  </si>
  <si>
    <t>thyssenkrupp Steel Europe AG</t>
  </si>
  <si>
    <t>ET HO 1</t>
  </si>
  <si>
    <t>Kaiser-Wilhelm-Str. 100</t>
  </si>
  <si>
    <t>Druck aus Gasleitungen</t>
  </si>
  <si>
    <t>SEE987709592503</t>
  </si>
  <si>
    <t>ET HO 2</t>
  </si>
  <si>
    <t>SEE912994271871</t>
  </si>
  <si>
    <t>Hamborn 3</t>
  </si>
  <si>
    <t>SEE912020488365</t>
  </si>
  <si>
    <t>Ruhrort 2</t>
  </si>
  <si>
    <t>SEE949799257847</t>
  </si>
  <si>
    <t>Ruhrort 3</t>
  </si>
  <si>
    <t>SEE916877868585</t>
  </si>
  <si>
    <t>Hamborn 4</t>
  </si>
  <si>
    <t>SEE936262825863</t>
  </si>
  <si>
    <t>Ruhrort 4</t>
  </si>
  <si>
    <t>SEE915966254872</t>
  </si>
  <si>
    <t>Hamborn 5</t>
  </si>
  <si>
    <t>SEE961029163353</t>
  </si>
  <si>
    <t>Trianel Kohlekraftwerk Lünen GmbH &amp; Co KG</t>
  </si>
  <si>
    <t>Trianel Kohlekraftwerk Lünen</t>
  </si>
  <si>
    <t>Lünen</t>
  </si>
  <si>
    <t>Frydagstraße 40</t>
  </si>
  <si>
    <t>SEE933236950972</t>
  </si>
  <si>
    <t>Scholven C</t>
  </si>
  <si>
    <t>SEE952352206145</t>
  </si>
  <si>
    <t>Scholven B</t>
  </si>
  <si>
    <t>SEE913516809497</t>
  </si>
  <si>
    <t>Datteln 4</t>
  </si>
  <si>
    <t>Datteln</t>
  </si>
  <si>
    <t>Im Löringhof 10</t>
  </si>
  <si>
    <t>https://www.uniper.energy/de/datteln-4</t>
  </si>
  <si>
    <t>SEE931986160672</t>
  </si>
  <si>
    <t>UPM Schongau DKW T5</t>
  </si>
  <si>
    <t>SEE917211801770</t>
  </si>
  <si>
    <t>UPM Schongau DKW T4</t>
  </si>
  <si>
    <t>SEE917497526305</t>
  </si>
  <si>
    <t>Aluminium Oxid Stade GmbH</t>
  </si>
  <si>
    <t>KWK GT1</t>
  </si>
  <si>
    <t>Stade</t>
  </si>
  <si>
    <t xml:space="preserve">Johann-Rathje-Köser Straße </t>
  </si>
  <si>
    <t>SEE989834346082</t>
  </si>
  <si>
    <t>KWK GT2</t>
  </si>
  <si>
    <t>Johann-Rathje-Köser Straße  -</t>
  </si>
  <si>
    <t>SEE988841475051</t>
  </si>
  <si>
    <t>B+T Energie GmbH</t>
  </si>
  <si>
    <t>HKW Witzenhausen</t>
  </si>
  <si>
    <t>Witzenhausen</t>
  </si>
  <si>
    <t>Kasseler Landstraße 23</t>
  </si>
  <si>
    <t>SEE963817764100</t>
  </si>
  <si>
    <t>Braunschweiger Versorgungs-AG &amp; Co. KG</t>
  </si>
  <si>
    <t>HKW Nord GT</t>
  </si>
  <si>
    <t>Braunschweig</t>
  </si>
  <si>
    <t>Sandanger 1</t>
  </si>
  <si>
    <t>SEE919544829094</t>
  </si>
  <si>
    <t>HKW Mitte GTHKW</t>
  </si>
  <si>
    <t>Reiherstraße 3</t>
  </si>
  <si>
    <t>https://www.bs-energy.de/engagement/umwelt/kohleausstieg/#/</t>
  </si>
  <si>
    <t>SEE920992144554</t>
  </si>
  <si>
    <t>HKW Mitte GuD BMHKW</t>
  </si>
  <si>
    <t>SEE954183997452</t>
  </si>
  <si>
    <t>Dow Deutschland Anlagengesellschaft mbH</t>
  </si>
  <si>
    <t>01 Std ST2</t>
  </si>
  <si>
    <t>Bützflether Sand 9</t>
  </si>
  <si>
    <t>SEE970688261195</t>
  </si>
  <si>
    <t>01 Std ST1</t>
  </si>
  <si>
    <t>SEE920864082298</t>
  </si>
  <si>
    <t>01 Std GT1</t>
  </si>
  <si>
    <t>SEE926897163430</t>
  </si>
  <si>
    <t>01 Std GT2</t>
  </si>
  <si>
    <t>SEE964077382691</t>
  </si>
  <si>
    <t>01 Std GT3</t>
  </si>
  <si>
    <t>SEE990015251552</t>
  </si>
  <si>
    <t>DS Smith Paper Deutschland GmbH</t>
  </si>
  <si>
    <t>ABR990388771138</t>
  </si>
  <si>
    <t>SEE927716043575</t>
  </si>
  <si>
    <t>EEW Energy from Waste Hannover GmbH</t>
  </si>
  <si>
    <t>MVA EEW Hannover</t>
  </si>
  <si>
    <t>Hannover</t>
  </si>
  <si>
    <t>Moorwaldweg 310</t>
  </si>
  <si>
    <t>SEE906215229154</t>
  </si>
  <si>
    <t>EEW Energy from Waste Helmstedt GmbH</t>
  </si>
  <si>
    <t>MVA EEW Helmstedt</t>
  </si>
  <si>
    <t>Büddenstedt</t>
  </si>
  <si>
    <t>Am Kraftwerk 2</t>
  </si>
  <si>
    <t>SEE918623387630</t>
  </si>
  <si>
    <t>EEW Energy from Waste Stapelfeld GmbH</t>
  </si>
  <si>
    <t>EEW Stapelfeld GmbH</t>
  </si>
  <si>
    <t>Stapelfeld</t>
  </si>
  <si>
    <t>Ahrensburger Weg 4</t>
  </si>
  <si>
    <t>SEE965551192713</t>
  </si>
  <si>
    <t>enercity AG</t>
  </si>
  <si>
    <t>HKW Linden GT3</t>
  </si>
  <si>
    <t>Spinnereistraße 9</t>
  </si>
  <si>
    <t>SEE983959934148</t>
  </si>
  <si>
    <t>HKW Linden DT</t>
  </si>
  <si>
    <t>SEE999585452499</t>
  </si>
  <si>
    <t>HKW Linden GT1</t>
  </si>
  <si>
    <t>SEE932928232242</t>
  </si>
  <si>
    <t>GKH 2</t>
  </si>
  <si>
    <t>Stelinger Straße 19</t>
  </si>
  <si>
    <t>SEE987633796220</t>
  </si>
  <si>
    <t>GKH 1</t>
  </si>
  <si>
    <t>SEE989887901764</t>
  </si>
  <si>
    <t>Enertec Hameln GmbH</t>
  </si>
  <si>
    <t>Turbine 5</t>
  </si>
  <si>
    <t>Hameln</t>
  </si>
  <si>
    <t>Heinrich-Schoormann-Weg 1</t>
  </si>
  <si>
    <t>SEE993546424112</t>
  </si>
  <si>
    <t>Turbine 2</t>
  </si>
  <si>
    <t>SEE912764206645</t>
  </si>
  <si>
    <t>Erlanger Stadtwerke AG</t>
  </si>
  <si>
    <t>HKW - GuD1</t>
  </si>
  <si>
    <t>Erlangen</t>
  </si>
  <si>
    <t>Äußere Brucker Straße 33</t>
  </si>
  <si>
    <t>SEE971304457053</t>
  </si>
  <si>
    <t>HKW -  K6 DT2</t>
  </si>
  <si>
    <t>SEE917096062495</t>
  </si>
  <si>
    <t>ExxonMobil Production Deutschland GmbH</t>
  </si>
  <si>
    <t>KWK Anlage Großenkneten</t>
  </si>
  <si>
    <t>Großenkneten</t>
  </si>
  <si>
    <t>Vor dem Esch 12</t>
  </si>
  <si>
    <t>SEE916274994887</t>
  </si>
  <si>
    <t>Gaskraftwerk Leipheim GmbH &amp; Co. KG</t>
  </si>
  <si>
    <t>bnBm Gaskraftwerk Leipheim</t>
  </si>
  <si>
    <t>Leipheim</t>
  </si>
  <si>
    <t>Am Tower 5</t>
  </si>
  <si>
    <t>SEE989202977269</t>
  </si>
  <si>
    <t>Gemeinschaftskraftwerk Bremen GmbH &amp; Co. KG</t>
  </si>
  <si>
    <t>GUD Mibü</t>
  </si>
  <si>
    <t>Bremen</t>
  </si>
  <si>
    <t>Auf den Delben 35</t>
  </si>
  <si>
    <t>SEE915883553447</t>
  </si>
  <si>
    <t>Gemeinschaftskraftwerk Irsching GmbH</t>
  </si>
  <si>
    <t>Irsching 5 DT</t>
  </si>
  <si>
    <t>Vohburg</t>
  </si>
  <si>
    <t>Paarstraße 30</t>
  </si>
  <si>
    <t>SEE973737205324</t>
  </si>
  <si>
    <t>Irsching 5 GT1</t>
  </si>
  <si>
    <t>SEE924780675428</t>
  </si>
  <si>
    <t>Irsching 5 GT2</t>
  </si>
  <si>
    <t>SEE973250051972</t>
  </si>
  <si>
    <t>Georg-August-Universität Göttingen</t>
  </si>
  <si>
    <t>Gasturbine HKW</t>
  </si>
  <si>
    <t>Göttingen</t>
  </si>
  <si>
    <t>Rudolf-Diesel-Straße 10</t>
  </si>
  <si>
    <t>SEE956216040883</t>
  </si>
  <si>
    <t>GKS-Gemeinschaftskraftwerk Schweinfurt GmbH</t>
  </si>
  <si>
    <t>Schweinfurt</t>
  </si>
  <si>
    <t>Hafenstraße 30</t>
  </si>
  <si>
    <t>SEE943766131437</t>
  </si>
  <si>
    <t>SEE973424276200</t>
  </si>
  <si>
    <t>Heidrun und Stefan Cermak GbR</t>
  </si>
  <si>
    <t>ABR942688540273</t>
  </si>
  <si>
    <t>Wartenberg</t>
  </si>
  <si>
    <t>Pesenlerner Straße 30</t>
  </si>
  <si>
    <t>SEE927473609168</t>
  </si>
  <si>
    <t>InfraServ GmbH &amp; Co. Gendorf KG</t>
  </si>
  <si>
    <t>BNA0174</t>
  </si>
  <si>
    <t>Burgkirchen</t>
  </si>
  <si>
    <t>Industrieparkstraße 1</t>
  </si>
  <si>
    <t>SEE993412996354</t>
  </si>
  <si>
    <t>Kraftwerk WI DT3</t>
  </si>
  <si>
    <t>Heringen</t>
  </si>
  <si>
    <t>In der Aue 1</t>
  </si>
  <si>
    <t>SEE925720506642</t>
  </si>
  <si>
    <t>Kraftwerk WI GT</t>
  </si>
  <si>
    <t>SEE913280112274</t>
  </si>
  <si>
    <t>Kraftwerk HA DT4</t>
  </si>
  <si>
    <t>Philippsthal</t>
  </si>
  <si>
    <t>Hattorfer Straße 1</t>
  </si>
  <si>
    <t>SEE970554561831</t>
  </si>
  <si>
    <t>Kraftwerk HA DT2</t>
  </si>
  <si>
    <t>SEE952488583202</t>
  </si>
  <si>
    <t>Kraftwerk HA DT1</t>
  </si>
  <si>
    <t>SEE975193004329</t>
  </si>
  <si>
    <t>Kraftwerk WI DT4</t>
  </si>
  <si>
    <t>SEE916865356940</t>
  </si>
  <si>
    <t>Kraftwerk HA GT4</t>
  </si>
  <si>
    <t>SEE979861364876</t>
  </si>
  <si>
    <t>Kraftwerk WI DT 2.1</t>
  </si>
  <si>
    <t>SEE946476002431</t>
  </si>
  <si>
    <t>Kelheim Fibres GmbH</t>
  </si>
  <si>
    <t>Turbine 6</t>
  </si>
  <si>
    <t>Kelheim</t>
  </si>
  <si>
    <t>Regensburger Straße 109</t>
  </si>
  <si>
    <t>SEE980823248912</t>
  </si>
  <si>
    <t>Turbine 7</t>
  </si>
  <si>
    <t>SEE974051053875</t>
  </si>
  <si>
    <t>Klingele Paper Weener SE &amp; Co. KG</t>
  </si>
  <si>
    <t>Turbine 4</t>
  </si>
  <si>
    <t>Weener</t>
  </si>
  <si>
    <t>Industriestraße 46</t>
  </si>
  <si>
    <t>SEE919296928137</t>
  </si>
  <si>
    <t>Kraftwerk Obernburg</t>
  </si>
  <si>
    <t>Sammelschienen-Kraftwerk Gas- und Dampfturbinen</t>
  </si>
  <si>
    <t>Erlenbach</t>
  </si>
  <si>
    <t>Glanzstoffstr. 1</t>
  </si>
  <si>
    <t>SEE931001040675</t>
  </si>
  <si>
    <t>Kraftwerk Plattling GmbH</t>
  </si>
  <si>
    <t>KW Plattling DT</t>
  </si>
  <si>
    <t>Plattling</t>
  </si>
  <si>
    <t>Gottlieb-Daimler-Straße 7</t>
  </si>
  <si>
    <t>SEE973101826070</t>
  </si>
  <si>
    <t>Kraftwerk Plattling GT</t>
  </si>
  <si>
    <t>SEE967916097817</t>
  </si>
  <si>
    <t>KRONOS TITAN GmbH</t>
  </si>
  <si>
    <t>KRONOS TITAN Nordenham GuD</t>
  </si>
  <si>
    <t>Nordenham</t>
  </si>
  <si>
    <t>Titanstraße 1</t>
  </si>
  <si>
    <t>SEE957769851605</t>
  </si>
  <si>
    <t>Mainova AG</t>
  </si>
  <si>
    <t>HKW West Turbine 5</t>
  </si>
  <si>
    <t>Gutleutstraße 231</t>
  </si>
  <si>
    <t>SEE915289541482</t>
  </si>
  <si>
    <t>HKW West Block 3</t>
  </si>
  <si>
    <t>SEE917943562765</t>
  </si>
  <si>
    <t>HKW West Block 2</t>
  </si>
  <si>
    <t>SEE971867565370</t>
  </si>
  <si>
    <t>HKW Niederrad Block 1</t>
  </si>
  <si>
    <t>Lyoner Straße 8</t>
  </si>
  <si>
    <t>SEE994429144455</t>
  </si>
  <si>
    <t>HKW West Block 4</t>
  </si>
  <si>
    <t>SEE957952105034</t>
  </si>
  <si>
    <t>MEGGLE GmbH &amp; Co. KG</t>
  </si>
  <si>
    <t>Heizkraftwerk Meggle</t>
  </si>
  <si>
    <t>Reitmehring</t>
  </si>
  <si>
    <t>Megglestraße 6</t>
  </si>
  <si>
    <t>SEE999588015110</t>
  </si>
  <si>
    <t>MHKW Müllheizkraftwerk Frankfurt am Main GmbH</t>
  </si>
  <si>
    <t>Heddernheimer Landstraße 157</t>
  </si>
  <si>
    <t>SEE912257091857</t>
  </si>
  <si>
    <t>SEE938158660541</t>
  </si>
  <si>
    <t>Mitsubishi HiTec Paper Europe GmbH</t>
  </si>
  <si>
    <t>Gasturbine 1 - GuD MPE</t>
  </si>
  <si>
    <t>Bielefeld</t>
  </si>
  <si>
    <t>Niedernholz 7</t>
  </si>
  <si>
    <t>SEE951684578067</t>
  </si>
  <si>
    <t>Gasturbine 2 - GuD MPE</t>
  </si>
  <si>
    <t>Niedernholz 23</t>
  </si>
  <si>
    <t>SEE976589352260</t>
  </si>
  <si>
    <t>Müllheizkraftwerk Kassel GmbH</t>
  </si>
  <si>
    <t>Müllheizkraftwerk Kassel M8</t>
  </si>
  <si>
    <t>Kassel</t>
  </si>
  <si>
    <t>Am Lossewerk 8</t>
  </si>
  <si>
    <t>SEE980608407671</t>
  </si>
  <si>
    <t>N-ERGIE Kraftwerke GmbH</t>
  </si>
  <si>
    <t>HKW Sandreuth (DT1)</t>
  </si>
  <si>
    <t>Nürnberg</t>
  </si>
  <si>
    <t>Sandreuthstraße 55a</t>
  </si>
  <si>
    <t>SEE900128586359</t>
  </si>
  <si>
    <t>HKW-Sandreuth (Müll)</t>
  </si>
  <si>
    <t>Sandreuthstraße 55</t>
  </si>
  <si>
    <t>SEE949895584069</t>
  </si>
  <si>
    <t>HKW Sandreuth (DT3)</t>
  </si>
  <si>
    <t>SEE976880282228</t>
  </si>
  <si>
    <t>HKW Sandreuth (DT2)</t>
  </si>
  <si>
    <t>SEE923769915258</t>
  </si>
  <si>
    <t>HKW Sandreuth (GT1)</t>
  </si>
  <si>
    <t>Sandreuthstraße 55 a</t>
  </si>
  <si>
    <t>SEE942019110397</t>
  </si>
  <si>
    <t>HKW Sandreuth (GT2)</t>
  </si>
  <si>
    <t>SEE917925869486</t>
  </si>
  <si>
    <t>Nordland Papier GmbH</t>
  </si>
  <si>
    <t>Nordland GuD-Anlage HD-DTS</t>
  </si>
  <si>
    <t>Dörpen</t>
  </si>
  <si>
    <t>Nordlandallee 1</t>
  </si>
  <si>
    <t>SEE917960395155</t>
  </si>
  <si>
    <t>Nordland GuD-Anlage Gasturbine</t>
  </si>
  <si>
    <t>SEE987326760026</t>
  </si>
  <si>
    <t>Nordzucker</t>
  </si>
  <si>
    <t>Generator 1</t>
  </si>
  <si>
    <t>Hohenhameln</t>
  </si>
  <si>
    <t>Zuckerfabrik 3</t>
  </si>
  <si>
    <t>SEE948481095354</t>
  </si>
  <si>
    <t>Nordzucker AG Werk Nordstemmen</t>
  </si>
  <si>
    <t>Nordstemmen</t>
  </si>
  <si>
    <t>Calenberger Straße 36</t>
  </si>
  <si>
    <t>SEE930751125922</t>
  </si>
  <si>
    <t>SEE902686859227</t>
  </si>
  <si>
    <t>Nordzucker AG Werk Uelzen</t>
  </si>
  <si>
    <t>Uelzen</t>
  </si>
  <si>
    <t>An der Zuckerfabrik 1</t>
  </si>
  <si>
    <t>SEE945740636167</t>
  </si>
  <si>
    <t>SEE970425279599</t>
  </si>
  <si>
    <t>Onyx Kraftwerk Wilhelmshaven GmbH &amp; Co. KG</t>
  </si>
  <si>
    <t>Kraftwerk Wilhelmshaven Onyx</t>
  </si>
  <si>
    <t>Wilhelmshaven</t>
  </si>
  <si>
    <t>Niedersachsendamm 10</t>
  </si>
  <si>
    <t>SEE962777669616</t>
  </si>
  <si>
    <t>Onyx Kraftwerk Zolling GmbH &amp;Co. KGaA</t>
  </si>
  <si>
    <t>Zolling GT1</t>
  </si>
  <si>
    <t>Zolling</t>
  </si>
  <si>
    <t>Leiningerstraße 1</t>
  </si>
  <si>
    <t>SEE949509046600</t>
  </si>
  <si>
    <t>Zolling GT2</t>
  </si>
  <si>
    <t>SEE958847865460</t>
  </si>
  <si>
    <t>Kraftwerk Zolling</t>
  </si>
  <si>
    <t>SEE912906399075</t>
  </si>
  <si>
    <t>HKW Eltmann</t>
  </si>
  <si>
    <t>Eltmann</t>
  </si>
  <si>
    <t>Industriestraße 23</t>
  </si>
  <si>
    <t>SEE987913244618</t>
  </si>
  <si>
    <t>Papier- u. Kartonfabrik Varel GmbH &amp; Co. KG</t>
  </si>
  <si>
    <t>PKV Dampfsammelschienen-KWK-Anlage Generator / Turbine DT 7</t>
  </si>
  <si>
    <t>Varel</t>
  </si>
  <si>
    <t>Dangaster Straße 38</t>
  </si>
  <si>
    <t>SEE953784241926</t>
  </si>
  <si>
    <t>PKV Dampfsammelschienen-KWK-Anlage Generator / Turbine DT 9</t>
  </si>
  <si>
    <t>SEE993957305321</t>
  </si>
  <si>
    <t>Papierfabrik Adolf Jass GmbH &amp; Co. KG</t>
  </si>
  <si>
    <t>G25</t>
  </si>
  <si>
    <t>Fulda</t>
  </si>
  <si>
    <t>Hermann-Muth-Straße 6</t>
  </si>
  <si>
    <t>SEE902796244388</t>
  </si>
  <si>
    <t>Sappi Alfeld</t>
  </si>
  <si>
    <t>Alfeld</t>
  </si>
  <si>
    <t>Mühlenmasch 1</t>
  </si>
  <si>
    <t>SEE967243760361</t>
  </si>
  <si>
    <t>Smurfit Westrock Herzberg Solid Board GmbH</t>
  </si>
  <si>
    <t>Dampfturbine 3</t>
  </si>
  <si>
    <t>Herzberg</t>
  </si>
  <si>
    <t>Andreasberger Straße 1</t>
  </si>
  <si>
    <t>SEE913088869400</t>
  </si>
  <si>
    <t>Städtische Werke Energie + Wärme GmbH</t>
  </si>
  <si>
    <t>Kombi-HKW GT1</t>
  </si>
  <si>
    <t>Dennhäuser Straße 122</t>
  </si>
  <si>
    <t>SEE982127973149</t>
  </si>
  <si>
    <t>Kombi-HKW GT2</t>
  </si>
  <si>
    <t>SEE958518628752</t>
  </si>
  <si>
    <t>Stadtwerke Bielefeld GmbH</t>
  </si>
  <si>
    <t>HKW Schildescher Straße DT 3</t>
  </si>
  <si>
    <t>Schildescher Straße 16/5-HW</t>
  </si>
  <si>
    <t>SEE985796237000</t>
  </si>
  <si>
    <t>HKW Schildescher Str GT</t>
  </si>
  <si>
    <t>SEE995462815548</t>
  </si>
  <si>
    <t>HKW Schildescher Straße DT 4</t>
  </si>
  <si>
    <t>Schildescher Strasse 16-5- hw</t>
  </si>
  <si>
    <t>SEE999539592561</t>
  </si>
  <si>
    <t>Stadtwerke Flensburg</t>
  </si>
  <si>
    <t>Dampfturbine 12</t>
  </si>
  <si>
    <t>Flensburg</t>
  </si>
  <si>
    <t>Batteriestraße 48</t>
  </si>
  <si>
    <t>SEE958184152735</t>
  </si>
  <si>
    <t>SEE949216632202</t>
  </si>
  <si>
    <t>Dampfturbine 13</t>
  </si>
  <si>
    <t>SEE966920434281</t>
  </si>
  <si>
    <t>Gasturbine 12</t>
  </si>
  <si>
    <t>SEE970667868155</t>
  </si>
  <si>
    <t>Gasturbine 13</t>
  </si>
  <si>
    <t>SEE975793104498</t>
  </si>
  <si>
    <t>Stadtwerke Rosenheim GmbH &amp; Co. KG</t>
  </si>
  <si>
    <t>GM4</t>
  </si>
  <si>
    <t>Rosenheim</t>
  </si>
  <si>
    <t>Schönfeldstraße 15</t>
  </si>
  <si>
    <t>SEE994055148599</t>
  </si>
  <si>
    <t>Stadtwerke Würzburg AG</t>
  </si>
  <si>
    <t>Heizkraftwerk an der Friedensbrücke DampfturbineIV</t>
  </si>
  <si>
    <t>Würzburg</t>
  </si>
  <si>
    <t>Veitshöchheimer Straße 1</t>
  </si>
  <si>
    <t>https://www.wvv.de/media-wvv/unternehmen/dokumente/umwelt/umwelterklaerung-2020-heizkraftwerk.pdf</t>
  </si>
  <si>
    <t>SEE972526098451</t>
  </si>
  <si>
    <t>Heizkraftwerk an der Friedensbrücke DampfturbineIII</t>
  </si>
  <si>
    <t>SEE910471578864</t>
  </si>
  <si>
    <t>Heizkraftwerk an der Friedensbrücke DampfturbineII</t>
  </si>
  <si>
    <t>SEE944095305490</t>
  </si>
  <si>
    <t>Heizkraftwerk an der Friedensbrücke GasturbineII</t>
  </si>
  <si>
    <t>SEE967844487346</t>
  </si>
  <si>
    <t>Heizkraftwerk an der Friedensbrücke GasturbineI</t>
  </si>
  <si>
    <t>SEE917110358740</t>
  </si>
  <si>
    <t>Steinbeis Energie GmbH</t>
  </si>
  <si>
    <t>Steinbeis Energie EBS Kessel 6</t>
  </si>
  <si>
    <t>Glückstadt</t>
  </si>
  <si>
    <t>Stadtstraße 20</t>
  </si>
  <si>
    <t>SEE902329484380</t>
  </si>
  <si>
    <t>Dampfturbine I Südzucker Wabern</t>
  </si>
  <si>
    <t>Wabern</t>
  </si>
  <si>
    <t>Homberger Straße 1</t>
  </si>
  <si>
    <t>SEE956337212497</t>
  </si>
  <si>
    <t>Dampfturbine I Südzucker Ochsenfurt</t>
  </si>
  <si>
    <t>Ochsenfurt</t>
  </si>
  <si>
    <t>Marktbreiter Straße 74</t>
  </si>
  <si>
    <t>SEE915604855232</t>
  </si>
  <si>
    <t>GuD-Anlage (Gasturbine)</t>
  </si>
  <si>
    <t>SEE986413873564</t>
  </si>
  <si>
    <t>swb Entsorgung GmbH&amp;Co. KG</t>
  </si>
  <si>
    <t>MHKW_Gen2</t>
  </si>
  <si>
    <t>Oken 2</t>
  </si>
  <si>
    <t>SEE958310939391</t>
  </si>
  <si>
    <t>MKK</t>
  </si>
  <si>
    <t>Otavistraße 9</t>
  </si>
  <si>
    <t>SEE950201173198</t>
  </si>
  <si>
    <t>MHKW_Gen4</t>
  </si>
  <si>
    <t>SEE972922507168</t>
  </si>
  <si>
    <t>swb Erzeugung AG &amp; Co. KG</t>
  </si>
  <si>
    <t>BHKW Hastedt Motor 01</t>
  </si>
  <si>
    <t>Hastedter Osterdeich 255</t>
  </si>
  <si>
    <t>https://www.bhkw-infozentrum.de/beispiele/bhkw-des-monats-05-2024.pdf</t>
  </si>
  <si>
    <t>SEE906392287978</t>
  </si>
  <si>
    <t>BHKW Hastedt Motor 02</t>
  </si>
  <si>
    <t>SEE910929866741</t>
  </si>
  <si>
    <t>BHKW Hastedt Motor 03</t>
  </si>
  <si>
    <t>SEE927787059284</t>
  </si>
  <si>
    <t>BHKW Hastedt Motor 04</t>
  </si>
  <si>
    <t>SEE915137840866</t>
  </si>
  <si>
    <t>BHKW Hastedt Motor 05</t>
  </si>
  <si>
    <t>SEE905751443291</t>
  </si>
  <si>
    <t>BHKW Hastedt Motor 06</t>
  </si>
  <si>
    <t>SEE960175509510</t>
  </si>
  <si>
    <t>BHKW Hastedt Motor 07</t>
  </si>
  <si>
    <t>SEE940200876787</t>
  </si>
  <si>
    <t>BHKW Hastedt Motor 08</t>
  </si>
  <si>
    <t>SEE966202630769</t>
  </si>
  <si>
    <t>BHKW Hastedt Motor 09</t>
  </si>
  <si>
    <t>SEE942366584926</t>
  </si>
  <si>
    <t>SWM Services GmbH</t>
  </si>
  <si>
    <t>SWM HKW Nord 1 T10</t>
  </si>
  <si>
    <t>Unterföhring</t>
  </si>
  <si>
    <t>Münchner Straße 22</t>
  </si>
  <si>
    <t>SEE998278854237</t>
  </si>
  <si>
    <t>SWM HKW Nord 3 T30</t>
  </si>
  <si>
    <t>SEE945217244789</t>
  </si>
  <si>
    <t>SWM HKW Freimann GT11</t>
  </si>
  <si>
    <t>München</t>
  </si>
  <si>
    <t>Frankfurter Ring 181</t>
  </si>
  <si>
    <t>SEE920560912882</t>
  </si>
  <si>
    <t>SWM HKW Freimann GT12</t>
  </si>
  <si>
    <t>SEE901789931854</t>
  </si>
  <si>
    <t>SWM HKW Sued GuD1 GT2</t>
  </si>
  <si>
    <t>Schäftlarnstraße 15</t>
  </si>
  <si>
    <t>SEE985585573104</t>
  </si>
  <si>
    <t>SWM HKW Sued GuD1 GT3</t>
  </si>
  <si>
    <t>SEE996720450723</t>
  </si>
  <si>
    <t>SWM HKW Sued GuD2 DT60</t>
  </si>
  <si>
    <t>SEE980327120226</t>
  </si>
  <si>
    <t>SWM HKW Sued GuD2 GT61</t>
  </si>
  <si>
    <t>SEE976219797843</t>
  </si>
  <si>
    <t>SWM HKW Sued GuD2 GT62</t>
  </si>
  <si>
    <t>SEE977770417713</t>
  </si>
  <si>
    <t>SWN Stadtwerke Neumünster GmbH Matthias Krökel</t>
  </si>
  <si>
    <t>T3</t>
  </si>
  <si>
    <t>Neumünster</t>
  </si>
  <si>
    <t>Bismarckstraße 51</t>
  </si>
  <si>
    <t>SEE981003349412</t>
  </si>
  <si>
    <t>T6</t>
  </si>
  <si>
    <t>SEE982367992610</t>
  </si>
  <si>
    <t>Franken GT2</t>
  </si>
  <si>
    <t>Felsenstraße 14</t>
  </si>
  <si>
    <t>SEE974201537415</t>
  </si>
  <si>
    <t>Huntorf GT</t>
  </si>
  <si>
    <t>Elsfleth</t>
  </si>
  <si>
    <t>Große Hellmer 4</t>
  </si>
  <si>
    <t>SEE911764038249</t>
  </si>
  <si>
    <t>in Betrieb</t>
  </si>
  <si>
    <t>Franken DT1</t>
  </si>
  <si>
    <t>SEE922477386435</t>
  </si>
  <si>
    <t>Franken DT2</t>
  </si>
  <si>
    <t>SEE948129095272</t>
  </si>
  <si>
    <t>Irsching 4</t>
  </si>
  <si>
    <t>SEE943210695102</t>
  </si>
  <si>
    <t>Volkswagen AG</t>
  </si>
  <si>
    <t>DT30 GuD Süd Wolfsburg</t>
  </si>
  <si>
    <t>Wolfsburg</t>
  </si>
  <si>
    <t>Berliner Ring 2</t>
  </si>
  <si>
    <t>SEE955053582136</t>
  </si>
  <si>
    <t>GuD West 40 Dampfturbine</t>
  </si>
  <si>
    <t>SEE956527009524</t>
  </si>
  <si>
    <t>GuD West 50 Dampfturbine</t>
  </si>
  <si>
    <t>SEE919939073064</t>
  </si>
  <si>
    <t>GT 31 GuD Süd Wolfsburg</t>
  </si>
  <si>
    <t>SEE984196895179</t>
  </si>
  <si>
    <t>GT32 GuD Süd Wolfsburg</t>
  </si>
  <si>
    <t>SEE987007882719</t>
  </si>
  <si>
    <t>GuD West 40 Gasturbine</t>
  </si>
  <si>
    <t>SEE990778985312</t>
  </si>
  <si>
    <t>GuD West 50 Gasturbine</t>
  </si>
  <si>
    <t>SEE971995083203</t>
  </si>
  <si>
    <t>VW Kraftwerk GmbH</t>
  </si>
  <si>
    <t>BHKW Braunschweig</t>
  </si>
  <si>
    <t>Gifhorner Straße 180</t>
  </si>
  <si>
    <t>SEE998387657606</t>
  </si>
  <si>
    <t>VW Baunatal Dampfturbine</t>
  </si>
  <si>
    <t>Baunatal</t>
  </si>
  <si>
    <t xml:space="preserve">Im Lehnhof </t>
  </si>
  <si>
    <t>SEE961847934449</t>
  </si>
  <si>
    <t>VW Baunatal Gasturbine</t>
  </si>
  <si>
    <t>SEE903050601572</t>
  </si>
  <si>
    <t>Wacker Chemie</t>
  </si>
  <si>
    <t>Turbine/Generator 9</t>
  </si>
  <si>
    <t>Burghausen</t>
  </si>
  <si>
    <t>Johannes-Hess-Straße 24</t>
  </si>
  <si>
    <t>SEE921503407342</t>
  </si>
  <si>
    <t>Turbine/Generator 10</t>
  </si>
  <si>
    <t>SEE956085205437</t>
  </si>
  <si>
    <t>Turbine/Generator 8</t>
  </si>
  <si>
    <t>SEE947816911833</t>
  </si>
  <si>
    <t>Gasturbinenanlage 12</t>
  </si>
  <si>
    <t>SEE944429192826</t>
  </si>
  <si>
    <t>Zweckverband Abfallverwertung Südostbayern</t>
  </si>
  <si>
    <t>SEE944429192826 (MHKW Burgkirchen (Müllverbrennung))</t>
  </si>
  <si>
    <t>Bruck 110</t>
  </si>
  <si>
    <t>SEE971796321603</t>
  </si>
  <si>
    <t>Zweckverband Abfallwirtschaft Raum Würzburg</t>
  </si>
  <si>
    <t>TS II</t>
  </si>
  <si>
    <t>Gattingerstraße 31</t>
  </si>
  <si>
    <t>SEE964170331206</t>
  </si>
  <si>
    <t>Zweckverband für Abfallwirtschaft in Nordwest-Oberfranken</t>
  </si>
  <si>
    <t>MHKW Coburg</t>
  </si>
  <si>
    <t>Coburg</t>
  </si>
  <si>
    <t>Glender Straße 30</t>
  </si>
  <si>
    <t>SEE907370296296</t>
  </si>
  <si>
    <t>Zweckverband Müllverwertung Schwandorf</t>
  </si>
  <si>
    <t>MKW SAD Turbine 5</t>
  </si>
  <si>
    <t>Schwandorf</t>
  </si>
  <si>
    <t>Alustraße 7</t>
  </si>
  <si>
    <t>SEE925011950635</t>
  </si>
  <si>
    <t>Zweckverband Müllverwertungsanlage Ingolstadt</t>
  </si>
  <si>
    <t>Turbine VE 40 ZV MVA IN</t>
  </si>
  <si>
    <t>Ingolstadt</t>
  </si>
  <si>
    <t>Am Mailinger Bach 141</t>
  </si>
  <si>
    <t>SEE973793127974</t>
  </si>
  <si>
    <t>ArcelorMittal Bremen GmbH</t>
  </si>
  <si>
    <t>KW Mittelsbüren Block 4</t>
  </si>
  <si>
    <t>SEE954780579013</t>
  </si>
  <si>
    <t>AUDI</t>
  </si>
  <si>
    <t>IN_WERK_PST_Gesamt</t>
  </si>
  <si>
    <t>Ettinger Straße 105</t>
  </si>
  <si>
    <t>Dieselkraftstoff</t>
  </si>
  <si>
    <t>SEE997526539162</t>
  </si>
  <si>
    <t>Energieservice Westfalen Weser GmbH</t>
  </si>
  <si>
    <t>Kraftwerk-Kirchlengern_GT2</t>
  </si>
  <si>
    <t>Kirchlengern</t>
  </si>
  <si>
    <t>Bahnhofstraße 40</t>
  </si>
  <si>
    <t>SEE959343099212</t>
  </si>
  <si>
    <t>Kraftwerk Kirchlengern_GT1</t>
  </si>
  <si>
    <t>SEE981258814888</t>
  </si>
  <si>
    <t>Raffinerie Heide GmbH</t>
  </si>
  <si>
    <t>Kraftwerk Raffinerie Heide GmbH</t>
  </si>
  <si>
    <t>Hemmingstedt</t>
  </si>
  <si>
    <t>Meldorfer Straße 43</t>
  </si>
  <si>
    <t>SEE987278903410</t>
  </si>
  <si>
    <t>Salzgitter Flachstahl GmbH</t>
  </si>
  <si>
    <t>Ma 4</t>
  </si>
  <si>
    <t>Salzgitter</t>
  </si>
  <si>
    <t>Eisenhüttenstraße 99</t>
  </si>
  <si>
    <t>https://www.salzgitter-flachstahl.de/de/news/details/energie-der-zukunft-12924.html</t>
  </si>
  <si>
    <t>SEE941875842596</t>
  </si>
  <si>
    <t>Ma 1</t>
  </si>
  <si>
    <t>https://www.salzgitter-flachstahl.de/de/news/artikel-der-salzgitter-flachstahl-gmbh/2018-06-27/energie-der-zukunft.html</t>
  </si>
  <si>
    <t>SEE979791664664</t>
  </si>
  <si>
    <t>Ma 2</t>
  </si>
  <si>
    <t>SEE922395631839</t>
  </si>
  <si>
    <t>Block1</t>
  </si>
  <si>
    <t>SEE976320012538</t>
  </si>
  <si>
    <t>Block2</t>
  </si>
  <si>
    <t>SEE992472260238</t>
  </si>
  <si>
    <t>Fernwärmekraftwerk Kassel DT1</t>
  </si>
  <si>
    <t>SEE928076311489</t>
  </si>
  <si>
    <t>Fernwärmekraftwerk Kassel DT2</t>
  </si>
  <si>
    <t>SEE957285549260</t>
  </si>
  <si>
    <t>Dampfturbine 9</t>
  </si>
  <si>
    <t>SEE950589701143</t>
  </si>
  <si>
    <t>Gaskraftwerk Emden - Gasturbine</t>
  </si>
  <si>
    <t>Emden</t>
  </si>
  <si>
    <t xml:space="preserve">Zum Kraftwerk </t>
  </si>
  <si>
    <t>https://www.energie-chronik.de/120212.htm</t>
  </si>
  <si>
    <t>SEE976333173899</t>
  </si>
  <si>
    <t>Gaskraftwerk Landesbergen - Gasturbine</t>
  </si>
  <si>
    <t>Landesbergen</t>
  </si>
  <si>
    <t>Hävern 1</t>
  </si>
  <si>
    <t>https://www.statkraft.de/ueber-statkraft/standorte/Landesbergen-Gaskraftwerk/</t>
  </si>
  <si>
    <t>SEE998479256069</t>
  </si>
  <si>
    <t>Dampfturbine III Südzucker AG Ochsenfurt</t>
  </si>
  <si>
    <t>SEE924172977710</t>
  </si>
  <si>
    <t>Mittelsbüren GT3</t>
  </si>
  <si>
    <t>SEE952372080091</t>
  </si>
  <si>
    <t>SWM HKW Nord 2 T20</t>
  </si>
  <si>
    <t>SEE911567250299</t>
  </si>
  <si>
    <t>Itzehoe GT</t>
  </si>
  <si>
    <t>Oldendorf</t>
  </si>
  <si>
    <t>Straße nach Huje 1</t>
  </si>
  <si>
    <t>SEE987807988154</t>
  </si>
  <si>
    <t>Audorf GT</t>
  </si>
  <si>
    <t>Osterrönfeld</t>
  </si>
  <si>
    <t>Schäferkatenweg 1</t>
  </si>
  <si>
    <t>SEE950675787617</t>
  </si>
  <si>
    <t>Ingolstadt 3</t>
  </si>
  <si>
    <t>Großmehring</t>
  </si>
  <si>
    <t>Bayernwerkstraße 30</t>
  </si>
  <si>
    <t>SEE983645175053</t>
  </si>
  <si>
    <t>Ingolstadt 4</t>
  </si>
  <si>
    <t>SEE929161243203</t>
  </si>
  <si>
    <t>Staudinger 5</t>
  </si>
  <si>
    <t>Großkrotzenburg</t>
  </si>
  <si>
    <t>Hanauer Landstraße 150</t>
  </si>
  <si>
    <t>SEE988182827533</t>
  </si>
  <si>
    <t>Staudinger 4</t>
  </si>
  <si>
    <t>SEE915432109163</t>
  </si>
  <si>
    <t>Uniper Systemstabilität GmbH</t>
  </si>
  <si>
    <t>Irsching 6</t>
  </si>
  <si>
    <t>https://www.muenchsmuenster.de/fileadmin/user_upload/01_00_00_bnBm-Ir6_Allgemeine_Angaben_UKW_Rev03.pdf</t>
  </si>
  <si>
    <t>SEE998984420832</t>
  </si>
  <si>
    <t>HKW Nord Generator A</t>
  </si>
  <si>
    <t>SEE913657334902</t>
  </si>
  <si>
    <t>NEC_WERK_PST_SÜD</t>
  </si>
  <si>
    <t>Neckarsulm</t>
  </si>
  <si>
    <t>NSU-Straße 1</t>
  </si>
  <si>
    <t>Baden-Württemberg</t>
  </si>
  <si>
    <t>SEE923959807806</t>
  </si>
  <si>
    <t>Mannheim</t>
  </si>
  <si>
    <t>Otto-Hahn-Straße 1</t>
  </si>
  <si>
    <t>SEE903153060207</t>
  </si>
  <si>
    <t>Cerdia Produktions GmbH</t>
  </si>
  <si>
    <t>Dampfturbine9</t>
  </si>
  <si>
    <t>Freiburg</t>
  </si>
  <si>
    <t>Engesserstraße 8</t>
  </si>
  <si>
    <t>SEE972356296461</t>
  </si>
  <si>
    <t>SEE929182899328</t>
  </si>
  <si>
    <t>Daimler Truck AG</t>
  </si>
  <si>
    <t>Prüfstände Brühl 3/52</t>
  </si>
  <si>
    <t>Esslingen</t>
  </si>
  <si>
    <t>Palmenwaldstraße 27</t>
  </si>
  <si>
    <t>SEE934706805181</t>
  </si>
  <si>
    <t>Dr. Ing. h.c. F. Porsche AG</t>
  </si>
  <si>
    <t>W08_PST_Mantelobjekt</t>
  </si>
  <si>
    <t>Weissach</t>
  </si>
  <si>
    <t>Porschestraße 911</t>
  </si>
  <si>
    <t>SEE934531299087</t>
  </si>
  <si>
    <t>DSM Nutritional Products GmbH</t>
  </si>
  <si>
    <t>Gasturbine GT</t>
  </si>
  <si>
    <t>Grenzach-Wyhlen</t>
  </si>
  <si>
    <t>Emil-Barell-Straße 3</t>
  </si>
  <si>
    <t>SEE971280976463</t>
  </si>
  <si>
    <t>EEW Energy from Waste Göppingen</t>
  </si>
  <si>
    <t>MHKW Turbine</t>
  </si>
  <si>
    <t>Göppingen</t>
  </si>
  <si>
    <t>Iltishofweg 40</t>
  </si>
  <si>
    <t>SEE988429673565</t>
  </si>
  <si>
    <t>TREA Breisgau</t>
  </si>
  <si>
    <t>Eschbach</t>
  </si>
  <si>
    <t>Heitersheimer Straße 0</t>
  </si>
  <si>
    <t>SEE962877818310</t>
  </si>
  <si>
    <t>Heizkraftwerk Stuttgart-Münster DT 19</t>
  </si>
  <si>
    <t>Stuttgart</t>
  </si>
  <si>
    <t>Voltastraße 45</t>
  </si>
  <si>
    <t>SEE951401550147</t>
  </si>
  <si>
    <t>Heizkraftwerk Stuttgart-Münster GT 17</t>
  </si>
  <si>
    <t>SEE985887784048</t>
  </si>
  <si>
    <t>Heizkraftwerk Stuttgart-Münster GT 18</t>
  </si>
  <si>
    <t>SEE971282697380</t>
  </si>
  <si>
    <t>Heizkraftwerk Altbach/Deizisau Block 4 GT A (solo)</t>
  </si>
  <si>
    <t>Altbach</t>
  </si>
  <si>
    <t>Industriestraße 11</t>
  </si>
  <si>
    <t>SEE905714722562</t>
  </si>
  <si>
    <t>Heizkraftwerk Stuttgart-Münster DT 15</t>
  </si>
  <si>
    <t>SEE998383491525</t>
  </si>
  <si>
    <t>Heizkraftwerk Stuttgart-Münster DT 12</t>
  </si>
  <si>
    <t>SEE963975943188</t>
  </si>
  <si>
    <t>Heizkraftwerk Altbach/Deizisau GT B</t>
  </si>
  <si>
    <t>SEE975556152230</t>
  </si>
  <si>
    <t>Heizkraftwerk Altbach/Deizisau HKW 2 GT E (Solobetrieb)</t>
  </si>
  <si>
    <t>SEE904161631090</t>
  </si>
  <si>
    <t>Heizkraftwerk Altbach/Deizisau GT C</t>
  </si>
  <si>
    <t>SEE994391041424</t>
  </si>
  <si>
    <t>Kraftwerk Marbach MAR 3 GT (solo)</t>
  </si>
  <si>
    <t>Marbach</t>
  </si>
  <si>
    <t>Ludwigsburger Str. 100/1</t>
  </si>
  <si>
    <t xml:space="preserve">Annahme basierend auf https://www.enbw.com/presse/enbw-netzstabilitaetsanlage-marbach.html </t>
  </si>
  <si>
    <t>SEE968136280119</t>
  </si>
  <si>
    <t>Rheinhafen- Dampfkraftwerk  RDK 4S DT</t>
  </si>
  <si>
    <t>Karlsruhe</t>
  </si>
  <si>
    <t>Fettweisstraße 42</t>
  </si>
  <si>
    <t>SEE935086224739</t>
  </si>
  <si>
    <t>Heizkraftwerk Heilbronn HLB 6</t>
  </si>
  <si>
    <t>Heilbronn</t>
  </si>
  <si>
    <t>Lichtenbergerstraße 23</t>
  </si>
  <si>
    <t>SEE968847258773</t>
  </si>
  <si>
    <t>Heizkraftwerk Heilbronn HLB 5</t>
  </si>
  <si>
    <t>Lichtenbergerstraße 21</t>
  </si>
  <si>
    <t>SEE911613995433</t>
  </si>
  <si>
    <t>Kraftwerk Walheim GTD</t>
  </si>
  <si>
    <t>Walheim</t>
  </si>
  <si>
    <t>Mühlstraße 1</t>
  </si>
  <si>
    <t>SEE934927915690</t>
  </si>
  <si>
    <t>Rheinhafen- Dampfkraftwerk RDK 4S GT</t>
  </si>
  <si>
    <t>SEE933361522259</t>
  </si>
  <si>
    <t>Kraftwerk Marbach MAR 4</t>
  </si>
  <si>
    <t>Thomas-Alva-Edison-Ring 6</t>
  </si>
  <si>
    <t>https://www.enbw.com/presse/enbw-netzstabilitaetsanlage-marbach.html</t>
  </si>
  <si>
    <t>SEE965782597448</t>
  </si>
  <si>
    <t>Heizkraftwerk Altbach/Deizisau HKW 2 DT (Solobetrieb)</t>
  </si>
  <si>
    <t>SEE944503176377</t>
  </si>
  <si>
    <t>Heizkraftwerk  Altbach/Deizisau HKW 1</t>
  </si>
  <si>
    <t>SEE980016033738</t>
  </si>
  <si>
    <t>Rheinhafen-Dampfkraftwerk RDK 7</t>
  </si>
  <si>
    <t>SEE948609940009</t>
  </si>
  <si>
    <t>Heizkraftwerk Heilbronn HLB 7</t>
  </si>
  <si>
    <t>SEE980331579218</t>
  </si>
  <si>
    <t>Rheinhafen-Dampfkraftwerk RDK 8</t>
  </si>
  <si>
    <t>SEE919366422664</t>
  </si>
  <si>
    <t>Essity Operations Mannheim GmbH</t>
  </si>
  <si>
    <t>DTS 3</t>
  </si>
  <si>
    <t>Sandhofer Straße 176</t>
  </si>
  <si>
    <t>SEE906120609386</t>
  </si>
  <si>
    <t>DTS 2</t>
  </si>
  <si>
    <t>SEE985331675700</t>
  </si>
  <si>
    <t>Fernwärme Ulm GmbH</t>
  </si>
  <si>
    <t>HKW Magirusstraße</t>
  </si>
  <si>
    <t>Ulm</t>
  </si>
  <si>
    <t>Magirusstraße 21</t>
  </si>
  <si>
    <t>https://www.jenbacher.com/de/referenzen/fernwaerme-ulm-gmbh</t>
  </si>
  <si>
    <t>SEE936668903264</t>
  </si>
  <si>
    <t>BHKW1</t>
  </si>
  <si>
    <t>SEE949085992346</t>
  </si>
  <si>
    <t>Firma Mercedes-Benz AG Werk 050 HPC NC50 LN-Nr.: 17319765</t>
  </si>
  <si>
    <t>W050-TS_Mercedes-Benz Werk Sindelfingen HKW Turbine 2</t>
  </si>
  <si>
    <t>Sindelfingen</t>
  </si>
  <si>
    <t>Bela-Barenyi-Str. 1</t>
  </si>
  <si>
    <t>SEE993713255198</t>
  </si>
  <si>
    <t>W050-TS_Mercedes-Benz Werk Sindelfingen HKW Turbine 5</t>
  </si>
  <si>
    <t>SEE986713152253</t>
  </si>
  <si>
    <t>W050-TS_Mercedes-Benz Werk Sindelfingen HKW Turbine 4</t>
  </si>
  <si>
    <t>SEE924343365650</t>
  </si>
  <si>
    <t>W050-TS_Mercedes-Benz Werk Sindelfingen HKW Gasturbine 1</t>
  </si>
  <si>
    <t xml:space="preserve">Bela-Barenyi-Str. </t>
  </si>
  <si>
    <t>SEE909002940690</t>
  </si>
  <si>
    <t>Grosskraftwerk Mannheim</t>
  </si>
  <si>
    <t>GKM Block 6</t>
  </si>
  <si>
    <t>Marguerrestraße 1</t>
  </si>
  <si>
    <t>SEE988699847857</t>
  </si>
  <si>
    <t>GKM Block 7</t>
  </si>
  <si>
    <t>https://www.gkm.de/unternehmen/</t>
  </si>
  <si>
    <t>SEE975507584615</t>
  </si>
  <si>
    <t>GKM Block 8</t>
  </si>
  <si>
    <t>SEE988477355802</t>
  </si>
  <si>
    <t>GKM Block 9</t>
  </si>
  <si>
    <t>SEE967390177067</t>
  </si>
  <si>
    <t>Holcim (Süddeutschland) GmbH</t>
  </si>
  <si>
    <t>GOES Anlagen Dotternhausen Blöcke 1+2+3+4</t>
  </si>
  <si>
    <t>Dotternhausen</t>
  </si>
  <si>
    <t>Dormettinger Straße 25</t>
  </si>
  <si>
    <t>SEE949133098242</t>
  </si>
  <si>
    <t>Maxauer Papierfarbik GmbH</t>
  </si>
  <si>
    <t xml:space="preserve">Mitscherlichstraße </t>
  </si>
  <si>
    <t>SEE904455926604</t>
  </si>
  <si>
    <t>Mitscherlichstraße 11</t>
  </si>
  <si>
    <t>SEE980046698020</t>
  </si>
  <si>
    <t>SEE902096864651</t>
  </si>
  <si>
    <t>Mineraloelraffinerie Oberrhein</t>
  </si>
  <si>
    <t>Maschine 1</t>
  </si>
  <si>
    <t>Nördliche Raffineriestraße 1</t>
  </si>
  <si>
    <t>SEE914187135533</t>
  </si>
  <si>
    <t>Maschine 2</t>
  </si>
  <si>
    <t>SEE937538401125</t>
  </si>
  <si>
    <t>Maschine 3</t>
  </si>
  <si>
    <t>SEE955482235511</t>
  </si>
  <si>
    <t>Maschine 4</t>
  </si>
  <si>
    <t>SEE909106315790</t>
  </si>
  <si>
    <t>TG-1904</t>
  </si>
  <si>
    <t>SEE912912423627</t>
  </si>
  <si>
    <t>Expander</t>
  </si>
  <si>
    <t>SEE904983741502</t>
  </si>
  <si>
    <t>MHKW Mannheim Generator T60</t>
  </si>
  <si>
    <t>SEE946736241334</t>
  </si>
  <si>
    <t>HKW Aalen</t>
  </si>
  <si>
    <t>Aalen</t>
  </si>
  <si>
    <t>Palm Allee 1</t>
  </si>
  <si>
    <t>SEE940039139749</t>
  </si>
  <si>
    <t>Stadtwerke Karlsruhe GmbH</t>
  </si>
  <si>
    <t>SW Karlsruhe Heizkraftwerk West Generator 3</t>
  </si>
  <si>
    <t>Honsellstraße 36</t>
  </si>
  <si>
    <t>SEE977368296324</t>
  </si>
  <si>
    <t>SWP Stadtwerke Pforzheim</t>
  </si>
  <si>
    <t>MOT 1</t>
  </si>
  <si>
    <t>Pforzheim</t>
  </si>
  <si>
    <t>Hohwiesenweg 19</t>
  </si>
  <si>
    <t>https://www.innio.com/de/loesungen/energieerzeugung/kraft-waerme-kopplung</t>
  </si>
  <si>
    <t>SEE914740925915</t>
  </si>
  <si>
    <t>MOT 2</t>
  </si>
  <si>
    <t>SEE956308510836</t>
  </si>
  <si>
    <t>MOT 3</t>
  </si>
  <si>
    <t>SEE963197749315</t>
  </si>
  <si>
    <t>MOT 4</t>
  </si>
  <si>
    <t>SEE976252866650</t>
  </si>
  <si>
    <t>MOT 5</t>
  </si>
  <si>
    <t>SEE960507530304</t>
  </si>
  <si>
    <t>Universität Stuttgart</t>
  </si>
  <si>
    <t>HKW Pfaffenwald, Generator 50</t>
  </si>
  <si>
    <t>Pfaffenwaldring 8</t>
  </si>
  <si>
    <t>SEE994422897143</t>
  </si>
  <si>
    <t>HKW Pfaffenwald, Generator 60</t>
  </si>
  <si>
    <t>SEE953991032447</t>
  </si>
  <si>
    <t>Universitätsklinikum Heidelberg</t>
  </si>
  <si>
    <t>KWKK Heidelberg</t>
  </si>
  <si>
    <t>Heidelberg</t>
  </si>
  <si>
    <t>Im Neuenheimer Feld 530</t>
  </si>
  <si>
    <t>SEE901884895389</t>
  </si>
  <si>
    <t>Universitätsklinkum Freiburg Standort Bad Krozingen</t>
  </si>
  <si>
    <t>Dampfturbine 1</t>
  </si>
  <si>
    <t>Hartmannstraße 1</t>
  </si>
  <si>
    <t>SEE955548455112</t>
  </si>
  <si>
    <t>Zweckverband Restmüllheizkraftwerk Böblingen</t>
  </si>
  <si>
    <t>Restmüllheizkraftwerk</t>
  </si>
  <si>
    <t>Böblingen</t>
  </si>
  <si>
    <t>Musberger Sträßle 11</t>
  </si>
  <si>
    <t>SEE987789318420</t>
  </si>
  <si>
    <t>Stadt Kandern</t>
  </si>
  <si>
    <t>KWK Anlage Kläranlage</t>
  </si>
  <si>
    <t>Kandern</t>
  </si>
  <si>
    <t>Im Dörfli 30</t>
  </si>
  <si>
    <t>MaStR-ID</t>
  </si>
  <si>
    <t>Betreiber</t>
  </si>
  <si>
    <t>Kraftwerksname</t>
  </si>
  <si>
    <t>Blockname</t>
  </si>
  <si>
    <t>Technologie</t>
  </si>
  <si>
    <t>KWK</t>
  </si>
  <si>
    <t>PLZ</t>
  </si>
  <si>
    <t>Ort</t>
  </si>
  <si>
    <t>Bundesland</t>
  </si>
  <si>
    <t>Inbetriebnahmejahr</t>
  </si>
  <si>
    <t>Status aktuell</t>
  </si>
  <si>
    <t>Nettonennleistung [MW] 31.12.2023</t>
  </si>
  <si>
    <t>Leistung [MW] 2037</t>
  </si>
  <si>
    <t>Energieträger 2037</t>
  </si>
  <si>
    <t>Leistung [MW] 2045</t>
  </si>
  <si>
    <t>Energieträger 2045</t>
  </si>
  <si>
    <t>NV</t>
  </si>
  <si>
    <t>EnBW Energie Baden-Wuerttemberg AG</t>
  </si>
  <si>
    <t>Heizkraftwerk Altbach/Deizisau</t>
  </si>
  <si>
    <t>ALT HKW 3</t>
  </si>
  <si>
    <t>ja</t>
  </si>
  <si>
    <t>Baden-Wuerttemberg</t>
  </si>
  <si>
    <t>In Bau</t>
  </si>
  <si>
    <t>Erdgas/Wasserstoff</t>
  </si>
  <si>
    <t>Wasserstoff</t>
  </si>
  <si>
    <t>DREWAG Stadtwerke Dresden GmbH</t>
  </si>
  <si>
    <t xml:space="preserve">Dresden </t>
  </si>
  <si>
    <t>HKW Dresden-Nossener Bruecke</t>
  </si>
  <si>
    <t>01169</t>
  </si>
  <si>
    <t>Gasmotoren-HKW Dresden-Reick</t>
  </si>
  <si>
    <t>Aggregat 1</t>
  </si>
  <si>
    <t>01237</t>
  </si>
  <si>
    <t>Aggregat 2</t>
  </si>
  <si>
    <t>Aggregat 3</t>
  </si>
  <si>
    <t>Aggregat 4</t>
  </si>
  <si>
    <t xml:space="preserve">Uniper Kraftwerke GmbH </t>
  </si>
  <si>
    <t>Franken 1</t>
  </si>
  <si>
    <t>DT 1</t>
  </si>
  <si>
    <t>nein</t>
  </si>
  <si>
    <t>Nuernberg</t>
  </si>
  <si>
    <t>Ulrich Hartmann (Irsching)</t>
  </si>
  <si>
    <t>SEE933021962319</t>
  </si>
  <si>
    <t>Waldeck 2</t>
  </si>
  <si>
    <t>Maschine 5</t>
  </si>
  <si>
    <t>Wasser</t>
  </si>
  <si>
    <t>Pumpspeicher</t>
  </si>
  <si>
    <t>Edertal Hemfurth-Edersee</t>
  </si>
  <si>
    <t>SEE996080766151</t>
  </si>
  <si>
    <t>Maschine 6</t>
  </si>
  <si>
    <t>Huntorf</t>
  </si>
  <si>
    <t>Aggregat 5</t>
  </si>
  <si>
    <t>Aggregat 6</t>
  </si>
  <si>
    <t>Aggregat 7</t>
  </si>
  <si>
    <t>Aggregat 8</t>
  </si>
  <si>
    <t>Kraftwerk Sachsenmilch Leppersdorf Wachau</t>
  </si>
  <si>
    <t>Industriepark Werk Gendorf</t>
  </si>
  <si>
    <t>Stadtwerke Flensburg GmbH</t>
  </si>
  <si>
    <t>Heizkraftwerk FL</t>
  </si>
  <si>
    <t>SEE937878572653</t>
  </si>
  <si>
    <t>Donau-Wasserkraft AG</t>
  </si>
  <si>
    <t>PSW Langenprozelten</t>
  </si>
  <si>
    <t>E F2</t>
  </si>
  <si>
    <t>Gemünden</t>
  </si>
  <si>
    <t>SEE991939746742</t>
  </si>
  <si>
    <t>E F1</t>
  </si>
  <si>
    <t>SEE967069763799</t>
  </si>
  <si>
    <t>Stadtwerke Muenchen GmbH</t>
  </si>
  <si>
    <t>Leitzach 1</t>
  </si>
  <si>
    <t>Vagen</t>
  </si>
  <si>
    <t>SEE932484697615</t>
  </si>
  <si>
    <t>Leitzach 2</t>
  </si>
  <si>
    <t>M22</t>
  </si>
  <si>
    <t>SEE953508633730</t>
  </si>
  <si>
    <t>Wintershall</t>
  </si>
  <si>
    <t>Georg-August-Universität Göttingen Stiftung Öffentlichen Rechts</t>
  </si>
  <si>
    <t>HKW Goettingen</t>
  </si>
  <si>
    <t>HKW Erlangen</t>
  </si>
  <si>
    <t>GuD I</t>
  </si>
  <si>
    <t>SEE917568874298</t>
  </si>
  <si>
    <t>SEE914224312040</t>
  </si>
  <si>
    <t>Global Foundries Dresden Module Two LLC</t>
  </si>
  <si>
    <t>Gasmotoren Blockheizkraftwerk I</t>
  </si>
  <si>
    <t>01468</t>
  </si>
  <si>
    <t>Moritzburg</t>
  </si>
  <si>
    <t>SEE932664806912</t>
  </si>
  <si>
    <t>SEE987679030500</t>
  </si>
  <si>
    <t>SEE923918497345</t>
  </si>
  <si>
    <t>SEE903406002589</t>
  </si>
  <si>
    <t>Generator 5</t>
  </si>
  <si>
    <t>SEE956441736957</t>
  </si>
  <si>
    <t>Heizkraftwerke an der Friedensbruecke</t>
  </si>
  <si>
    <t>TSIII</t>
  </si>
  <si>
    <t>Wuerzburg</t>
  </si>
  <si>
    <t>TSII</t>
  </si>
  <si>
    <t>GTII</t>
  </si>
  <si>
    <t>GTI</t>
  </si>
  <si>
    <t>SEE921399860047</t>
  </si>
  <si>
    <t>Gasmotore</t>
  </si>
  <si>
    <t>GM2</t>
  </si>
  <si>
    <t>SEE945563004310</t>
  </si>
  <si>
    <t>GM3</t>
  </si>
  <si>
    <t>SEE994210380116</t>
  </si>
  <si>
    <t>Kombi-HKW</t>
  </si>
  <si>
    <t>Kraftwerk Obernburg GmbH</t>
  </si>
  <si>
    <t>Obernburg</t>
  </si>
  <si>
    <t>swb Entsorgung GmbH &amp; Co. KG</t>
  </si>
  <si>
    <t>MHKW</t>
  </si>
  <si>
    <t>Gen4</t>
  </si>
  <si>
    <t>Gen2</t>
  </si>
  <si>
    <t>SEE972694764301</t>
  </si>
  <si>
    <t>Gen1</t>
  </si>
  <si>
    <t>SEE927032372373</t>
  </si>
  <si>
    <t>Bremerhavener Entsorgungsgesellschaft mbH</t>
  </si>
  <si>
    <t>BEG</t>
  </si>
  <si>
    <t>Bremerhaven</t>
  </si>
  <si>
    <t>Zweckverband Abfallverwertung Suedostbayern</t>
  </si>
  <si>
    <t>MHKW Burgkirchen</t>
  </si>
  <si>
    <t>Muellheizkraftwerk Kassel GmbH</t>
  </si>
  <si>
    <t>Muellheizkraftwerk</t>
  </si>
  <si>
    <t>M8</t>
  </si>
  <si>
    <t>Sappi Alfeld GmbH</t>
  </si>
  <si>
    <t>Werkskraftwerk Sappi Alfeld</t>
  </si>
  <si>
    <t>Gaskraftwerk</t>
  </si>
  <si>
    <t>SEE914688001801</t>
  </si>
  <si>
    <t>Smurfit Kappa Hoya Papier und Karton GmbH</t>
  </si>
  <si>
    <t>DT 2</t>
  </si>
  <si>
    <t>KKK</t>
  </si>
  <si>
    <t>Hoya</t>
  </si>
  <si>
    <t>SEE979811488683</t>
  </si>
  <si>
    <t xml:space="preserve"> K+S Minerals and Agriculture GmbH</t>
  </si>
  <si>
    <t>Sigmundshall</t>
  </si>
  <si>
    <t>SI GT1</t>
  </si>
  <si>
    <t>Wunstorf</t>
  </si>
  <si>
    <t>SEE985220684011</t>
  </si>
  <si>
    <t>SI DT2</t>
  </si>
  <si>
    <t>SEE950309975076</t>
  </si>
  <si>
    <t>SI DT3</t>
  </si>
  <si>
    <t>SEE960162708360</t>
  </si>
  <si>
    <t>HKW Schildescher Strasse</t>
  </si>
  <si>
    <t>HKW-Mitte</t>
  </si>
  <si>
    <t>HKW-Nord</t>
  </si>
  <si>
    <t>Wacker Chemie AG</t>
  </si>
  <si>
    <t>Burghausen 01 - GT</t>
  </si>
  <si>
    <t>HKW West</t>
  </si>
  <si>
    <t>Block 4</t>
  </si>
  <si>
    <t>Frankfurt am Main</t>
  </si>
  <si>
    <t>SEE970377695522</t>
  </si>
  <si>
    <t>SEE922981583535</t>
  </si>
  <si>
    <t>Stadtwerke Lemgo GmbH</t>
  </si>
  <si>
    <t>HKW-West</t>
  </si>
  <si>
    <t xml:space="preserve">Lemgo </t>
  </si>
  <si>
    <t>Gemeinschaftskraftwerk Bremen GmbH und Co. KG</t>
  </si>
  <si>
    <t>KW Mittelsbueren</t>
  </si>
  <si>
    <t>GuD MiBue</t>
  </si>
  <si>
    <t>Dow Stade</t>
  </si>
  <si>
    <t>GuD Baunatal, VW Werksgelaende</t>
  </si>
  <si>
    <t>KWK AOS GmbH</t>
  </si>
  <si>
    <t>Stade- Buetzfleth</t>
  </si>
  <si>
    <t>SEE986633590692</t>
  </si>
  <si>
    <t>CTX</t>
  </si>
  <si>
    <t>Burghausen 01 - DT</t>
  </si>
  <si>
    <t>GuD Sued Wolfsburg</t>
  </si>
  <si>
    <t>GT 31</t>
  </si>
  <si>
    <t>KW Hafen</t>
  </si>
  <si>
    <t>MHKW Frankfurt</t>
  </si>
  <si>
    <t>T 3 (nur alleiniger Betrieb, kein gemeinsamer Betrieb mit T 7 moeglich)</t>
  </si>
  <si>
    <t>T 7 (nur alleiniger Betrieb, kein gemeinsamer Betrieb mit T 3 moeglich)</t>
  </si>
  <si>
    <t>SEE998261618013</t>
  </si>
  <si>
    <t>Enertec Hameln</t>
  </si>
  <si>
    <t>SWN Stadtwerke Neumuenster GmbH</t>
  </si>
  <si>
    <t>Heizkraftwerk NMS</t>
  </si>
  <si>
    <t>N-ERGIE AG</t>
  </si>
  <si>
    <t>HKW Sandreuth</t>
  </si>
  <si>
    <t>SEE955718847075</t>
  </si>
  <si>
    <t>MHKW, WKW</t>
  </si>
  <si>
    <t>T1a/b, T2</t>
  </si>
  <si>
    <t>Zweckverband Muellverwertungsanlage Ingolstadt (MVA Ingolstadt)</t>
  </si>
  <si>
    <t>MVA Ingolstadt</t>
  </si>
  <si>
    <t>SEE951966828576</t>
  </si>
  <si>
    <t>Turbine VE 32 ZV MVA IN</t>
  </si>
  <si>
    <t>TRV Buschhaus</t>
  </si>
  <si>
    <t>Linie 1-3</t>
  </si>
  <si>
    <t>Helmstedt</t>
  </si>
  <si>
    <t>K+S AG</t>
  </si>
  <si>
    <t>Hattorf</t>
  </si>
  <si>
    <t>HA GT4</t>
  </si>
  <si>
    <t>SEE992079247007</t>
  </si>
  <si>
    <t>Generator 8</t>
  </si>
  <si>
    <t>SEE949201577754</t>
  </si>
  <si>
    <t>Terminal 2 Gesellschaft mbH &amp; Co oHG</t>
  </si>
  <si>
    <t>Erweiterung Energiezentrale 2003</t>
  </si>
  <si>
    <t>BHKW M9</t>
  </si>
  <si>
    <t>SEE946394519998</t>
  </si>
  <si>
    <t>BHKW M8</t>
  </si>
  <si>
    <t>SEE995527175044</t>
  </si>
  <si>
    <t>Generator 9</t>
  </si>
  <si>
    <t>Steinbeis Energie</t>
  </si>
  <si>
    <t>Glueckstadt</t>
  </si>
  <si>
    <t>SEE971876915975</t>
  </si>
  <si>
    <t>Global Foundries Dresden Module One LLC</t>
  </si>
  <si>
    <t>Blockheizkraftwerk 2</t>
  </si>
  <si>
    <t>SEE921008505376</t>
  </si>
  <si>
    <t>Molkerei MEGGLE Wasserburg GmbH &amp; Co. KG</t>
  </si>
  <si>
    <t>Kraftwerk Meggle</t>
  </si>
  <si>
    <t>SEE923412553844</t>
  </si>
  <si>
    <t>DREWSEN SPEZIALPAPIERE GmbH &amp; Co. KG</t>
  </si>
  <si>
    <t>GUD-Anlage DREWSEN</t>
  </si>
  <si>
    <t>Lachendorf</t>
  </si>
  <si>
    <t>SEE957201039868</t>
  </si>
  <si>
    <t>SEE916894674336</t>
  </si>
  <si>
    <t>SEE903702464654</t>
  </si>
  <si>
    <t>PKV Kraftwerk</t>
  </si>
  <si>
    <t>GT 5</t>
  </si>
  <si>
    <t>SEE980976424690</t>
  </si>
  <si>
    <t>GT 6</t>
  </si>
  <si>
    <t>SEE995754822537</t>
  </si>
  <si>
    <t>GT 8a</t>
  </si>
  <si>
    <t>SEE961202959384</t>
  </si>
  <si>
    <t>GT 8b</t>
  </si>
  <si>
    <t>DT 9</t>
  </si>
  <si>
    <t>SEE927766801477</t>
  </si>
  <si>
    <t>DT 11</t>
  </si>
  <si>
    <t>DT 7</t>
  </si>
  <si>
    <t>DT 13</t>
  </si>
  <si>
    <t>GuD-Anlage</t>
  </si>
  <si>
    <t>SEE976877764072</t>
  </si>
  <si>
    <t>Flughafen Muenchen GmbH</t>
  </si>
  <si>
    <t>Energiezentrale 2016</t>
  </si>
  <si>
    <t>BHKW2-GOM 2</t>
  </si>
  <si>
    <t>SEE925705511180</t>
  </si>
  <si>
    <t>BHKW2-GOM 3</t>
  </si>
  <si>
    <t>SEE925623713673</t>
  </si>
  <si>
    <t>BHKW2-GOM 4</t>
  </si>
  <si>
    <t>SEE980130244065</t>
  </si>
  <si>
    <t>BHKW2-GOM 1</t>
  </si>
  <si>
    <t>Gasmotor 4</t>
  </si>
  <si>
    <t>MVA</t>
  </si>
  <si>
    <t>SEE997682781566</t>
  </si>
  <si>
    <t>HBB Heizkraftwerk Bauernfeind Betreibergesellschaft mbh</t>
  </si>
  <si>
    <t>HBB</t>
  </si>
  <si>
    <t>GUD</t>
  </si>
  <si>
    <t>Raubling</t>
  </si>
  <si>
    <t>SEE910080930862</t>
  </si>
  <si>
    <t>EBS-Kraftwerk Witzenhausen</t>
  </si>
  <si>
    <t>Pumpspeicherwerk Einöden GmbH</t>
  </si>
  <si>
    <t>Einoeden</t>
  </si>
  <si>
    <t>Pumpspeicherwerk Einoeden</t>
  </si>
  <si>
    <t>Flintsbach am Inn</t>
  </si>
  <si>
    <t>In Planung</t>
  </si>
  <si>
    <t>Nordzucker AG, Werk Clauen</t>
  </si>
  <si>
    <t>Werk Clauen</t>
  </si>
  <si>
    <t>SEE999181532861</t>
  </si>
  <si>
    <t>Stadtwerke Kiel AG</t>
  </si>
  <si>
    <t>HKWH</t>
  </si>
  <si>
    <t>HKWH Gasturbine 5</t>
  </si>
  <si>
    <t>Kiel</t>
  </si>
  <si>
    <t>SEE989392899242</t>
  </si>
  <si>
    <t>HKWH Gasturbine 7</t>
  </si>
  <si>
    <t>SEE963125615224</t>
  </si>
  <si>
    <t>Kuestenkraftwerk K.I.E.L.</t>
  </si>
  <si>
    <t>Motor 14</t>
  </si>
  <si>
    <t>SEE937791832391</t>
  </si>
  <si>
    <t>Motor 16</t>
  </si>
  <si>
    <t>SEE932569905017</t>
  </si>
  <si>
    <t>Motor 17</t>
  </si>
  <si>
    <t>SEE979353792927</t>
  </si>
  <si>
    <t>Motor 18</t>
  </si>
  <si>
    <t>SEE994826833730</t>
  </si>
  <si>
    <t>Motor 19</t>
  </si>
  <si>
    <t>SEE987324322059</t>
  </si>
  <si>
    <t>Motor 20</t>
  </si>
  <si>
    <t>SEE921059219284</t>
  </si>
  <si>
    <t>Motor 7</t>
  </si>
  <si>
    <t>SEE951839779134</t>
  </si>
  <si>
    <t>Motor 1</t>
  </si>
  <si>
    <t>SEE985206646330</t>
  </si>
  <si>
    <t>Motor 10</t>
  </si>
  <si>
    <t>SEE916115669219</t>
  </si>
  <si>
    <t>Motor 11</t>
  </si>
  <si>
    <t>SEE953574430066</t>
  </si>
  <si>
    <t>Motor 12</t>
  </si>
  <si>
    <t>SEE905939296770</t>
  </si>
  <si>
    <t>Motor 13</t>
  </si>
  <si>
    <t>SEE941552924256</t>
  </si>
  <si>
    <t>Motor 15</t>
  </si>
  <si>
    <t>SEE918583974024</t>
  </si>
  <si>
    <t>SEE939823727910</t>
  </si>
  <si>
    <t>Motor 3</t>
  </si>
  <si>
    <t>SEE904076796426</t>
  </si>
  <si>
    <t>Motor 4</t>
  </si>
  <si>
    <t>SEE940475173918</t>
  </si>
  <si>
    <t>Motor 5</t>
  </si>
  <si>
    <t>SEE967544153657</t>
  </si>
  <si>
    <t>Motor 6</t>
  </si>
  <si>
    <t>SEE934242259776</t>
  </si>
  <si>
    <t>Motor 8</t>
  </si>
  <si>
    <t>Nord 1</t>
  </si>
  <si>
    <t>Nord 3</t>
  </si>
  <si>
    <t>SEE919286948329</t>
  </si>
  <si>
    <t>Gunvor Raffinerie Ingolstadt GmbH</t>
  </si>
  <si>
    <t>Kraftwerk GRI</t>
  </si>
  <si>
    <t>Dampfturbine GD1</t>
  </si>
  <si>
    <t>Kösching</t>
  </si>
  <si>
    <t>SEE933714674710</t>
  </si>
  <si>
    <t>Dampfturbine KM2</t>
  </si>
  <si>
    <t>SEE938449433663</t>
  </si>
  <si>
    <t>Dampfturbine GD3</t>
  </si>
  <si>
    <t>HKW West M5</t>
  </si>
  <si>
    <t>M5</t>
  </si>
  <si>
    <t>SEE914931712744</t>
  </si>
  <si>
    <t>Sales &amp; Solutions GmbH</t>
  </si>
  <si>
    <t>Heizkraftwerk Bomlitz</t>
  </si>
  <si>
    <t>HK_001_Industrieheizkraftwerk-Walsrode_BHKW-GM1</t>
  </si>
  <si>
    <t>Bomlitz</t>
  </si>
  <si>
    <t>SEE955802157592</t>
  </si>
  <si>
    <t>HK_001_Industrieheizkraftwerk-Walsrode_BHKW-GM2</t>
  </si>
  <si>
    <t>SEE963301495572</t>
  </si>
  <si>
    <t>HK_001_Industrieheizkraftwerk-Walsrode_GT6</t>
  </si>
  <si>
    <t>SEE927820549208</t>
  </si>
  <si>
    <t>CR3-Kaffeeveredelung M. Hermsen GmbH (ABR925575207541)</t>
  </si>
  <si>
    <t>KWK-Anlage</t>
  </si>
  <si>
    <t>SEE933265744528</t>
  </si>
  <si>
    <t>Hemfurth</t>
  </si>
  <si>
    <t>F1</t>
  </si>
  <si>
    <t>Speicherwasser</t>
  </si>
  <si>
    <t>SEE909400381729</t>
  </si>
  <si>
    <t>F2</t>
  </si>
  <si>
    <t>SEE930595548697</t>
  </si>
  <si>
    <t>Walchenseekraftwerk</t>
  </si>
  <si>
    <t>D F1</t>
  </si>
  <si>
    <t>Kochel am See</t>
  </si>
  <si>
    <t>SEE928459304602</t>
  </si>
  <si>
    <t>D F2</t>
  </si>
  <si>
    <t>SEE981832585265</t>
  </si>
  <si>
    <t>D F3</t>
  </si>
  <si>
    <t>SEE994984344970</t>
  </si>
  <si>
    <t>D F4</t>
  </si>
  <si>
    <t>SEE965777272787</t>
  </si>
  <si>
    <t>E Pe1</t>
  </si>
  <si>
    <t>SEE975302241416</t>
  </si>
  <si>
    <t>E Pe2</t>
  </si>
  <si>
    <t>SEE936406566188</t>
  </si>
  <si>
    <t>E Pe3</t>
  </si>
  <si>
    <t>SEE994080011080</t>
  </si>
  <si>
    <t>E Pe4</t>
  </si>
  <si>
    <t>Exxon Mobil Production Deutschland GmbH</t>
  </si>
  <si>
    <t>KWK Anlage Grossenkneten</t>
  </si>
  <si>
    <t>SEE902725989434</t>
  </si>
  <si>
    <t>BMW AG</t>
  </si>
  <si>
    <t>Regensburg</t>
  </si>
  <si>
    <t>KWK 4</t>
  </si>
  <si>
    <t>SEE989785638618</t>
  </si>
  <si>
    <t>KWK 3</t>
  </si>
  <si>
    <t>SEE908927793930</t>
  </si>
  <si>
    <t>KWK 2</t>
  </si>
  <si>
    <t>SEE910326850336</t>
  </si>
  <si>
    <t>KWK 1</t>
  </si>
  <si>
    <t>SEE928797247012</t>
  </si>
  <si>
    <t>SEE955178360381</t>
  </si>
  <si>
    <t>KWK Dingolfing BA 1</t>
  </si>
  <si>
    <t>KWK 1 Gebaeude 192.0</t>
  </si>
  <si>
    <t>Dingolfing</t>
  </si>
  <si>
    <t>SEE976607134694</t>
  </si>
  <si>
    <t>KWK 2 Gebaeude 192.0</t>
  </si>
  <si>
    <t>SEE993922966908</t>
  </si>
  <si>
    <t>KWK 3 Gebaeude 192.0</t>
  </si>
  <si>
    <t>SEE933402065318</t>
  </si>
  <si>
    <t>KWK 4 Gebaeude 192.0</t>
  </si>
  <si>
    <t>SEE977050146562</t>
  </si>
  <si>
    <t>SEE943109996648</t>
  </si>
  <si>
    <t>BMW AG Niederlassung Stuttgart</t>
  </si>
  <si>
    <t>KWK Landshut</t>
  </si>
  <si>
    <t>Landshut</t>
  </si>
  <si>
    <t>SEE996431301710</t>
  </si>
  <si>
    <t>KWK 5</t>
  </si>
  <si>
    <t>SEE935253303649</t>
  </si>
  <si>
    <t>KWK 6</t>
  </si>
  <si>
    <t>SEE997706570718</t>
  </si>
  <si>
    <t>SEE913862454280</t>
  </si>
  <si>
    <t>swb Erzeugung GmbH &amp; Co. KG</t>
  </si>
  <si>
    <t>Hybridregelkraftwerk</t>
  </si>
  <si>
    <t>HyReK</t>
  </si>
  <si>
    <t>GuD West 40</t>
  </si>
  <si>
    <t>GuD West 50</t>
  </si>
  <si>
    <t>GT HKW</t>
  </si>
  <si>
    <t>GTHKW BE30</t>
  </si>
  <si>
    <t>SEE917347897449</t>
  </si>
  <si>
    <t>Engie Deutschland AG</t>
  </si>
  <si>
    <t>Waermekraftwerk Zolling</t>
  </si>
  <si>
    <t>M1</t>
  </si>
  <si>
    <t>SEE997481303822</t>
  </si>
  <si>
    <t>M2</t>
  </si>
  <si>
    <t>SEE920806611845</t>
  </si>
  <si>
    <t>M3</t>
  </si>
  <si>
    <t>SEE992535288735</t>
  </si>
  <si>
    <t>M4</t>
  </si>
  <si>
    <t>Freimann GT11</t>
  </si>
  <si>
    <t>Freimann GT12</t>
  </si>
  <si>
    <t>innogy SE</t>
  </si>
  <si>
    <t>HA DT1</t>
  </si>
  <si>
    <t>HA DT2</t>
  </si>
  <si>
    <t>SEE920193460095</t>
  </si>
  <si>
    <t>HKW Humboldtstr.</t>
  </si>
  <si>
    <t>SEE969616938483</t>
  </si>
  <si>
    <t>swb Erzeugung AG &amp; Co.KG</t>
  </si>
  <si>
    <t>Hastedt BHKW</t>
  </si>
  <si>
    <t>SEE905023260298</t>
  </si>
  <si>
    <t>SW Rosenheim GmbH</t>
  </si>
  <si>
    <t>GM7</t>
  </si>
  <si>
    <t>SEE999173384836</t>
  </si>
  <si>
    <t>GM8</t>
  </si>
  <si>
    <t>SEE918028674410</t>
  </si>
  <si>
    <t>GM9</t>
  </si>
  <si>
    <t>Heizkraftwerk Heilbronn</t>
  </si>
  <si>
    <t>HLB 8</t>
  </si>
  <si>
    <t>SEE997585564112</t>
  </si>
  <si>
    <t>Rodundwerk II</t>
  </si>
  <si>
    <t>ROD2 M1</t>
  </si>
  <si>
    <t>AT-6773</t>
  </si>
  <si>
    <t>Vandans</t>
  </si>
  <si>
    <t>Gasturbine Stuttgart-Muenster</t>
  </si>
  <si>
    <t>MueN GT neu</t>
  </si>
  <si>
    <t>SEE960430412456</t>
  </si>
  <si>
    <t>SEE954610139165</t>
  </si>
  <si>
    <t>Schluchseewerk Aktiengesellschaft</t>
  </si>
  <si>
    <t>Wehr</t>
  </si>
  <si>
    <t>Wehr Hotzenwald B 9</t>
  </si>
  <si>
    <t>SEE912978354040</t>
  </si>
  <si>
    <t>SEE945727561772</t>
  </si>
  <si>
    <t>Wehr Hotzenwald B10</t>
  </si>
  <si>
    <t>Rudolf-Fettweis-Werk Oberstufe</t>
  </si>
  <si>
    <t>RFW-Oberstufe</t>
  </si>
  <si>
    <t>Forbach</t>
  </si>
  <si>
    <t>SEE926367113644</t>
  </si>
  <si>
    <t>Vorarlberger Illwerke AG Obervermuntwerk II</t>
  </si>
  <si>
    <t>OVM2 M1</t>
  </si>
  <si>
    <t>AT-6794</t>
  </si>
  <si>
    <t>Partenen</t>
  </si>
  <si>
    <t>SEE984944424651</t>
  </si>
  <si>
    <t>OVM2 M2</t>
  </si>
  <si>
    <t>SEE998292984538</t>
  </si>
  <si>
    <t xml:space="preserve">Kopswerk II </t>
  </si>
  <si>
    <t>KOW2 M1</t>
  </si>
  <si>
    <t>SEE942841758538</t>
  </si>
  <si>
    <t>KOW2 M2</t>
  </si>
  <si>
    <t>SEE957189569340</t>
  </si>
  <si>
    <t>KOW2 M3</t>
  </si>
  <si>
    <t>SEE905054165586</t>
  </si>
  <si>
    <t>SEE970143794190</t>
  </si>
  <si>
    <t>SEE969767231167</t>
  </si>
  <si>
    <t>Saeckingen</t>
  </si>
  <si>
    <t>Saeckingen 3</t>
  </si>
  <si>
    <t>Bad Säckingen</t>
  </si>
  <si>
    <t>SEE930322142068</t>
  </si>
  <si>
    <t>Saeckingen 4</t>
  </si>
  <si>
    <t>SEE918714025250</t>
  </si>
  <si>
    <t xml:space="preserve">Kopswerk I </t>
  </si>
  <si>
    <t>KOW1 M1</t>
  </si>
  <si>
    <t>SEE927932653541</t>
  </si>
  <si>
    <t>KOW1 M2</t>
  </si>
  <si>
    <t>ALT GT C</t>
  </si>
  <si>
    <t>Papierfabrik Palm</t>
  </si>
  <si>
    <t>SEE964481657378</t>
  </si>
  <si>
    <t>KOW1 M3</t>
  </si>
  <si>
    <t>ALT GT B</t>
  </si>
  <si>
    <t>SEE919035876514</t>
  </si>
  <si>
    <t>Witznau</t>
  </si>
  <si>
    <t>Witznau B3</t>
  </si>
  <si>
    <t>SEE971818871499</t>
  </si>
  <si>
    <t>Witznau B4</t>
  </si>
  <si>
    <t>Heizkraftwerk Pforzheim GmbH</t>
  </si>
  <si>
    <t>MotorenHKW</t>
  </si>
  <si>
    <t>ALT GT A (Solo)</t>
  </si>
  <si>
    <t>Rudolf-Fettweis-Werk Unterstufe</t>
  </si>
  <si>
    <t>RFW-Unterstufe</t>
  </si>
  <si>
    <t>SEE923312495800</t>
  </si>
  <si>
    <t>Stadtwerke Heidelberg Umwelt GmbH</t>
  </si>
  <si>
    <t>GMHKW</t>
  </si>
  <si>
    <t>SEE932792338347</t>
  </si>
  <si>
    <t>Rodundwerk I</t>
  </si>
  <si>
    <t>ROD1 M1</t>
  </si>
  <si>
    <t>SEE952262880046</t>
  </si>
  <si>
    <t>ROD1 M3</t>
  </si>
  <si>
    <t>SEE918928929085</t>
  </si>
  <si>
    <t>ROD1 M4</t>
  </si>
  <si>
    <t>SEE984394943115</t>
  </si>
  <si>
    <t>ROD1 M2</t>
  </si>
  <si>
    <t>SEE984246933080</t>
  </si>
  <si>
    <t>Luenerseewerk</t>
  </si>
  <si>
    <t>LUW M1</t>
  </si>
  <si>
    <t>AT-6774</t>
  </si>
  <si>
    <t>Tschagguns</t>
  </si>
  <si>
    <t>SEE917379392493</t>
  </si>
  <si>
    <t>LUW M2</t>
  </si>
  <si>
    <t>SEE918046145015</t>
  </si>
  <si>
    <t>LUW M3</t>
  </si>
  <si>
    <t>SEE901022774309</t>
  </si>
  <si>
    <t>LUW M4</t>
  </si>
  <si>
    <t>SEE974634012046</t>
  </si>
  <si>
    <t>LUW M5</t>
  </si>
  <si>
    <t>SEE993590107580</t>
  </si>
  <si>
    <t>Pumpspeicherkraftwerk Glems</t>
  </si>
  <si>
    <t>Pumpspeicherkraftwerk Glems A</t>
  </si>
  <si>
    <t>Metzingen-Glems</t>
  </si>
  <si>
    <t>SEE987119743892</t>
  </si>
  <si>
    <t>Pumpspeicherkraftwerk Glems B</t>
  </si>
  <si>
    <t>GuD Anlage WVK</t>
  </si>
  <si>
    <t>SEE908495409905</t>
  </si>
  <si>
    <t>Kraftwerk Waldshut</t>
  </si>
  <si>
    <t>Waldshut B6</t>
  </si>
  <si>
    <t>Waldshut-Tiengen</t>
  </si>
  <si>
    <t>SEE990357023541</t>
  </si>
  <si>
    <t>Vermuntwerk</t>
  </si>
  <si>
    <t>VEW M5</t>
  </si>
  <si>
    <t>SEE913198518410</t>
  </si>
  <si>
    <t>Waldshut B5</t>
  </si>
  <si>
    <t>Kraftwerk Grenzach-Wyhlen</t>
  </si>
  <si>
    <t>SEE955111508221</t>
  </si>
  <si>
    <t>Dampfturbine DT5</t>
  </si>
  <si>
    <t>SEE975166535577</t>
  </si>
  <si>
    <t>Dampfturbine DT4</t>
  </si>
  <si>
    <t>Mercedes-Benz AG</t>
  </si>
  <si>
    <t>Heizkraftwerk Sindelfingen</t>
  </si>
  <si>
    <t>HKW Gasturbine 1</t>
  </si>
  <si>
    <t>SEE971886830459</t>
  </si>
  <si>
    <t>VEW M1</t>
  </si>
  <si>
    <t>SEE943866326672</t>
  </si>
  <si>
    <t>VEW M2</t>
  </si>
  <si>
    <t>SEE921472787742</t>
  </si>
  <si>
    <t>VEW M3</t>
  </si>
  <si>
    <t>SEE957029086662</t>
  </si>
  <si>
    <t>VEW M4</t>
  </si>
  <si>
    <t>Universitätsklinikum Freiburg AdöR</t>
  </si>
  <si>
    <t>HKW</t>
  </si>
  <si>
    <t>SEE946029200710</t>
  </si>
  <si>
    <t>SEE991039408854</t>
  </si>
  <si>
    <t>Gasturbine 1</t>
  </si>
  <si>
    <t>SEE982694984074</t>
  </si>
  <si>
    <t>BHKW 1</t>
  </si>
  <si>
    <t>Fernwärme Ulm</t>
  </si>
  <si>
    <t>SEE926786756569</t>
  </si>
  <si>
    <t>Haeusern</t>
  </si>
  <si>
    <t>Haeusern B1</t>
  </si>
  <si>
    <t>Häusern</t>
  </si>
  <si>
    <t>SEE990811648037</t>
  </si>
  <si>
    <t>Haeusern B2</t>
  </si>
  <si>
    <t>MVV Energie AG</t>
  </si>
  <si>
    <t>HKW Mannheim</t>
  </si>
  <si>
    <t>Turbine 60</t>
  </si>
  <si>
    <t>HA DT4</t>
  </si>
  <si>
    <t>Restmuell-Heizkraftwerk Stuttgart-Muenster</t>
  </si>
  <si>
    <t>MueN DT19</t>
  </si>
  <si>
    <t>SEE925723270861</t>
  </si>
  <si>
    <t>Voith SE</t>
  </si>
  <si>
    <t>IHKW Heidenheim</t>
  </si>
  <si>
    <t>GM1</t>
  </si>
  <si>
    <t>Heidenheim</t>
  </si>
  <si>
    <t>SEE942581404276</t>
  </si>
  <si>
    <t>SEE999306148830</t>
  </si>
  <si>
    <t>SEE908119179962</t>
  </si>
  <si>
    <t>SEE964121468647</t>
  </si>
  <si>
    <t>GM5</t>
  </si>
  <si>
    <t>SEE939329445868</t>
  </si>
  <si>
    <t>GT 8</t>
  </si>
  <si>
    <t>GT 7</t>
  </si>
  <si>
    <t>SEE955085348786</t>
  </si>
  <si>
    <t>EEW Grossraeschen</t>
  </si>
  <si>
    <t>GuD Schwarzheide</t>
  </si>
  <si>
    <t>Steag GmbH</t>
  </si>
  <si>
    <t>Thermische Abfallbehandlung Lauta GmbH und Co. oHG</t>
  </si>
  <si>
    <t>HKW Cottbus</t>
  </si>
  <si>
    <t>Spreestromerzeugungs GmbH</t>
  </si>
  <si>
    <t>Hamburger Rieger</t>
  </si>
  <si>
    <t>Heizkraftwerk Leipzig-Nord</t>
  </si>
  <si>
    <t>GT81</t>
  </si>
  <si>
    <t>GT82</t>
  </si>
  <si>
    <t>DT8B</t>
  </si>
  <si>
    <t xml:space="preserve"> DT8C</t>
  </si>
  <si>
    <t>Heizkraftwerk Leipzig-Sued</t>
  </si>
  <si>
    <t>GTA9A</t>
  </si>
  <si>
    <t>GTA9B</t>
  </si>
  <si>
    <t>SEE984352856976</t>
  </si>
  <si>
    <t>Leipzig KWK</t>
  </si>
  <si>
    <t>04349</t>
  </si>
  <si>
    <t>SEE919395394109</t>
  </si>
  <si>
    <t>SEE922877375398</t>
  </si>
  <si>
    <t>Julius Schulte Trebsen GmbH &amp; Co. KG</t>
  </si>
  <si>
    <t>GuD Anlage</t>
  </si>
  <si>
    <t>GuD Anlage GT</t>
  </si>
  <si>
    <t>04687</t>
  </si>
  <si>
    <t>Trebsen</t>
  </si>
  <si>
    <t>SEE956061511231</t>
  </si>
  <si>
    <t>GuD Anlage DT</t>
  </si>
  <si>
    <t>Stora Enso Sachsen GmbH</t>
  </si>
  <si>
    <t>Kombikraftwerk</t>
  </si>
  <si>
    <t>HKW Halle Trotha</t>
  </si>
  <si>
    <t>HKW Dieseltrasse</t>
  </si>
  <si>
    <t>Block B</t>
  </si>
  <si>
    <t>Block A</t>
  </si>
  <si>
    <t>Block C</t>
  </si>
  <si>
    <t>SEE925158531827</t>
  </si>
  <si>
    <t>NEA</t>
  </si>
  <si>
    <t>ILK-EKT</t>
  </si>
  <si>
    <t>TREA Leuna</t>
  </si>
  <si>
    <t>Linie 1</t>
  </si>
  <si>
    <t>Linie 2</t>
  </si>
  <si>
    <t>GuD Leuna</t>
  </si>
  <si>
    <t>ILK-GuD</t>
  </si>
  <si>
    <t>TOTAL Raffinerie Mitteldeutschland GmbH</t>
  </si>
  <si>
    <t>SEE904887370686</t>
  </si>
  <si>
    <t>GuD-Anlage Leuna</t>
  </si>
  <si>
    <t>Solvay Chemicals GmbH</t>
  </si>
  <si>
    <t>Dampfturbinenanlage der EBS-Kessel</t>
  </si>
  <si>
    <t>Industriekraftwerk Bernburg (IKB)</t>
  </si>
  <si>
    <t>SEE986027519575</t>
  </si>
  <si>
    <t>Stadtwerke Bernburg GmbH</t>
  </si>
  <si>
    <t>BHKW Friedenshall</t>
  </si>
  <si>
    <t>SEE920885263676</t>
  </si>
  <si>
    <t>SEE981673107183</t>
  </si>
  <si>
    <t>Paul-Schneider-Straße</t>
  </si>
  <si>
    <t>BHKW</t>
  </si>
  <si>
    <t>SEE988410265359</t>
  </si>
  <si>
    <t>Serumwerk</t>
  </si>
  <si>
    <t xml:space="preserve"> PreZero Energy Zorbau GmbH</t>
  </si>
  <si>
    <t xml:space="preserve">SITA Abfallverwertung GmbH </t>
  </si>
  <si>
    <t>Luetzen OT Zorbau</t>
  </si>
  <si>
    <t>SEE972612434835</t>
  </si>
  <si>
    <t>Suedzucker AG, Werk Zeitz</t>
  </si>
  <si>
    <t>Suedzucker Zeitz</t>
  </si>
  <si>
    <t>Dampfturbine V</t>
  </si>
  <si>
    <t>GuD Bitterfeld</t>
  </si>
  <si>
    <t>SEE996047653111</t>
  </si>
  <si>
    <t>PD energy GmbH</t>
  </si>
  <si>
    <t>SEE902114639810</t>
  </si>
  <si>
    <t>envia GmbH</t>
  </si>
  <si>
    <t>Bitterfeld BHKW</t>
  </si>
  <si>
    <t>Mercedes-Benz Werk Sindelfingen</t>
  </si>
  <si>
    <t>HKW Turbine 2</t>
  </si>
  <si>
    <t>Spitzenlastkraftwerk Wolfen</t>
  </si>
  <si>
    <t>Wolfen</t>
  </si>
  <si>
    <t>Kraftwerk Dessau GmbH</t>
  </si>
  <si>
    <t>Kraftwerk Dessau</t>
  </si>
  <si>
    <t>SEE933174373390</t>
  </si>
  <si>
    <t>Vattenfall Wasserkraft GmbH</t>
  </si>
  <si>
    <t>Hohenwarte 1</t>
  </si>
  <si>
    <t>PSS A</t>
  </si>
  <si>
    <t>07338</t>
  </si>
  <si>
    <t>Hohenwarte</t>
  </si>
  <si>
    <t>Thueringen</t>
  </si>
  <si>
    <t>SEE994506958166</t>
  </si>
  <si>
    <t>PSS B</t>
  </si>
  <si>
    <t>SEE968091522767</t>
  </si>
  <si>
    <t>Hohenwarte 2</t>
  </si>
  <si>
    <t>SEE902382668932</t>
  </si>
  <si>
    <t>SEE918037222657</t>
  </si>
  <si>
    <t>PSS C</t>
  </si>
  <si>
    <t>SEE961899492454</t>
  </si>
  <si>
    <t>PSS D</t>
  </si>
  <si>
    <t>SEE933745405604</t>
  </si>
  <si>
    <t>PSS E</t>
  </si>
  <si>
    <t>SEE992738364885</t>
  </si>
  <si>
    <t>PSS F</t>
  </si>
  <si>
    <t>SEE987143958569</t>
  </si>
  <si>
    <t>PSS G</t>
  </si>
  <si>
    <t>SEE900610669775</t>
  </si>
  <si>
    <t>PSS H</t>
  </si>
  <si>
    <t>SEE962564048280</t>
  </si>
  <si>
    <t>TWS Thüringer Wärme Service GmbH</t>
  </si>
  <si>
    <t>HKW Schwarza</t>
  </si>
  <si>
    <t>TS5</t>
  </si>
  <si>
    <t>07407</t>
  </si>
  <si>
    <t>Rudolstadt</t>
  </si>
  <si>
    <t>SEE974941636973</t>
  </si>
  <si>
    <t>TS6</t>
  </si>
  <si>
    <t>SEE925388069183</t>
  </si>
  <si>
    <t>GT6</t>
  </si>
  <si>
    <t>SEE962906846994</t>
  </si>
  <si>
    <t>GT7</t>
  </si>
  <si>
    <t>SEE917250659189</t>
  </si>
  <si>
    <t>Spilling Motor</t>
  </si>
  <si>
    <t>SEE904748267797</t>
  </si>
  <si>
    <t>ENGIE Deutschland GmbH</t>
  </si>
  <si>
    <t>HKW Lusan</t>
  </si>
  <si>
    <t>07546</t>
  </si>
  <si>
    <t>Gera</t>
  </si>
  <si>
    <t>SEE949816813650</t>
  </si>
  <si>
    <t>SEE968905685947</t>
  </si>
  <si>
    <t>SEE971156902916</t>
  </si>
  <si>
    <t>SEE929808661773</t>
  </si>
  <si>
    <t>HKW Tinz</t>
  </si>
  <si>
    <t>07549</t>
  </si>
  <si>
    <t>SEE948545926433</t>
  </si>
  <si>
    <t>SEE956808243722</t>
  </si>
  <si>
    <t>Block 3</t>
  </si>
  <si>
    <t>SEE957602727647</t>
  </si>
  <si>
    <t>SEE984068604342</t>
  </si>
  <si>
    <t>Block 5</t>
  </si>
  <si>
    <t>HKW Jena GM 1-5</t>
  </si>
  <si>
    <t>GM 1</t>
  </si>
  <si>
    <t>GM 2</t>
  </si>
  <si>
    <t>GM 3</t>
  </si>
  <si>
    <t>GM 4</t>
  </si>
  <si>
    <t>GM 5</t>
  </si>
  <si>
    <t>TEAG Thueringer Energie AG</t>
  </si>
  <si>
    <t>HKW Jena</t>
  </si>
  <si>
    <t>07749</t>
  </si>
  <si>
    <t>Gasturbine 3</t>
  </si>
  <si>
    <t>SEE992590425045</t>
  </si>
  <si>
    <t>Bleiloch</t>
  </si>
  <si>
    <t>07907</t>
  </si>
  <si>
    <t>Schleiz</t>
  </si>
  <si>
    <t>SEE927738616955</t>
  </si>
  <si>
    <t xml:space="preserve">Volkswagen Sachsen GmbH </t>
  </si>
  <si>
    <t>BHKW G66-KWK-gross</t>
  </si>
  <si>
    <t>08056</t>
  </si>
  <si>
    <t>SEE937830141170</t>
  </si>
  <si>
    <t>BHKW-G66-KWK-klein</t>
  </si>
  <si>
    <t>SEE939026884250</t>
  </si>
  <si>
    <t>Markersbach</t>
  </si>
  <si>
    <t>08352</t>
  </si>
  <si>
    <t>SEE952165584195</t>
  </si>
  <si>
    <t>SEE940802366570</t>
  </si>
  <si>
    <t>SEE904052511746</t>
  </si>
  <si>
    <t>SEE911219414864</t>
  </si>
  <si>
    <t>SEE983006552202</t>
  </si>
  <si>
    <t>eins energie in sachsen GmbH&amp;Co.KG</t>
  </si>
  <si>
    <t>Motor-Heizkraftwerk Chemnitz-Nord</t>
  </si>
  <si>
    <t>Motor 2</t>
  </si>
  <si>
    <t>Motor-Heizkraftwerk Chemnitz-Sued</t>
  </si>
  <si>
    <t>SEE940178738247</t>
  </si>
  <si>
    <t>Freiberger Erdgas GmbH</t>
  </si>
  <si>
    <t>HKW Freiberg</t>
  </si>
  <si>
    <t>09599</t>
  </si>
  <si>
    <t>Freiberg</t>
  </si>
  <si>
    <t>SEE963962520354</t>
  </si>
  <si>
    <t>SEE972466462527</t>
  </si>
  <si>
    <t>GuD MPE</t>
  </si>
  <si>
    <t>SEE990935582224</t>
  </si>
  <si>
    <t>HA GT3</t>
  </si>
  <si>
    <t>SEE923729511377</t>
  </si>
  <si>
    <t>BHKW2</t>
  </si>
  <si>
    <t>SEE936873341158</t>
  </si>
  <si>
    <t>Felix Schoeller GmbH</t>
  </si>
  <si>
    <t>09600</t>
  </si>
  <si>
    <t>Weißenborn</t>
  </si>
  <si>
    <t>SEE952340290002</t>
  </si>
  <si>
    <t>SEE934554511586</t>
  </si>
  <si>
    <t>SEE958711841521</t>
  </si>
  <si>
    <t>Vattenfall Wärme Berlin AG</t>
  </si>
  <si>
    <t>GuD Mitte</t>
  </si>
  <si>
    <t>Blockdammweg/Klingenberg</t>
  </si>
  <si>
    <t>Blockdammweg</t>
  </si>
  <si>
    <t>Charlottenburg</t>
  </si>
  <si>
    <t>HKW Pfaffenwald</t>
  </si>
  <si>
    <t>Block 60</t>
  </si>
  <si>
    <t>SEE990308000553</t>
  </si>
  <si>
    <t>Fernheizwerk</t>
  </si>
  <si>
    <t>BHKW 4</t>
  </si>
  <si>
    <t>SEE926990956885</t>
  </si>
  <si>
    <t>BHKW 5</t>
  </si>
  <si>
    <t>SEE994281911899</t>
  </si>
  <si>
    <t>BHKW 6</t>
  </si>
  <si>
    <t>SEE998028907619</t>
  </si>
  <si>
    <t>BHKW 7</t>
  </si>
  <si>
    <t>SEE934292362181</t>
  </si>
  <si>
    <t>BHKW 8</t>
  </si>
  <si>
    <t>Lichterfelde</t>
  </si>
  <si>
    <t>DT4</t>
  </si>
  <si>
    <t>SEE992980224760</t>
  </si>
  <si>
    <t>BTB Blockheizkraftwerks-, Traeger- und Betreibergesellschaft</t>
  </si>
  <si>
    <t>KWK Adlershof</t>
  </si>
  <si>
    <t>KWK Adlershof Modul 1</t>
  </si>
  <si>
    <t>SEE951344432289</t>
  </si>
  <si>
    <t>KWK Adlershof 2</t>
  </si>
  <si>
    <t>Marzahn</t>
  </si>
  <si>
    <t>SEE908238702164</t>
  </si>
  <si>
    <t>Bayer AG</t>
  </si>
  <si>
    <t>Energieversogung Wedding</t>
  </si>
  <si>
    <t>SEE971801168636</t>
  </si>
  <si>
    <t>Reuter West</t>
  </si>
  <si>
    <t>Reuter</t>
  </si>
  <si>
    <t>Reuter M</t>
  </si>
  <si>
    <t>Wilmersdorf</t>
  </si>
  <si>
    <t>HKW Potsdam-Sued</t>
  </si>
  <si>
    <t>G1</t>
  </si>
  <si>
    <t>G2</t>
  </si>
  <si>
    <t>Turbosatz 4-5</t>
  </si>
  <si>
    <t>SEE988580370860</t>
  </si>
  <si>
    <t>Turbosatz 4</t>
  </si>
  <si>
    <t>StWB Stadtwerke Brandenburg an der Havel GmbH &amp; Co. KG</t>
  </si>
  <si>
    <t>Kirchmoeser</t>
  </si>
  <si>
    <t>Block 50</t>
  </si>
  <si>
    <t>Stadtwerke Frankfurt (Oder)</t>
  </si>
  <si>
    <t>HKW FFO</t>
  </si>
  <si>
    <t>Frankfurt (Oder)</t>
  </si>
  <si>
    <t>SEE947745452346</t>
  </si>
  <si>
    <t>OMV Deutschland Operations GmbH &amp; Co. KG</t>
  </si>
  <si>
    <t>Dampfgeneratorturbine 1</t>
  </si>
  <si>
    <t>SEE943163469652</t>
  </si>
  <si>
    <t>BHKW Sued</t>
  </si>
  <si>
    <t>IKW Ruedersdorf</t>
  </si>
  <si>
    <t>Ruedersdorf bei Berlin</t>
  </si>
  <si>
    <t>ArcelorMittal Eisenhuettenstadt GmbH</t>
  </si>
  <si>
    <t xml:space="preserve"> IKW GuD Block</t>
  </si>
  <si>
    <t>Eisenhuettenstadt</t>
  </si>
  <si>
    <t>Propower GmbH</t>
  </si>
  <si>
    <t>EBS-Heizkraftwerk</t>
  </si>
  <si>
    <t>Kraftwerk Schwedt GmbH &amp; Co. KG</t>
  </si>
  <si>
    <t>Kraftwerk Schwedt GmbH und Co.KG</t>
  </si>
  <si>
    <t>SEE975248607116</t>
  </si>
  <si>
    <t>Dampfturbine GWK Kuhheide 34</t>
  </si>
  <si>
    <t>SEE936112096313</t>
  </si>
  <si>
    <t>Swiss Krono Tex</t>
  </si>
  <si>
    <t>Heiligengrabe</t>
  </si>
  <si>
    <t>GuD-HKW Neubrandenburg</t>
  </si>
  <si>
    <t>Suiker Unie GmbH &amp; Co. KG</t>
  </si>
  <si>
    <t>Kesselhaus Zuckerfabrik</t>
  </si>
  <si>
    <t>SEE964447287038</t>
  </si>
  <si>
    <t>Stadtwerke Greifswald GmbH</t>
  </si>
  <si>
    <t>HKW Helmshaeger Berg</t>
  </si>
  <si>
    <t>Greifswald</t>
  </si>
  <si>
    <t>SEE942028155815</t>
  </si>
  <si>
    <t>BHKW Kapaunenstrasse</t>
  </si>
  <si>
    <t>Modul 1</t>
  </si>
  <si>
    <t>SEE971441182924</t>
  </si>
  <si>
    <t>Modul 2</t>
  </si>
  <si>
    <t>SEE982138852266</t>
  </si>
  <si>
    <t>SEE999258963376</t>
  </si>
  <si>
    <t>BHKW Boddenluft</t>
  </si>
  <si>
    <t>Industriekraftwerk Greifswald</t>
  </si>
  <si>
    <t>Stadtwerke Rostock AG</t>
  </si>
  <si>
    <t>GuD Marienehe</t>
  </si>
  <si>
    <t>G3</t>
  </si>
  <si>
    <t>SEE958702894895</t>
  </si>
  <si>
    <t xml:space="preserve">Energieversorgung Schwerin GmbH &amp; Co. Erzeugung KG </t>
  </si>
  <si>
    <t>BNA0897</t>
  </si>
  <si>
    <t>SN-Lankow-GUD</t>
  </si>
  <si>
    <t>HKW Schwerin Sued</t>
  </si>
  <si>
    <t>SEE903050015065</t>
  </si>
  <si>
    <t>HW Hafen</t>
  </si>
  <si>
    <t>SEE978267393503</t>
  </si>
  <si>
    <t>Hamburger Stadtentwässerung</t>
  </si>
  <si>
    <t>VERA</t>
  </si>
  <si>
    <t>SEE906231810480</t>
  </si>
  <si>
    <t>ADM Hamburg Aktiengesellschaft</t>
  </si>
  <si>
    <t>Heizkraftwerk</t>
  </si>
  <si>
    <t>SEE991299080678</t>
  </si>
  <si>
    <t>SEE975217906967</t>
  </si>
  <si>
    <t>GT 4</t>
  </si>
  <si>
    <t>SEE954367504490</t>
  </si>
  <si>
    <t>SEE972598164399</t>
  </si>
  <si>
    <t>MVR Muellverwertung Rugenberger Damm GmbH &amp; Co. KG</t>
  </si>
  <si>
    <t>MVR Muellverwertung Rugenberger Damm GmbH und Co. KG</t>
  </si>
  <si>
    <t>Wärme Hamburg GmbH</t>
  </si>
  <si>
    <t>Dradenau</t>
  </si>
  <si>
    <t>SEE986400818790</t>
  </si>
  <si>
    <t>Airbus Operations</t>
  </si>
  <si>
    <t>BHKW Hamburg</t>
  </si>
  <si>
    <t>SEE943007353727</t>
  </si>
  <si>
    <t>BHKW 2</t>
  </si>
  <si>
    <t>SEE934309192626</t>
  </si>
  <si>
    <t>Geesthacht</t>
  </si>
  <si>
    <t>SEE923480872250</t>
  </si>
  <si>
    <t>SEE966988528885</t>
  </si>
  <si>
    <t>SEE923953841820</t>
  </si>
  <si>
    <t>HanseWerk Natur GmbH</t>
  </si>
  <si>
    <t>Angerburger Str. Erdgas-BHKW</t>
  </si>
  <si>
    <t>Vattenfall Hamburg Wärme GmbH</t>
  </si>
  <si>
    <t>GuD Tiefstack</t>
  </si>
  <si>
    <t>SEE909031885047</t>
  </si>
  <si>
    <t>Müllverwertung Borsigstraße GmbH</t>
  </si>
  <si>
    <t>Muellverbrennungskraftwerk Borsigstrasse</t>
  </si>
  <si>
    <t>Gegendruckturbine</t>
  </si>
  <si>
    <t>SEE920571907488</t>
  </si>
  <si>
    <t>BHKW Reichsbahnstrasse</t>
  </si>
  <si>
    <t>SEE944861777810</t>
  </si>
  <si>
    <t>SEE967129146814</t>
  </si>
  <si>
    <t>BHKW 3</t>
  </si>
  <si>
    <t>SEE995521057735</t>
  </si>
  <si>
    <t>ZRE Zentrum für Ressourcen und Energie GmbH</t>
  </si>
  <si>
    <t>ZRE</t>
  </si>
  <si>
    <t>KT</t>
  </si>
  <si>
    <t>SEE929366066195</t>
  </si>
  <si>
    <t>SEE994846175667</t>
  </si>
  <si>
    <t>BHKW Haferweg</t>
  </si>
  <si>
    <t>SEE918407219966</t>
  </si>
  <si>
    <t>Neptune Energy Deutschland GmbH</t>
  </si>
  <si>
    <t>Steinitz</t>
  </si>
  <si>
    <t>HKW 1</t>
  </si>
  <si>
    <t>SEE970401548961</t>
  </si>
  <si>
    <t>HKW 2</t>
  </si>
  <si>
    <t>SEE908154984538</t>
  </si>
  <si>
    <t>Mohn Media Mohndruck GmbH</t>
  </si>
  <si>
    <t>Energiezentrum Mohn Media</t>
  </si>
  <si>
    <t>Guetersloh</t>
  </si>
  <si>
    <t>SEE960916622249</t>
  </si>
  <si>
    <t>SEE968058469012</t>
  </si>
  <si>
    <t>SEE901925227438</t>
  </si>
  <si>
    <t>SEE966835021620</t>
  </si>
  <si>
    <t>SEE985288285472</t>
  </si>
  <si>
    <t>SEE928983473973</t>
  </si>
  <si>
    <t>Westag &amp; Getalit AG</t>
  </si>
  <si>
    <t>BHKW-G</t>
  </si>
  <si>
    <t>Rheda-Wiedenbrück</t>
  </si>
  <si>
    <t>SEE992769312817</t>
  </si>
  <si>
    <t>SEE997894865399</t>
  </si>
  <si>
    <t>SEE996145759296</t>
  </si>
  <si>
    <t>SEE982350358232</t>
  </si>
  <si>
    <t>GuD 2</t>
  </si>
  <si>
    <t>SEE939211785720</t>
  </si>
  <si>
    <t>Kronos Titan GmbH</t>
  </si>
  <si>
    <t>Nordenham GuD</t>
  </si>
  <si>
    <t>SEE909727831365</t>
  </si>
  <si>
    <t>HKW Bad Salzungen</t>
  </si>
  <si>
    <t>GM</t>
  </si>
  <si>
    <t>SEE933303289677</t>
  </si>
  <si>
    <t>Wendefurth</t>
  </si>
  <si>
    <t>SEE970535357835</t>
  </si>
  <si>
    <t>Muellheizkraftwerk Rothensee GmbH</t>
  </si>
  <si>
    <t>MHKW Rothensee</t>
  </si>
  <si>
    <t>Nordzucker AG</t>
  </si>
  <si>
    <t>Werk Klein Wanzleben</t>
  </si>
  <si>
    <t>Klein Wanzleben</t>
  </si>
  <si>
    <t>SEE943682372433</t>
  </si>
  <si>
    <t>SEE976376888927</t>
  </si>
  <si>
    <t>KWK-Anlage Barby</t>
  </si>
  <si>
    <t>SEE936181210535</t>
  </si>
  <si>
    <t>KuS Zielitz GuD</t>
  </si>
  <si>
    <t>SEE955837429145</t>
  </si>
  <si>
    <t>Austausch-Geno</t>
  </si>
  <si>
    <t>SEE972969049737</t>
  </si>
  <si>
    <t>SEE915098640406</t>
  </si>
  <si>
    <t>Zielitz GT</t>
  </si>
  <si>
    <t>SEE994968008959</t>
  </si>
  <si>
    <t>SEE939524649245</t>
  </si>
  <si>
    <t>REMONDIS Thermische Abfallverwertung GmbH</t>
  </si>
  <si>
    <t>CIECH Energy Deutschland GmbH</t>
  </si>
  <si>
    <t>GuD-Ikw Stassfurt</t>
  </si>
  <si>
    <t>Stadtwerke - Altmärkische Gas-, Wasser- u. E-Werke Stendal GmbH</t>
  </si>
  <si>
    <t>Stadtwerke Duesseldorf AG</t>
  </si>
  <si>
    <t>Fortuna</t>
  </si>
  <si>
    <t>Duesseldorf</t>
  </si>
  <si>
    <t>Block E GTE2</t>
  </si>
  <si>
    <t>Block E GTE1</t>
  </si>
  <si>
    <t>AGuD_GT</t>
  </si>
  <si>
    <t>AGuD_DT</t>
  </si>
  <si>
    <t>SEE951458309484</t>
  </si>
  <si>
    <t>Daimler AG</t>
  </si>
  <si>
    <t>BHKW H.120</t>
  </si>
  <si>
    <t>SEE911257641864</t>
  </si>
  <si>
    <t>SEE999839188105</t>
  </si>
  <si>
    <t>SEE906385906152</t>
  </si>
  <si>
    <t>SEE966481430050</t>
  </si>
  <si>
    <t>SEE956631893736</t>
  </si>
  <si>
    <t>Henkel</t>
  </si>
  <si>
    <t>F03G1</t>
  </si>
  <si>
    <t>SEE957939399869</t>
  </si>
  <si>
    <t>BASF Personal Care and Nutrition GmbH</t>
  </si>
  <si>
    <t xml:space="preserve">BHKW BASF </t>
  </si>
  <si>
    <t>F17</t>
  </si>
  <si>
    <t>SEE992491089179</t>
  </si>
  <si>
    <t>F18BHKW</t>
  </si>
  <si>
    <t>SEE964215288830</t>
  </si>
  <si>
    <t>SEE950630767128</t>
  </si>
  <si>
    <t>Stadtwerke Erkrath GmbH</t>
  </si>
  <si>
    <t>BHKW an Klinkerweg</t>
  </si>
  <si>
    <t>Erkrath</t>
  </si>
  <si>
    <t>SEE954348740183</t>
  </si>
  <si>
    <t>SEE935012767491</t>
  </si>
  <si>
    <t>Modul 3</t>
  </si>
  <si>
    <t>FS Karton GmbH</t>
  </si>
  <si>
    <t>BNA1406</t>
  </si>
  <si>
    <t>E.ON Energy Projects Gmb</t>
  </si>
  <si>
    <t>GT-AHK</t>
  </si>
  <si>
    <t>GT-Block</t>
  </si>
  <si>
    <t>SEE977834211387</t>
  </si>
  <si>
    <t>MM Neuss GmbH</t>
  </si>
  <si>
    <t>MM Neuss GmbH GT2</t>
  </si>
  <si>
    <t>SEE910951087138</t>
  </si>
  <si>
    <t>MM Neuss GmbH GT1</t>
  </si>
  <si>
    <t>SEE957488519732</t>
  </si>
  <si>
    <t>MM Neuss GmbH DT</t>
  </si>
  <si>
    <t>HKW Barmen</t>
  </si>
  <si>
    <t>SEE995596088894</t>
  </si>
  <si>
    <t>3M Deutschland GmbH</t>
  </si>
  <si>
    <t>T3 Wuppertal</t>
  </si>
  <si>
    <t>SEE945933440847</t>
  </si>
  <si>
    <t>T4 Wuppertal</t>
  </si>
  <si>
    <t>T4</t>
  </si>
  <si>
    <t>MHKW EkoCity</t>
  </si>
  <si>
    <t>SEE921479798321</t>
  </si>
  <si>
    <t>Generator C</t>
  </si>
  <si>
    <t>SEE950518521354</t>
  </si>
  <si>
    <t>Stadt Solingen</t>
  </si>
  <si>
    <t>Müllheizkraftwerk Solingen</t>
  </si>
  <si>
    <t>Solingen</t>
  </si>
  <si>
    <t>STEAG GmbH</t>
  </si>
  <si>
    <t>KW Herne</t>
  </si>
  <si>
    <t>Herne 6</t>
  </si>
  <si>
    <t>HKW Hiltrop</t>
  </si>
  <si>
    <t>Karnap</t>
  </si>
  <si>
    <t>B</t>
  </si>
  <si>
    <t>SEE913985941537</t>
  </si>
  <si>
    <t>medl GmbH</t>
  </si>
  <si>
    <t>medl BHKW Broich</t>
  </si>
  <si>
    <t>Modul 2 neu</t>
  </si>
  <si>
    <t>Mühlheim an der Ruhr</t>
  </si>
  <si>
    <t>SEE960155611554</t>
  </si>
  <si>
    <t>Modul 3 neu</t>
  </si>
  <si>
    <t>RZR Herten I</t>
  </si>
  <si>
    <t>RZR Herten II</t>
  </si>
  <si>
    <t>AGR Abfallentsorgungsgesellschaft Ruhrgebiet mbH</t>
  </si>
  <si>
    <t>Kraftwerk VII</t>
  </si>
  <si>
    <t>GT711</t>
  </si>
  <si>
    <t>DT710</t>
  </si>
  <si>
    <t>Kraftwerk VI</t>
  </si>
  <si>
    <t>GT611</t>
  </si>
  <si>
    <t>DT620</t>
  </si>
  <si>
    <t>SEE984037976906</t>
  </si>
  <si>
    <t>Evonik Degussa GmbH</t>
  </si>
  <si>
    <t>Kraftwerk III</t>
  </si>
  <si>
    <t>Block G311</t>
  </si>
  <si>
    <t>SEE934361309352</t>
  </si>
  <si>
    <t>Block G312</t>
  </si>
  <si>
    <t>Kraftwerk IV</t>
  </si>
  <si>
    <t>G14</t>
  </si>
  <si>
    <t>G13</t>
  </si>
  <si>
    <t>SEE918056935682</t>
  </si>
  <si>
    <t>DT310</t>
  </si>
  <si>
    <t>DT610</t>
  </si>
  <si>
    <t>Block 62</t>
  </si>
  <si>
    <t>Projekt Scholven</t>
  </si>
  <si>
    <t>Energieversorgung Oberhausen AG</t>
  </si>
  <si>
    <t>SEE918506212059</t>
  </si>
  <si>
    <t>Gasmotoren Danziger Strasse</t>
  </si>
  <si>
    <t>GMVA Gemeinschafts-Muell-Verbrennungsanlage Niederrhein GmbH</t>
  </si>
  <si>
    <t>GMVA Niederrhein</t>
  </si>
  <si>
    <t>Ausspeisung 10/110kV (Turbine 2)</t>
  </si>
  <si>
    <t>Ausspeisung 10/25kV (Turbine 1)</t>
  </si>
  <si>
    <t>SEE994027750690</t>
  </si>
  <si>
    <t>HKW Turbine 3</t>
  </si>
  <si>
    <t>SEE987113516188</t>
  </si>
  <si>
    <t>Mitte BHKW 2</t>
  </si>
  <si>
    <t>SEE974767618801</t>
  </si>
  <si>
    <t>SEE923129957027</t>
  </si>
  <si>
    <t>SEE915375007878</t>
  </si>
  <si>
    <t>SEE959044776498</t>
  </si>
  <si>
    <t>SEE953987748918</t>
  </si>
  <si>
    <t>SEE930277153294</t>
  </si>
  <si>
    <t>SEE900341307519</t>
  </si>
  <si>
    <t>Venator Germany GmbH</t>
  </si>
  <si>
    <t>HKW Sachtleben</t>
  </si>
  <si>
    <t>HKW III</t>
  </si>
  <si>
    <t>Block B1</t>
  </si>
  <si>
    <t>Block B2</t>
  </si>
  <si>
    <t>Block B3</t>
  </si>
  <si>
    <t>Kraftwerk Plattling</t>
  </si>
  <si>
    <t xml:space="preserve">Gemeinschaftskraftwerk Irsching </t>
  </si>
  <si>
    <t>Block 5 GT1</t>
  </si>
  <si>
    <t>Block 5 GT2</t>
  </si>
  <si>
    <t>Block 5 DT</t>
  </si>
  <si>
    <t>2 GT</t>
  </si>
  <si>
    <t>2 DT</t>
  </si>
  <si>
    <t>SEE998534788504</t>
  </si>
  <si>
    <t>Waldeck1/Bringhausen</t>
  </si>
  <si>
    <t>Maschine 1 (neu)</t>
  </si>
  <si>
    <t>SEE977346043964</t>
  </si>
  <si>
    <t>SEE943568591200</t>
  </si>
  <si>
    <t>SEE958882764216</t>
  </si>
  <si>
    <t>Erzhausen</t>
  </si>
  <si>
    <t>Kreiensen</t>
  </si>
  <si>
    <t>SEE968359064886</t>
  </si>
  <si>
    <t>ENGIE Deutschland AG</t>
  </si>
  <si>
    <t>Kraftwerksgruppe Pfreimd</t>
  </si>
  <si>
    <t>Trausnitz</t>
  </si>
  <si>
    <t>SEE930411510563</t>
  </si>
  <si>
    <t>SEE942667598431</t>
  </si>
  <si>
    <t>SEE935182416977</t>
  </si>
  <si>
    <t>PSKW Tanzmuehle</t>
  </si>
  <si>
    <t>Tännesberg</t>
  </si>
  <si>
    <t>GKL</t>
  </si>
  <si>
    <t>DTI</t>
  </si>
  <si>
    <t>GuD 1</t>
  </si>
  <si>
    <t>Sued GT3</t>
  </si>
  <si>
    <t>Sued GT2</t>
  </si>
  <si>
    <t>Sued DT60</t>
  </si>
  <si>
    <t>Sued GT 61</t>
  </si>
  <si>
    <t>Sued GT 62</t>
  </si>
  <si>
    <t>HKW Niederrad</t>
  </si>
  <si>
    <t>SEE989342161450</t>
  </si>
  <si>
    <t>TBM</t>
  </si>
  <si>
    <t>HKW III/A</t>
  </si>
  <si>
    <t>SEE960935066536</t>
  </si>
  <si>
    <t>INEOS Solvents Germany GmbH</t>
  </si>
  <si>
    <t>INEOS Kraftwerk</t>
  </si>
  <si>
    <t>TG7</t>
  </si>
  <si>
    <t>DT 4</t>
  </si>
  <si>
    <t>DT 3</t>
  </si>
  <si>
    <t>SEE990065849372</t>
  </si>
  <si>
    <t>Zweckverband Abfallwirtschaft Raum Wuerzburg</t>
  </si>
  <si>
    <t xml:space="preserve">Mercedes-Benz Werk Sindelfingen HKW </t>
  </si>
  <si>
    <t>HKW Turbine 4</t>
  </si>
  <si>
    <t>SEE925631744058</t>
  </si>
  <si>
    <t>Kraftwerk 2</t>
  </si>
  <si>
    <t>G20</t>
  </si>
  <si>
    <t>Kreis Weseler Abfallgesellschaft mbH &amp; Co. KG (KWA)</t>
  </si>
  <si>
    <t>Abfallentsorgungszentrum Asdonkshof</t>
  </si>
  <si>
    <t>Solvay Kraftwerk Rheinberg</t>
  </si>
  <si>
    <t>TA1</t>
  </si>
  <si>
    <t>TA7</t>
  </si>
  <si>
    <t>TA8</t>
  </si>
  <si>
    <t>TA9</t>
  </si>
  <si>
    <t>TA10</t>
  </si>
  <si>
    <t>SEE977708202411</t>
  </si>
  <si>
    <t>Pfeifer &amp; Langen GmbH &amp; Co. KG</t>
  </si>
  <si>
    <t>PundL Werk Appeldorn</t>
  </si>
  <si>
    <t>Kalkar</t>
  </si>
  <si>
    <t>SEE945071514516</t>
  </si>
  <si>
    <t>SEE970980016073</t>
  </si>
  <si>
    <t>SWK ENERGIE GmbH</t>
  </si>
  <si>
    <t>Heizkraftwerk Krefeld</t>
  </si>
  <si>
    <t>SEE930322571356</t>
  </si>
  <si>
    <t>SEE979899728817</t>
  </si>
  <si>
    <t>KWK-Anlage Krefeld VM</t>
  </si>
  <si>
    <t>Gasmotor (Dieselgenerator)</t>
  </si>
  <si>
    <t>KWK-Anlage Krefeld DT</t>
  </si>
  <si>
    <t>Kraftwerk N 230</t>
  </si>
  <si>
    <t>VST4</t>
  </si>
  <si>
    <t>Krefeld-Uerdingen</t>
  </si>
  <si>
    <t>NST3</t>
  </si>
  <si>
    <t>NST4</t>
  </si>
  <si>
    <t>SEE996891820448</t>
  </si>
  <si>
    <t>EGK Entsorgungsgesellschaft Krefeld GmbH &amp; Co.KG</t>
  </si>
  <si>
    <t>MKVA Krefeld</t>
  </si>
  <si>
    <t>SEE992607731794</t>
  </si>
  <si>
    <t>SEE993787055366</t>
  </si>
  <si>
    <t>SEE925411264011</t>
  </si>
  <si>
    <t>SEE907064154956</t>
  </si>
  <si>
    <t>HA GT1</t>
  </si>
  <si>
    <t>SEE979423615132</t>
  </si>
  <si>
    <t>SEE976263348152</t>
  </si>
  <si>
    <t>Stadtwerke Kempen GmbH</t>
  </si>
  <si>
    <t>STW - BHKW - KWK</t>
  </si>
  <si>
    <t>Kempen</t>
  </si>
  <si>
    <t>SEE918912535520</t>
  </si>
  <si>
    <t>SEE900953976684</t>
  </si>
  <si>
    <t>SEE951078548935</t>
  </si>
  <si>
    <t>Stadtwerke Muenster GmbH</t>
  </si>
  <si>
    <t>Heizkraftwerk Hafen</t>
  </si>
  <si>
    <t>SEE994543149961</t>
  </si>
  <si>
    <t>ESA-BHKW</t>
  </si>
  <si>
    <t>Muenster</t>
  </si>
  <si>
    <t>SEE947763810036</t>
  </si>
  <si>
    <t xml:space="preserve">H＆R Chemisch Pharmazeutische Spezialitäten GmbH </t>
  </si>
  <si>
    <t>H＆R Chemisch Pharmazeutische Spezialitaeten GmbH Kraftwerk</t>
  </si>
  <si>
    <t>HuR-IKW-G5</t>
  </si>
  <si>
    <t>Salzbergen</t>
  </si>
  <si>
    <t>SEE908658611688</t>
  </si>
  <si>
    <t>H＆R Chemisch Pharmazeutische Spezialitäten GmbH</t>
  </si>
  <si>
    <t>HuR-IKW-G4</t>
  </si>
  <si>
    <t>Schoeller Technocell GmbH ＆ Co.KG</t>
  </si>
  <si>
    <t>Schoeller Technocell Osnabrueck</t>
  </si>
  <si>
    <t>Schoeller Technocell Osnabrueck Kraftwerk</t>
  </si>
  <si>
    <t>Osnabrueck</t>
  </si>
  <si>
    <t>SEE951802406722</t>
  </si>
  <si>
    <t>Crespel &amp; Deiters GmbH ＆ Co. KG</t>
  </si>
  <si>
    <t>Crespel und Deiters</t>
  </si>
  <si>
    <t>GTS5</t>
  </si>
  <si>
    <t>Ibbenbueren</t>
  </si>
  <si>
    <t>SEE926418118239</t>
  </si>
  <si>
    <t>GTS4</t>
  </si>
  <si>
    <t>SEE965444118547</t>
  </si>
  <si>
    <t>GTS3</t>
  </si>
  <si>
    <t>SEE985412461604</t>
  </si>
  <si>
    <t>GTS2</t>
  </si>
  <si>
    <t>SEE990877363660</t>
  </si>
  <si>
    <t>GTS1</t>
  </si>
  <si>
    <t>BP Werk Lingen</t>
  </si>
  <si>
    <t>Emsland</t>
  </si>
  <si>
    <t>B1</t>
  </si>
  <si>
    <t>C1</t>
  </si>
  <si>
    <t>B2</t>
  </si>
  <si>
    <t>C2</t>
  </si>
  <si>
    <t>Knapsack Gas II</t>
  </si>
  <si>
    <t>Huerth-Knapsack</t>
  </si>
  <si>
    <t>Knapsack Gas I</t>
  </si>
  <si>
    <t>GT 11</t>
  </si>
  <si>
    <t>GT 12</t>
  </si>
  <si>
    <t>DT 10</t>
  </si>
  <si>
    <t>Heizkraftwerk West</t>
  </si>
  <si>
    <t>EBS - Kraftwerk GmbH</t>
  </si>
  <si>
    <t>Huerth</t>
  </si>
  <si>
    <t>GSH Huerth</t>
  </si>
  <si>
    <t>D290</t>
  </si>
  <si>
    <t>AVG Köln mbH</t>
  </si>
  <si>
    <t>AVG Koeln</t>
  </si>
  <si>
    <t>RMVA Koeln</t>
  </si>
  <si>
    <t>Niehl 3</t>
  </si>
  <si>
    <t>Niehl 31</t>
  </si>
  <si>
    <t>HKW Niehl 2</t>
  </si>
  <si>
    <t>HKW Merkenich</t>
  </si>
  <si>
    <t>SEE967279432140</t>
  </si>
  <si>
    <t>Ineos Manufacturing Deutschland GmbH</t>
  </si>
  <si>
    <t>GT13800</t>
  </si>
  <si>
    <t>Shell Deutschland Oil GmbH</t>
  </si>
  <si>
    <t>Kessel 9,10,11</t>
  </si>
  <si>
    <t>HKW Merheim</t>
  </si>
  <si>
    <t>BHKW Merheim</t>
  </si>
  <si>
    <t>Köln-Merheim</t>
  </si>
  <si>
    <t>X-Kraftwerk</t>
  </si>
  <si>
    <t>G-Kraftwerk</t>
  </si>
  <si>
    <t>SEE906462907775</t>
  </si>
  <si>
    <t>HA GT2</t>
  </si>
  <si>
    <t>AVEA Entsorgungsbetriebe GmbH &amp; Co. KG</t>
  </si>
  <si>
    <t>STEAG GMBH</t>
  </si>
  <si>
    <t>GuD Leverkusen</t>
  </si>
  <si>
    <t>GuD-Leverkusen</t>
  </si>
  <si>
    <t>SEE918100281437</t>
  </si>
  <si>
    <t>KWK Dingolfing BA 2</t>
  </si>
  <si>
    <t>KWK 7</t>
  </si>
  <si>
    <t>SEE946583344691</t>
  </si>
  <si>
    <t>Stadtwerke Aachen AG</t>
  </si>
  <si>
    <t>Weisweiler</t>
  </si>
  <si>
    <t>G_VGT</t>
  </si>
  <si>
    <t>Eschweiler-Weisweiler</t>
  </si>
  <si>
    <t>H_VGT</t>
  </si>
  <si>
    <t>MVA Weisweiler</t>
  </si>
  <si>
    <t>SEE985107396679</t>
  </si>
  <si>
    <t>RWE Generation Hydro GmbH</t>
  </si>
  <si>
    <t>Schwammenauel Maschine 1</t>
  </si>
  <si>
    <t>Heimbach</t>
  </si>
  <si>
    <t>SEE905410926998</t>
  </si>
  <si>
    <t>Forschungszentrum Jülich GmbH</t>
  </si>
  <si>
    <t>FZJ_WVVZ-03.19_BHKW-1</t>
  </si>
  <si>
    <t>Juelich</t>
  </si>
  <si>
    <t>SEE953907486180</t>
  </si>
  <si>
    <t>FZJ_WVVZ-03.19_BHKW-2</t>
  </si>
  <si>
    <t>SEE929090964958</t>
  </si>
  <si>
    <t>FZJ_WVVZ-03.19_BHKW-3</t>
  </si>
  <si>
    <t>SEE965327731764</t>
  </si>
  <si>
    <t>PundL Werk Juelich</t>
  </si>
  <si>
    <t>Kessel 5</t>
  </si>
  <si>
    <t>Heizkraftwerk Karlstrasse</t>
  </si>
  <si>
    <t>SEE929198153032</t>
  </si>
  <si>
    <t>Heizkraftwerk Evonik Rheinfelden</t>
  </si>
  <si>
    <t>Rheinfelden</t>
  </si>
  <si>
    <t>SEE913556136355</t>
  </si>
  <si>
    <t>SEE991329072925</t>
  </si>
  <si>
    <t>Naturstromspeicher Gaildorf GmbH &amp; Co. KG</t>
  </si>
  <si>
    <t>Gaildorf</t>
  </si>
  <si>
    <t>SEE901911520000</t>
  </si>
  <si>
    <t>Obervermuntwerk 1</t>
  </si>
  <si>
    <t>OVM1 M1</t>
  </si>
  <si>
    <t>SEE932041539754</t>
  </si>
  <si>
    <t>OVM1 M2</t>
  </si>
  <si>
    <t>EEW Energy from Waste Saarbruecken GmbH</t>
  </si>
  <si>
    <t>SEE910823411191</t>
  </si>
  <si>
    <t>KWK Muenchen</t>
  </si>
  <si>
    <t>Werk 1.1 KWK 1</t>
  </si>
  <si>
    <t>SEE917331286914</t>
  </si>
  <si>
    <t>Werk 1.1 KWK 2</t>
  </si>
  <si>
    <t>SEE902845037787</t>
  </si>
  <si>
    <t>Werk 1.1 KWK 3</t>
  </si>
  <si>
    <t>SEE997562455938</t>
  </si>
  <si>
    <t>Stadtwerke Tuebingen GmbH</t>
  </si>
  <si>
    <t>BHKW Obere Viehweide</t>
  </si>
  <si>
    <t>Tuebingen</t>
  </si>
  <si>
    <t>SEE961328936443</t>
  </si>
  <si>
    <t>SEE921316314745</t>
  </si>
  <si>
    <t>SEE900295294101</t>
  </si>
  <si>
    <t>SEE989733403879</t>
  </si>
  <si>
    <t>TIWAG-Tiroler Wasserkraft AG</t>
  </si>
  <si>
    <t>KW Silz</t>
  </si>
  <si>
    <t>AT-6424</t>
  </si>
  <si>
    <t>Silz</t>
  </si>
  <si>
    <t>SEE965029367872</t>
  </si>
  <si>
    <t>SEE961687984079</t>
  </si>
  <si>
    <t>Generator 41</t>
  </si>
  <si>
    <t>SEE906061539261</t>
  </si>
  <si>
    <t>Generator 42</t>
  </si>
  <si>
    <t>SEE963192915654</t>
  </si>
  <si>
    <t>Generator 43</t>
  </si>
  <si>
    <t>SEE940012750145</t>
  </si>
  <si>
    <t>Vorarlberger Illwerke AG Rellswerk</t>
  </si>
  <si>
    <t>REW</t>
  </si>
  <si>
    <t xml:space="preserve"> GT 2</t>
  </si>
  <si>
    <t>SEE927622980674</t>
  </si>
  <si>
    <t>PundL Werk Euskirchen</t>
  </si>
  <si>
    <t>Euskirchen</t>
  </si>
  <si>
    <t>EEW Energy from Waste Göppingen GmbH</t>
  </si>
  <si>
    <t>EEW Goeppingen</t>
  </si>
  <si>
    <t>Turb. Neu</t>
  </si>
  <si>
    <t>SEE939597247393</t>
  </si>
  <si>
    <t>FairEnergie GmbH</t>
  </si>
  <si>
    <t>BHKW-Hauffstrasse</t>
  </si>
  <si>
    <t>Motorenanlage 1</t>
  </si>
  <si>
    <t>Reutlingen</t>
  </si>
  <si>
    <t>SEE921888721163</t>
  </si>
  <si>
    <t>Motorenanlage 2</t>
  </si>
  <si>
    <t>SEE903508467828</t>
  </si>
  <si>
    <t>Motorenanlage 3</t>
  </si>
  <si>
    <t>SEE932929596862</t>
  </si>
  <si>
    <t>Motorenanlage 4</t>
  </si>
  <si>
    <t>SEE951279779923</t>
  </si>
  <si>
    <t>Motorenanlage 5</t>
  </si>
  <si>
    <t>SEE956127306573</t>
  </si>
  <si>
    <t>KW Kuehtai</t>
  </si>
  <si>
    <t>Kuehtai Ma1</t>
  </si>
  <si>
    <t>AT-6183</t>
  </si>
  <si>
    <t>Kuehtai</t>
  </si>
  <si>
    <t>SEE901980882672</t>
  </si>
  <si>
    <t>Kuehtai Ma 2</t>
  </si>
  <si>
    <t>SKW Kuehtai</t>
  </si>
  <si>
    <t>Kühtai</t>
  </si>
  <si>
    <t>Zweckverband Restmuellheizkraftwerk Böblingen</t>
  </si>
  <si>
    <t>Restmuellheizkraftwerk Boeblingen</t>
  </si>
  <si>
    <t>Muellverbrennung</t>
  </si>
  <si>
    <t>SEE955261480668</t>
  </si>
  <si>
    <t>Vorarlberger Illwerke AG</t>
  </si>
  <si>
    <t>Latschauwerk</t>
  </si>
  <si>
    <t>AT-6774 </t>
  </si>
  <si>
    <t>SEE986008964080</t>
  </si>
  <si>
    <t>BASF Verbrennung</t>
  </si>
  <si>
    <t>SEE907120686209</t>
  </si>
  <si>
    <t xml:space="preserve">Illwerke vkw Rifawerk </t>
  </si>
  <si>
    <t>SEE916524366044</t>
  </si>
  <si>
    <t>SEE953182244383</t>
  </si>
  <si>
    <t>Turbine X1</t>
  </si>
  <si>
    <t>SEE953730197888</t>
  </si>
  <si>
    <t>Turbine TD0</t>
  </si>
  <si>
    <t>SEE945038569870</t>
  </si>
  <si>
    <t>Sappi Ehingen GmbH</t>
  </si>
  <si>
    <t>Werkskraftwerk Sappi Ehingen</t>
  </si>
  <si>
    <t>Turbinengenerator 4</t>
  </si>
  <si>
    <t>Ehingen</t>
  </si>
  <si>
    <t>SEE948093740512</t>
  </si>
  <si>
    <t>Turbine TE0</t>
  </si>
  <si>
    <t>SEE914128531905</t>
  </si>
  <si>
    <t>Smurfit Kappa Zuelpich Papier GmbH</t>
  </si>
  <si>
    <t>Erdgaskraftwerk</t>
  </si>
  <si>
    <t>K06</t>
  </si>
  <si>
    <t>Zuelpich</t>
  </si>
  <si>
    <t>SEE998356674993</t>
  </si>
  <si>
    <t>SEE922579581844</t>
  </si>
  <si>
    <t>SEE968206101610</t>
  </si>
  <si>
    <t>SEE951582148140</t>
  </si>
  <si>
    <t>KW5</t>
  </si>
  <si>
    <t>SEE983509659989</t>
  </si>
  <si>
    <t>SEE964290104919</t>
  </si>
  <si>
    <t>SEE920825895844</t>
  </si>
  <si>
    <t>SEE979557966681</t>
  </si>
  <si>
    <t>SEE945401341942</t>
  </si>
  <si>
    <t>SEE997770651436</t>
  </si>
  <si>
    <t>SEE966089822219</t>
  </si>
  <si>
    <t>SEE945569399960</t>
  </si>
  <si>
    <t>SEE916830465356</t>
  </si>
  <si>
    <t>5A</t>
  </si>
  <si>
    <t>SEE990760688887</t>
  </si>
  <si>
    <t>MHKW Mainz</t>
  </si>
  <si>
    <t>EBT</t>
  </si>
  <si>
    <t>DTS</t>
  </si>
  <si>
    <t>Kraftwerk Mainz</t>
  </si>
  <si>
    <t>KW3</t>
  </si>
  <si>
    <t>SEE914357645565</t>
  </si>
  <si>
    <t>Freiburger Wärmeversorgungs GmbH</t>
  </si>
  <si>
    <t>FRBG Buggingerstrasse</t>
  </si>
  <si>
    <t>SEE953451314137</t>
  </si>
  <si>
    <t>Gemeinschaftskraftwerk Hanau GmbH &amp; Co. KG</t>
  </si>
  <si>
    <t>Modul 11</t>
  </si>
  <si>
    <t>Hanau</t>
  </si>
  <si>
    <t>SEE988994692473</t>
  </si>
  <si>
    <t>Modul 12</t>
  </si>
  <si>
    <t>SEE960000126950</t>
  </si>
  <si>
    <t>Modul 13</t>
  </si>
  <si>
    <t>SEE936770778460</t>
  </si>
  <si>
    <t>SWM HKW Sued GuD1</t>
  </si>
  <si>
    <t>SEE926128454535</t>
  </si>
  <si>
    <t>DT12</t>
  </si>
  <si>
    <t>SEE973271553004</t>
  </si>
  <si>
    <t>essity Operations Mainz-Kostheim GmbH</t>
  </si>
  <si>
    <t>Mainz-Kostheim</t>
  </si>
  <si>
    <t>SEE901196452256</t>
  </si>
  <si>
    <t>SEE901516014812</t>
  </si>
  <si>
    <t>Smurfit Kappa Herzberger Papierfabrik GmbH</t>
  </si>
  <si>
    <t>Dampfturbine 1-3</t>
  </si>
  <si>
    <t>SEE911689709217</t>
  </si>
  <si>
    <t>IHKW Andernach</t>
  </si>
  <si>
    <t>SEE958827094903</t>
  </si>
  <si>
    <t>Moritz J. Weig GmbH &amp; Co KG</t>
  </si>
  <si>
    <t>Gemeinschaftskraftwerk Weig</t>
  </si>
  <si>
    <t>SEE932782707160</t>
  </si>
  <si>
    <t>SEE927168175756</t>
  </si>
  <si>
    <t>Mark-E AG</t>
  </si>
  <si>
    <t>Pumpspeicherwerk Roenkhausen</t>
  </si>
  <si>
    <t>PSW1</t>
  </si>
  <si>
    <t>Finnentrop</t>
  </si>
  <si>
    <t>SEE967283752913</t>
  </si>
  <si>
    <t>KWK Muenchen FIZ</t>
  </si>
  <si>
    <t>Werk 1.5 KWK 1</t>
  </si>
  <si>
    <t>SEE995752550746</t>
  </si>
  <si>
    <t>Werk 1.5 KWK 2</t>
  </si>
  <si>
    <t>SEE982889459141</t>
  </si>
  <si>
    <t>Werk 1.5 KWK 3</t>
  </si>
  <si>
    <t>SEE927436598478</t>
  </si>
  <si>
    <t>Werk 1.5 KWK 4</t>
  </si>
  <si>
    <t>SEE921862229227</t>
  </si>
  <si>
    <t>PSW2</t>
  </si>
  <si>
    <t>SEE965966201352</t>
  </si>
  <si>
    <t>Bigge Energie GmbH &amp; Co. KG</t>
  </si>
  <si>
    <t>Bigge</t>
  </si>
  <si>
    <t>Attendorn</t>
  </si>
  <si>
    <t>SEE968039156900</t>
  </si>
  <si>
    <t>SEE938477978983</t>
  </si>
  <si>
    <t>Mark-E AG / Statkraft Markets</t>
  </si>
  <si>
    <t>Cuno Heizkraftwerk Herdecke</t>
  </si>
  <si>
    <t>H6</t>
  </si>
  <si>
    <t>SEE925333539921</t>
  </si>
  <si>
    <t>Koepchenwerk</t>
  </si>
  <si>
    <t>SEE907892165506</t>
  </si>
  <si>
    <t xml:space="preserve">Cuno Heizkraftwerk Herdecke </t>
  </si>
  <si>
    <t>SEE986561991462</t>
  </si>
  <si>
    <t>SEE995184160995</t>
  </si>
  <si>
    <t>BHKW3</t>
  </si>
  <si>
    <t>AMK - Abfallentsorgungsgesellschaft des Märkischen Kreises mbH</t>
  </si>
  <si>
    <t>AMK - Abfallentsorgungsgesellschaft des Maerkischen Kreises mbH</t>
  </si>
  <si>
    <t>SEE937978171572</t>
  </si>
  <si>
    <t>SEE906681939748</t>
  </si>
  <si>
    <t>Jäckering Mühlen- und Nährmittelwerke GmbH</t>
  </si>
  <si>
    <t>BHKW Hafen</t>
  </si>
  <si>
    <t>SEE900348277440</t>
  </si>
  <si>
    <t>Modul 4</t>
  </si>
  <si>
    <t>SEE956207547964</t>
  </si>
  <si>
    <t>SEE967448123107</t>
  </si>
  <si>
    <t>SEE977583940965</t>
  </si>
  <si>
    <t>Modul 7</t>
  </si>
  <si>
    <t>SEE982412379564</t>
  </si>
  <si>
    <t>Modul 6</t>
  </si>
  <si>
    <t>SEE942234222677</t>
  </si>
  <si>
    <t>Modul 5</t>
  </si>
  <si>
    <t xml:space="preserve">Trianel Gaskraftwerk Hamm GmbH &amp; Co. KG </t>
  </si>
  <si>
    <t xml:space="preserve">Trianel Gaskraftwerk </t>
  </si>
  <si>
    <t>Block 20</t>
  </si>
  <si>
    <t>Block 10</t>
  </si>
  <si>
    <t>SEE922849915072</t>
  </si>
  <si>
    <t>MHB Hamm Betriebsfuehrungsgesellschaft mbH</t>
  </si>
  <si>
    <t>MVA Hamm</t>
  </si>
  <si>
    <t>SEE976826191515</t>
  </si>
  <si>
    <t>SEE994238154089</t>
  </si>
  <si>
    <t>Gersteinwerk</t>
  </si>
  <si>
    <t xml:space="preserve">K1 </t>
  </si>
  <si>
    <t>I1</t>
  </si>
  <si>
    <t>H1 neu</t>
  </si>
  <si>
    <t>SEE974045584156</t>
  </si>
  <si>
    <t>Egger Holzwerkstoffe Brilon GmbH &amp; Co. KG</t>
  </si>
  <si>
    <t>Egger Kraftwerk Brilon</t>
  </si>
  <si>
    <t xml:space="preserve">Brilon </t>
  </si>
  <si>
    <t>SEE905229048430</t>
  </si>
  <si>
    <t>GT8</t>
  </si>
  <si>
    <t>IPH Block 7</t>
  </si>
  <si>
    <t>GT X7</t>
  </si>
  <si>
    <t>IPH Block 8</t>
  </si>
  <si>
    <t>GT X8</t>
  </si>
  <si>
    <t>Muellheizkraftwerk Offenbach</t>
  </si>
  <si>
    <t>SEE977514334252</t>
  </si>
  <si>
    <t>SEE918111432224</t>
  </si>
  <si>
    <t>Turbinengenerator 3</t>
  </si>
  <si>
    <t>SEE973007329446</t>
  </si>
  <si>
    <t>Boehringer Ingelheim</t>
  </si>
  <si>
    <t>H111 - GT51/AK51</t>
  </si>
  <si>
    <t>88400 </t>
  </si>
  <si>
    <t>Biberach</t>
  </si>
  <si>
    <t>SEE943952259648</t>
  </si>
  <si>
    <t>J41 - GT12/AK12</t>
  </si>
  <si>
    <t>SEE958897712714</t>
  </si>
  <si>
    <t>DFS Energy GmbH</t>
  </si>
  <si>
    <t>Langen</t>
  </si>
  <si>
    <t>SEE931044787582</t>
  </si>
  <si>
    <t>Nordzucker AG Werk Schladen</t>
  </si>
  <si>
    <t>Schladen</t>
  </si>
  <si>
    <t>SEE964821359092</t>
  </si>
  <si>
    <t>SEE947894664195</t>
  </si>
  <si>
    <t>SEE908040387344</t>
  </si>
  <si>
    <t>SEE961620762023</t>
  </si>
  <si>
    <t>Merck KGaA</t>
  </si>
  <si>
    <t xml:space="preserve">Darmstadt </t>
  </si>
  <si>
    <t>SEE929612840487</t>
  </si>
  <si>
    <t>KWK-0007</t>
  </si>
  <si>
    <t>Lemgo</t>
  </si>
  <si>
    <t>SEE937822704543</t>
  </si>
  <si>
    <t>SEE942954514045</t>
  </si>
  <si>
    <t>DA_BHKW_01</t>
  </si>
  <si>
    <t>Pirelli Deutschland GmbH</t>
  </si>
  <si>
    <t>Industriekraftwerk Breuberg</t>
  </si>
  <si>
    <t>InfraServ GmbH &amp; Co. Wiesbaden KG</t>
  </si>
  <si>
    <t>Wi-Biebrich</t>
  </si>
  <si>
    <t>SEE913609763316</t>
  </si>
  <si>
    <t>SEE969023487444</t>
  </si>
  <si>
    <t>SEE923049388338</t>
  </si>
  <si>
    <t>MHKW Wiesbaden GmbH</t>
  </si>
  <si>
    <t>MHKW Wiesbaden</t>
  </si>
  <si>
    <t>SEE995963332841</t>
  </si>
  <si>
    <t>KWK-0008</t>
  </si>
  <si>
    <t>SEE987257004671</t>
  </si>
  <si>
    <t>KWK-0009</t>
  </si>
  <si>
    <t>SEE924769212057</t>
  </si>
  <si>
    <t>KWK-0010</t>
  </si>
  <si>
    <t xml:space="preserve">Opel Automobile GmbH </t>
  </si>
  <si>
    <t>GuD-Anlage Ruesselsheim</t>
  </si>
  <si>
    <t>M120</t>
  </si>
  <si>
    <t>Ruesselheim</t>
  </si>
  <si>
    <t>IPH ADS-Anlage</t>
  </si>
  <si>
    <t>Block C GT X2</t>
  </si>
  <si>
    <t>SEE939394838077</t>
  </si>
  <si>
    <t>KWK-0005</t>
  </si>
  <si>
    <t>SEE919932222612</t>
  </si>
  <si>
    <t>KWK-0006</t>
  </si>
  <si>
    <t>Block C GT X3</t>
  </si>
  <si>
    <t>Block A GT X1</t>
  </si>
  <si>
    <t>SEE980794086872</t>
  </si>
  <si>
    <t>IPH Ersatzbrennstoffverbrennung</t>
  </si>
  <si>
    <t>ISH</t>
  </si>
  <si>
    <t>SEE935809614632</t>
  </si>
  <si>
    <t>IPH Strom GT4</t>
  </si>
  <si>
    <t>SEE986959633936</t>
  </si>
  <si>
    <t>PundL Werk Lage</t>
  </si>
  <si>
    <t>Kessel 1/2/3</t>
  </si>
  <si>
    <t>Lage</t>
  </si>
  <si>
    <t>SEE931652054403</t>
  </si>
  <si>
    <t>IPH Strom GT2</t>
  </si>
  <si>
    <t>Block FWH Sued GT2</t>
  </si>
  <si>
    <t>SEE900364034072</t>
  </si>
  <si>
    <t>FHT 1</t>
  </si>
  <si>
    <t>SEE996946209945</t>
  </si>
  <si>
    <t>Caterpillar Energy Solutions</t>
  </si>
  <si>
    <t>Kraftwerk P</t>
  </si>
  <si>
    <t>P12</t>
  </si>
  <si>
    <t>SEE936364054154</t>
  </si>
  <si>
    <t>P18</t>
  </si>
  <si>
    <t>SEE988996320985</t>
  </si>
  <si>
    <t>P31</t>
  </si>
  <si>
    <t>SEE968984873471</t>
  </si>
  <si>
    <t>P34</t>
  </si>
  <si>
    <t>SEE997674469793</t>
  </si>
  <si>
    <t>P35</t>
  </si>
  <si>
    <t>SEE975815924073</t>
  </si>
  <si>
    <t>P37</t>
  </si>
  <si>
    <t>SEE949685414514</t>
  </si>
  <si>
    <t>P87</t>
  </si>
  <si>
    <t>SEE974615285285</t>
  </si>
  <si>
    <t xml:space="preserve">Stuttgart-Gaisburg HKW 3 </t>
  </si>
  <si>
    <t>SEE972346658903</t>
  </si>
  <si>
    <t>SEE915268412710</t>
  </si>
  <si>
    <t>HK Brunnenstrasse</t>
  </si>
  <si>
    <t>SEE945237549437</t>
  </si>
  <si>
    <t>HKW Turbine 5</t>
  </si>
  <si>
    <t xml:space="preserve"> IPH Strom VT1</t>
  </si>
  <si>
    <t>VT1</t>
  </si>
  <si>
    <t xml:space="preserve"> IPH Strom VT2</t>
  </si>
  <si>
    <t>VT2</t>
  </si>
  <si>
    <t xml:space="preserve"> IPH Strom VT3</t>
  </si>
  <si>
    <t>VT3</t>
  </si>
  <si>
    <t xml:space="preserve"> IPH Strom VT4</t>
  </si>
  <si>
    <t>VT4</t>
  </si>
  <si>
    <t xml:space="preserve"> IPH Strom VT5</t>
  </si>
  <si>
    <t>VT5</t>
  </si>
  <si>
    <t>Energie Saarlorlux AG</t>
  </si>
  <si>
    <t>Gasmotoren Anlage</t>
  </si>
  <si>
    <t>GAMOR</t>
  </si>
  <si>
    <t>ZF Friedrichshafen AG</t>
  </si>
  <si>
    <t>Gas- u. Dampfturbinenanlage Suedraum</t>
  </si>
  <si>
    <t>Saarbruecken</t>
  </si>
  <si>
    <t>HKW Roemerbruecke</t>
  </si>
  <si>
    <t>Kohleanlage</t>
  </si>
  <si>
    <t>SEE938035990372</t>
  </si>
  <si>
    <t>AVA Velsen</t>
  </si>
  <si>
    <t>Saarbruecken-Velsen</t>
  </si>
  <si>
    <t>SEE977622942226</t>
  </si>
  <si>
    <t>STEAG Gasmotoren Fenne 1 GmbH</t>
  </si>
  <si>
    <t>Gasmotoren Fenne</t>
  </si>
  <si>
    <t>Gasmotor 1 Mod.</t>
  </si>
  <si>
    <t>Völklingen-Fenne</t>
  </si>
  <si>
    <t>SEE934337929126</t>
  </si>
  <si>
    <t>Gasmotor 2 Mod.</t>
  </si>
  <si>
    <t>SEE968581935343</t>
  </si>
  <si>
    <t>STEAG Gasmotoren Fenne 2 GmbH</t>
  </si>
  <si>
    <t>Gasmotor 3 Mod.</t>
  </si>
  <si>
    <t>SEE913600410226</t>
  </si>
  <si>
    <t>Gasmotor 4 Mod.</t>
  </si>
  <si>
    <t>SEE908070409573</t>
  </si>
  <si>
    <t>STEAG Gasmotoren Fenne 3 GmbH</t>
  </si>
  <si>
    <t>Gasmotor 5 Mod.</t>
  </si>
  <si>
    <t>SEE943764365964</t>
  </si>
  <si>
    <t>Gasmotor 6 Mod.</t>
  </si>
  <si>
    <t>SEE957509710094</t>
  </si>
  <si>
    <t>AHKW Neunkirchen</t>
  </si>
  <si>
    <t>Linie 3 plus 4</t>
  </si>
  <si>
    <t>SEE991036415459</t>
  </si>
  <si>
    <t>Fresenius Medical Care Deutschland GmbH</t>
  </si>
  <si>
    <t>Gasturbinen-HKW St. Wendel</t>
  </si>
  <si>
    <t>St. Wendel</t>
  </si>
  <si>
    <t>SEE997248724068</t>
  </si>
  <si>
    <t>SEE940081190514</t>
  </si>
  <si>
    <t>SEE977956291342</t>
  </si>
  <si>
    <t>Ford-Werke GmbH</t>
  </si>
  <si>
    <t>Ford Saarlouis</t>
  </si>
  <si>
    <t>Saarlouis</t>
  </si>
  <si>
    <t>SEE929095613516</t>
  </si>
  <si>
    <t>GSB Sonderabfall-Entsorgung Bayern GmbH</t>
  </si>
  <si>
    <t>Turbine VA2</t>
  </si>
  <si>
    <t>Baar-Ebenhausen</t>
  </si>
  <si>
    <t>SEE906331863386</t>
  </si>
  <si>
    <t>Turbine VA3</t>
  </si>
  <si>
    <t>SEE923791565131</t>
  </si>
  <si>
    <t>Zweckverband Müllheizkraftwerk Stadt und Landkreis Bamberg</t>
  </si>
  <si>
    <t>Rheinstrasse</t>
  </si>
  <si>
    <t>Bamberg</t>
  </si>
  <si>
    <t>SEE940809994431</t>
  </si>
  <si>
    <t>Sasol Germany GmbH</t>
  </si>
  <si>
    <t>Brunsbuettel</t>
  </si>
  <si>
    <t>SEE931197865137</t>
  </si>
  <si>
    <t>SEE914143996840</t>
  </si>
  <si>
    <t>SEE980013554151</t>
  </si>
  <si>
    <t>SEE995570780608</t>
  </si>
  <si>
    <t>SEE941042670380</t>
  </si>
  <si>
    <t>KWK-Bunsenstr.</t>
  </si>
  <si>
    <t>SEE915051196278</t>
  </si>
  <si>
    <t>SEE948869114622</t>
  </si>
  <si>
    <t>Gebr. Lang GmbH Papierfabrik</t>
  </si>
  <si>
    <t>Ettringen</t>
  </si>
  <si>
    <t>SEE937617144974</t>
  </si>
  <si>
    <t>Audi</t>
  </si>
  <si>
    <t>IN_N19_KWKK</t>
  </si>
  <si>
    <t>SEE908836263777</t>
  </si>
  <si>
    <t>SEE994477053693</t>
  </si>
  <si>
    <t>Turbosatz 3</t>
  </si>
  <si>
    <t>Nordzucker AG, Werk Nordstemmen</t>
  </si>
  <si>
    <t>Werk Nordstemmen</t>
  </si>
  <si>
    <t>SEE916508151147</t>
  </si>
  <si>
    <t>SEE956674158182</t>
  </si>
  <si>
    <t>BMW Landshut</t>
  </si>
  <si>
    <t>SEE945807171310</t>
  </si>
  <si>
    <t>SEE909963484639</t>
  </si>
  <si>
    <t>SEE953048986860</t>
  </si>
  <si>
    <t>Fabrik NE GT Tr</t>
  </si>
  <si>
    <t>Neuhof</t>
  </si>
  <si>
    <t>SEE938018666973</t>
  </si>
  <si>
    <t>Fabrik NE GT Tr.</t>
  </si>
  <si>
    <t>SEE933639931950</t>
  </si>
  <si>
    <t>Kraftwerk NE GT KW</t>
  </si>
  <si>
    <t>SEE947712976042</t>
  </si>
  <si>
    <t>MHKW Pirmasens Verbrennung II</t>
  </si>
  <si>
    <t>Linie 1und Linie 2</t>
  </si>
  <si>
    <t>SEE987729168146</t>
  </si>
  <si>
    <t>Ferrero OHG mbH</t>
  </si>
  <si>
    <t>Stadtallendorf</t>
  </si>
  <si>
    <t>SEE965711846036</t>
  </si>
  <si>
    <t>Klingele Papierwerke GmbH &amp; Co. KG Papierfabrik Weener</t>
  </si>
  <si>
    <t>SEE998216550733</t>
  </si>
  <si>
    <t>TWIN 1</t>
  </si>
  <si>
    <t>SEE939382623364</t>
  </si>
  <si>
    <t>TWIN2</t>
  </si>
  <si>
    <t>SEE900559860912</t>
  </si>
  <si>
    <t>WUN Pellets GmbH</t>
  </si>
  <si>
    <t>Modul II</t>
  </si>
  <si>
    <t>Wunsiedel</t>
  </si>
  <si>
    <t>SEE998778600532</t>
  </si>
  <si>
    <t>Modul I</t>
  </si>
  <si>
    <t>SEE926582462244</t>
  </si>
  <si>
    <t>Modul III</t>
  </si>
  <si>
    <t>Heizkraftwerk an der Friedensbruecke</t>
  </si>
  <si>
    <t>DampfturbineIV</t>
  </si>
  <si>
    <t>SEE914179988338</t>
  </si>
  <si>
    <t>Klaeranlage</t>
  </si>
  <si>
    <t>Z564</t>
  </si>
  <si>
    <t>SEE932621971301</t>
  </si>
  <si>
    <t>Kraftwerk 3</t>
  </si>
  <si>
    <t>SEE945436960576</t>
  </si>
  <si>
    <t>SEE925652456091</t>
  </si>
  <si>
    <t>M7</t>
  </si>
  <si>
    <t>SEE982892019516</t>
  </si>
  <si>
    <t>KWK-0003</t>
  </si>
  <si>
    <t>SEE911507913505</t>
  </si>
  <si>
    <t>GT32</t>
  </si>
  <si>
    <t>DT30</t>
  </si>
  <si>
    <t>Kraftwerk Sued</t>
  </si>
  <si>
    <t>GUD C 200 GT 1, GT 2, DT 1</t>
  </si>
  <si>
    <t>SEE975854838485</t>
  </si>
  <si>
    <t>SEE953235539855</t>
  </si>
  <si>
    <t>Kraftwerk Mitte</t>
  </si>
  <si>
    <t>GUD A 800 GT 11, GT 12, DT 10</t>
  </si>
  <si>
    <t>Technische Werke Ludwigshafen AG</t>
  </si>
  <si>
    <t>FHKW Ludwigshafen</t>
  </si>
  <si>
    <t>SEE935949048892</t>
  </si>
  <si>
    <t>WKW Rudolf-Fettweis-Werk Murgwerk</t>
  </si>
  <si>
    <t xml:space="preserve"> Forbach</t>
  </si>
  <si>
    <t>SEE975862748837</t>
  </si>
  <si>
    <t>SEE901506319514</t>
  </si>
  <si>
    <t>SEE936411567903</t>
  </si>
  <si>
    <t>SEE999927238279</t>
  </si>
  <si>
    <t>SEE984453739475</t>
  </si>
  <si>
    <t xml:space="preserve">Rudolf-Fettweis-Werk     </t>
  </si>
  <si>
    <t>Kraftwerk Schwarzenbachwerk</t>
  </si>
  <si>
    <t>SEE918857857947</t>
  </si>
  <si>
    <t>SEE969698095906</t>
  </si>
  <si>
    <t>DT6</t>
  </si>
  <si>
    <t>SEE966264899036</t>
  </si>
  <si>
    <t>DT5</t>
  </si>
  <si>
    <t>SEE940224582367</t>
  </si>
  <si>
    <t>Industriekraftwerk Ludwigshafen</t>
  </si>
  <si>
    <t>SEE907508778663</t>
  </si>
  <si>
    <t>BHKW Ludwigshafen</t>
  </si>
  <si>
    <t xml:space="preserve">BHKW </t>
  </si>
  <si>
    <t>Suedzucker AG Mannheim</t>
  </si>
  <si>
    <t>Dampfturbine I Suedzucker Offstein</t>
  </si>
  <si>
    <t>SEE940616845582</t>
  </si>
  <si>
    <t>BENEO-Palatinit GmbH</t>
  </si>
  <si>
    <t>BENEO-Palatinit</t>
  </si>
  <si>
    <t>SEE916733797554</t>
  </si>
  <si>
    <t>Julius Glatz</t>
  </si>
  <si>
    <t>Neidenfels</t>
  </si>
  <si>
    <t>SEE981577567892</t>
  </si>
  <si>
    <t>SEE904364883227</t>
  </si>
  <si>
    <t>KonTu</t>
  </si>
  <si>
    <t>G3/Kontu</t>
  </si>
  <si>
    <t>SEE924235173530</t>
  </si>
  <si>
    <t>Grace GmbH</t>
  </si>
  <si>
    <t>Co-Generation</t>
  </si>
  <si>
    <t>SEE900100287427</t>
  </si>
  <si>
    <t>Teilanlage 0040</t>
  </si>
  <si>
    <t>SWK Stadtwerke Kaiserslautern, Versorgungs-AG</t>
  </si>
  <si>
    <t>HKW Karcherstr.</t>
  </si>
  <si>
    <t>SEE914749097217</t>
  </si>
  <si>
    <t>SEE969792129750</t>
  </si>
  <si>
    <t>SEE900240101683</t>
  </si>
  <si>
    <t>HKW Woerth</t>
  </si>
  <si>
    <t>SEE983807255883</t>
  </si>
  <si>
    <t>Buchmann GmbH</t>
  </si>
  <si>
    <t>KWK Anlage</t>
  </si>
  <si>
    <t>SEE936442428945</t>
  </si>
  <si>
    <t>NS-Anlage</t>
  </si>
  <si>
    <t>SEE931018364146</t>
  </si>
  <si>
    <t>Wehr Hotzenwald A9</t>
  </si>
  <si>
    <t>SEE929967552172</t>
  </si>
  <si>
    <t>Wehr Hotzenwald A10</t>
  </si>
  <si>
    <t>LUW II M1-3</t>
  </si>
  <si>
    <t>Universitätsklinikum Freiburg</t>
  </si>
  <si>
    <t>SEE906636749798</t>
  </si>
  <si>
    <t>Saeckingen 1</t>
  </si>
  <si>
    <t>SEE945451865368</t>
  </si>
  <si>
    <t>Saeckingen 2</t>
  </si>
  <si>
    <t>SEE957253837467</t>
  </si>
  <si>
    <t>Waldshut A6</t>
  </si>
  <si>
    <t>SEE973234062512</t>
  </si>
  <si>
    <t>Waldshut A5</t>
  </si>
  <si>
    <t>SEE969304380679</t>
  </si>
  <si>
    <t>Witznau A3</t>
  </si>
  <si>
    <t>SEE961674911293</t>
  </si>
  <si>
    <t>Witznau A4</t>
  </si>
  <si>
    <t>SEE903926257506</t>
  </si>
  <si>
    <t>Haeusern A1</t>
  </si>
  <si>
    <t>SEE940779412058</t>
  </si>
  <si>
    <t>Haeusern A2</t>
  </si>
  <si>
    <t>T2</t>
  </si>
  <si>
    <t xml:space="preserve">Augsburg </t>
  </si>
  <si>
    <t>SEE941055812814</t>
  </si>
  <si>
    <t>SI-Gasmotor (12 V 32/40)</t>
  </si>
  <si>
    <t>SEE952857304476</t>
  </si>
  <si>
    <t>Pruefstand 32</t>
  </si>
  <si>
    <t>Pruefstand 15</t>
  </si>
  <si>
    <t>SEE949310869146</t>
  </si>
  <si>
    <t>Rolls-Royce Solutions Augsburg GmbH</t>
  </si>
  <si>
    <t>Pruefstand 6</t>
  </si>
  <si>
    <t>SEE925189660817</t>
  </si>
  <si>
    <t>Pruefstand 8</t>
  </si>
  <si>
    <t>SEE971949289934</t>
  </si>
  <si>
    <t>Pruefstand 5</t>
  </si>
  <si>
    <t>Block 11</t>
  </si>
  <si>
    <t>Block 12</t>
  </si>
  <si>
    <t>Heizkraftwerk Magirusstrasse</t>
  </si>
  <si>
    <t>SEE926356200836</t>
  </si>
  <si>
    <t>Pruefstand 4</t>
  </si>
  <si>
    <t>SEE959745626917</t>
  </si>
  <si>
    <t>Pruefstand 11</t>
  </si>
  <si>
    <t>SEE943841929270</t>
  </si>
  <si>
    <t>AVA Abfallverwertung Augsburg GmbH</t>
  </si>
  <si>
    <t>AHKW</t>
  </si>
  <si>
    <t>HD</t>
  </si>
  <si>
    <t>SEE943548208159</t>
  </si>
  <si>
    <t>ND</t>
  </si>
  <si>
    <t>HKW3 UPM Schongau</t>
  </si>
  <si>
    <t>SEE929068766096</t>
  </si>
  <si>
    <t>UPM Schongau</t>
  </si>
  <si>
    <t>HKW T1</t>
  </si>
  <si>
    <t>SEE939218038409</t>
  </si>
  <si>
    <t>HKW T2</t>
  </si>
  <si>
    <t>Allgäuer ueberlandwerk GmbH</t>
  </si>
  <si>
    <t>SKW Gasturbine</t>
  </si>
  <si>
    <t>Waltenhofen-Veits</t>
  </si>
  <si>
    <t>SEE950450991048</t>
  </si>
  <si>
    <t>Rosshaupten</t>
  </si>
  <si>
    <t>SKW K1</t>
  </si>
  <si>
    <t>Roßhaupten</t>
  </si>
  <si>
    <t>SEE913199703136</t>
  </si>
  <si>
    <t>SKW K2</t>
  </si>
  <si>
    <t>SEE985143270643</t>
  </si>
  <si>
    <t>SWU Energie GmbH</t>
  </si>
  <si>
    <t>BHKW Neu-Ulm M1</t>
  </si>
  <si>
    <t>Neu-Ulm</t>
  </si>
  <si>
    <t>SEE979426528330</t>
  </si>
  <si>
    <t>BHKW Neu-Ulm M2</t>
  </si>
  <si>
    <t>SEE939917723934</t>
  </si>
  <si>
    <t>BHKW Neu-Ulm M3</t>
  </si>
  <si>
    <t>SEE965203033722</t>
  </si>
  <si>
    <t>BHKW Neu-Ulm M4</t>
  </si>
  <si>
    <t>Zweckverband fuer Abfallwirtschaft Suedwestthueringen (ZASt)</t>
  </si>
  <si>
    <t>Restabfallbehandlungsanlage</t>
  </si>
  <si>
    <t>SEE945148512650</t>
  </si>
  <si>
    <t>Goldisthal</t>
  </si>
  <si>
    <t>SEE974189836364</t>
  </si>
  <si>
    <t>SEE943653719359</t>
  </si>
  <si>
    <t>SEE901345486644</t>
  </si>
  <si>
    <t>HKW Erfurt-Ost</t>
  </si>
  <si>
    <t>MKW SAD</t>
  </si>
  <si>
    <t>SEE900838448145</t>
  </si>
  <si>
    <t>SEE955292024220</t>
  </si>
  <si>
    <t>Nordland GuD-Anlage</t>
  </si>
  <si>
    <t>Doerpen</t>
  </si>
  <si>
    <t>HD DTS</t>
  </si>
  <si>
    <t>SEE927303933470</t>
  </si>
  <si>
    <t>ND DTS</t>
  </si>
  <si>
    <t>SEE972750176482</t>
  </si>
  <si>
    <t>KWK 5 Gebaeude 192.0</t>
  </si>
  <si>
    <t>SEE916435406600</t>
  </si>
  <si>
    <t>Motor 9</t>
  </si>
  <si>
    <t>SEE975024902015</t>
  </si>
  <si>
    <t>KWK-0004</t>
  </si>
  <si>
    <t>SEE901453618340</t>
  </si>
  <si>
    <t>SEE975925776395</t>
  </si>
  <si>
    <t>GDT</t>
  </si>
  <si>
    <t>Tandem-Dampfturbine</t>
  </si>
  <si>
    <t>M1,M2,M3,M4</t>
  </si>
  <si>
    <t>SEE900758207372</t>
  </si>
  <si>
    <t>Opel Automobile GmbH</t>
  </si>
  <si>
    <t>HKW Wiesengrund</t>
  </si>
  <si>
    <t>Eisenach</t>
  </si>
  <si>
    <t>WSK PULS GmbH</t>
  </si>
  <si>
    <t>PSW Leutenberg</t>
  </si>
  <si>
    <t>A</t>
  </si>
  <si>
    <t>Leutenberg</t>
  </si>
  <si>
    <t>SEE965730885047</t>
  </si>
  <si>
    <t>Société Electrique de l'Our S.A.</t>
  </si>
  <si>
    <t>PSW Vianden</t>
  </si>
  <si>
    <t>L -9401</t>
  </si>
  <si>
    <t>Vianden</t>
  </si>
  <si>
    <t>SEE915170466979</t>
  </si>
  <si>
    <t>SEE962712912357</t>
  </si>
  <si>
    <t>SEE908227299279</t>
  </si>
  <si>
    <t>SEE903949785369</t>
  </si>
  <si>
    <t>SEE942100679987</t>
  </si>
  <si>
    <t>SEE947853008176</t>
  </si>
  <si>
    <t>Maschine 7</t>
  </si>
  <si>
    <t>SEE968458734758</t>
  </si>
  <si>
    <t>Maschine 8</t>
  </si>
  <si>
    <t>SEE929031511661</t>
  </si>
  <si>
    <t>Maschine 9</t>
  </si>
  <si>
    <t>SEE975561989005</t>
  </si>
  <si>
    <t>Maschine 10</t>
  </si>
  <si>
    <t>SEE932845933635</t>
  </si>
  <si>
    <t>Maschine 11</t>
  </si>
  <si>
    <t>Nord</t>
  </si>
  <si>
    <t>Süd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</si>
</sst>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2">
    <cellStyle name="Standard" xfId="0" builtinId="0"/>
    <cellStyle name="Standard 10" xfId="1" xr:uid="{50ADE0EE-CCC8-46E6-9EA4-6D7C4C377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3DE5-DE93-44A5-BA08-250CE9FD6401}">
  <dimension ref="A1:Y686"/>
  <sheetViews>
    <sheetView tabSelected="1" zoomScale="84" workbookViewId="0">
      <selection activeCell="G7" sqref="G7"/>
    </sheetView>
  </sheetViews>
  <sheetFormatPr baseColWidth="10" defaultColWidth="11.453125" defaultRowHeight="14.5" x14ac:dyDescent="0.35"/>
  <cols>
    <col min="2" max="2" width="19.81640625" bestFit="1" customWidth="1"/>
    <col min="3" max="3" width="16.1796875" customWidth="1"/>
    <col min="4" max="4" width="0" hidden="1" customWidth="1"/>
    <col min="5" max="5" width="64.26953125" hidden="1" customWidth="1"/>
    <col min="6" max="6" width="54.7265625" hidden="1" customWidth="1"/>
    <col min="7" max="9" width="11.54296875" customWidth="1"/>
    <col min="10" max="10" width="23" bestFit="1" customWidth="1"/>
    <col min="11" max="20" width="11.54296875" customWidth="1"/>
    <col min="22" max="22" width="44.26953125" bestFit="1" customWidth="1"/>
    <col min="23" max="23" width="36.7265625" bestFit="1" customWidth="1"/>
    <col min="24" max="24" width="39.453125" bestFit="1" customWidth="1"/>
    <col min="25" max="25" width="22.7265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tr">
        <f>VLOOKUP(B2,Tabelle3!A:C,2,FALSE)</f>
        <v>Nord</v>
      </c>
      <c r="D2" t="s">
        <v>27</v>
      </c>
      <c r="E2" t="s">
        <v>28</v>
      </c>
      <c r="F2" t="s">
        <v>29</v>
      </c>
      <c r="G2">
        <v>15890</v>
      </c>
      <c r="H2" t="s">
        <v>30</v>
      </c>
      <c r="I2" t="s">
        <v>31</v>
      </c>
      <c r="J2" t="s">
        <v>32</v>
      </c>
      <c r="K2">
        <v>19725</v>
      </c>
      <c r="L2" t="s">
        <v>33</v>
      </c>
      <c r="M2" t="s">
        <v>34</v>
      </c>
      <c r="N2" t="s">
        <v>33</v>
      </c>
      <c r="O2" t="s">
        <v>25</v>
      </c>
      <c r="P2" t="s">
        <v>35</v>
      </c>
      <c r="Q2" t="s">
        <v>33</v>
      </c>
      <c r="R2" t="s">
        <v>36</v>
      </c>
      <c r="S2">
        <v>0.33</v>
      </c>
      <c r="T2" t="s">
        <v>37</v>
      </c>
      <c r="U2">
        <v>89.716999999999999</v>
      </c>
      <c r="V2">
        <v>88.11</v>
      </c>
      <c r="W2">
        <v>76.655699999999996</v>
      </c>
      <c r="X2">
        <v>40.69</v>
      </c>
      <c r="Y2">
        <v>166.54348484848484</v>
      </c>
    </row>
    <row r="3" spans="1:25" x14ac:dyDescent="0.35">
      <c r="A3" t="s">
        <v>25</v>
      </c>
      <c r="B3" t="s">
        <v>38</v>
      </c>
      <c r="C3" t="str">
        <f>VLOOKUP(B3,Tabelle3!A:C,2,FALSE)</f>
        <v>Nord</v>
      </c>
      <c r="D3" t="s">
        <v>27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32</v>
      </c>
      <c r="K3">
        <v>35769</v>
      </c>
      <c r="L3" t="s">
        <v>33</v>
      </c>
      <c r="M3" t="s">
        <v>34</v>
      </c>
      <c r="N3" t="s">
        <v>33</v>
      </c>
      <c r="O3" t="s">
        <v>44</v>
      </c>
      <c r="P3" t="s">
        <v>45</v>
      </c>
      <c r="Q3" t="s">
        <v>33</v>
      </c>
      <c r="R3" t="s">
        <v>46</v>
      </c>
      <c r="S3">
        <v>0.51300000000000001</v>
      </c>
      <c r="T3" t="s">
        <v>47</v>
      </c>
      <c r="U3">
        <v>12.3</v>
      </c>
      <c r="V3">
        <v>12</v>
      </c>
      <c r="W3">
        <v>10.44</v>
      </c>
      <c r="X3">
        <v>40.69</v>
      </c>
      <c r="Y3">
        <v>107.98996101364521</v>
      </c>
    </row>
    <row r="4" spans="1:25" x14ac:dyDescent="0.35">
      <c r="A4" t="s">
        <v>25</v>
      </c>
      <c r="B4" t="s">
        <v>48</v>
      </c>
      <c r="C4" t="str">
        <f>VLOOKUP(B4,Tabelle3!A:C,2,FALSE)</f>
        <v>Nord</v>
      </c>
      <c r="D4" t="s">
        <v>27</v>
      </c>
      <c r="E4" t="s">
        <v>39</v>
      </c>
      <c r="F4" t="s">
        <v>49</v>
      </c>
      <c r="G4" t="s">
        <v>41</v>
      </c>
      <c r="H4" t="s">
        <v>42</v>
      </c>
      <c r="I4" t="s">
        <v>43</v>
      </c>
      <c r="J4" t="s">
        <v>32</v>
      </c>
      <c r="K4">
        <v>34666</v>
      </c>
      <c r="L4" t="s">
        <v>33</v>
      </c>
      <c r="M4" t="s">
        <v>34</v>
      </c>
      <c r="N4" t="s">
        <v>33</v>
      </c>
      <c r="O4" t="s">
        <v>25</v>
      </c>
      <c r="P4" t="s">
        <v>50</v>
      </c>
      <c r="Q4" t="s">
        <v>33</v>
      </c>
      <c r="R4" t="s">
        <v>46</v>
      </c>
      <c r="S4">
        <v>0.51300000000000001</v>
      </c>
      <c r="T4" t="s">
        <v>47</v>
      </c>
      <c r="U4">
        <v>25.84</v>
      </c>
      <c r="V4">
        <v>25.516999999999999</v>
      </c>
      <c r="W4">
        <v>22.19979</v>
      </c>
      <c r="X4">
        <v>40.69</v>
      </c>
      <c r="Y4">
        <v>107.98996101364521</v>
      </c>
    </row>
    <row r="5" spans="1:25" x14ac:dyDescent="0.35">
      <c r="A5" t="s">
        <v>25</v>
      </c>
      <c r="B5" t="s">
        <v>51</v>
      </c>
      <c r="C5" t="str">
        <f>VLOOKUP(B5,Tabelle3!A:C,2,FALSE)</f>
        <v>Nord</v>
      </c>
      <c r="D5" t="s">
        <v>27</v>
      </c>
      <c r="E5" t="s">
        <v>39</v>
      </c>
      <c r="F5" t="s">
        <v>52</v>
      </c>
      <c r="G5" t="s">
        <v>41</v>
      </c>
      <c r="H5" t="s">
        <v>42</v>
      </c>
      <c r="I5" t="s">
        <v>43</v>
      </c>
      <c r="J5" t="s">
        <v>32</v>
      </c>
      <c r="K5">
        <v>34666</v>
      </c>
      <c r="L5" t="s">
        <v>33</v>
      </c>
      <c r="M5" t="s">
        <v>34</v>
      </c>
      <c r="N5" t="s">
        <v>33</v>
      </c>
      <c r="O5" t="s">
        <v>25</v>
      </c>
      <c r="P5" t="s">
        <v>35</v>
      </c>
      <c r="Q5" t="s">
        <v>33</v>
      </c>
      <c r="R5" t="s">
        <v>36</v>
      </c>
      <c r="S5">
        <v>0.51300000000000001</v>
      </c>
      <c r="T5" t="s">
        <v>47</v>
      </c>
      <c r="U5">
        <v>40.94</v>
      </c>
      <c r="V5">
        <v>40.427999999999997</v>
      </c>
      <c r="W5">
        <v>35.172359999999998</v>
      </c>
      <c r="X5">
        <v>40.69</v>
      </c>
      <c r="Y5">
        <v>107.48996101364521</v>
      </c>
    </row>
    <row r="6" spans="1:25" x14ac:dyDescent="0.35">
      <c r="A6" t="s">
        <v>25</v>
      </c>
      <c r="B6" t="s">
        <v>53</v>
      </c>
      <c r="C6" t="str">
        <f>VLOOKUP(B6,Tabelle3!A:C,2,FALSE)</f>
        <v>Nord</v>
      </c>
      <c r="D6" t="s">
        <v>27</v>
      </c>
      <c r="E6" t="s">
        <v>39</v>
      </c>
      <c r="F6" t="s">
        <v>54</v>
      </c>
      <c r="G6" t="s">
        <v>41</v>
      </c>
      <c r="H6" t="s">
        <v>42</v>
      </c>
      <c r="I6" t="s">
        <v>43</v>
      </c>
      <c r="J6" t="s">
        <v>32</v>
      </c>
      <c r="K6">
        <v>34666</v>
      </c>
      <c r="L6" t="s">
        <v>33</v>
      </c>
      <c r="M6" t="s">
        <v>34</v>
      </c>
      <c r="N6" t="s">
        <v>33</v>
      </c>
      <c r="O6" t="s">
        <v>25</v>
      </c>
      <c r="P6" t="s">
        <v>35</v>
      </c>
      <c r="Q6" t="s">
        <v>33</v>
      </c>
      <c r="R6" t="s">
        <v>36</v>
      </c>
      <c r="S6">
        <v>0.51300000000000001</v>
      </c>
      <c r="T6" t="s">
        <v>47</v>
      </c>
      <c r="U6">
        <v>52</v>
      </c>
      <c r="V6">
        <v>51.35</v>
      </c>
      <c r="W6">
        <v>44.674500000000002</v>
      </c>
      <c r="X6">
        <v>40.69</v>
      </c>
      <c r="Y6">
        <v>107.48996101364521</v>
      </c>
    </row>
    <row r="7" spans="1:25" x14ac:dyDescent="0.35">
      <c r="A7" t="s">
        <v>25</v>
      </c>
      <c r="B7" t="s">
        <v>55</v>
      </c>
      <c r="C7" t="s">
        <v>4080</v>
      </c>
      <c r="D7" t="s">
        <v>27</v>
      </c>
      <c r="E7" t="s">
        <v>56</v>
      </c>
      <c r="F7" t="s">
        <v>57</v>
      </c>
      <c r="G7">
        <v>13353</v>
      </c>
      <c r="H7" t="s">
        <v>58</v>
      </c>
      <c r="I7" t="s">
        <v>59</v>
      </c>
      <c r="J7" t="s">
        <v>58</v>
      </c>
      <c r="K7">
        <v>26236</v>
      </c>
      <c r="L7" t="s">
        <v>60</v>
      </c>
      <c r="M7" t="s">
        <v>61</v>
      </c>
      <c r="N7" t="s">
        <v>60</v>
      </c>
      <c r="O7" t="s">
        <v>44</v>
      </c>
      <c r="P7" t="s">
        <v>62</v>
      </c>
      <c r="Q7" t="s">
        <v>63</v>
      </c>
      <c r="R7" t="s">
        <v>63</v>
      </c>
      <c r="S7">
        <v>0.30459999999999998</v>
      </c>
      <c r="T7" t="s">
        <v>47</v>
      </c>
      <c r="U7">
        <v>17</v>
      </c>
      <c r="V7">
        <v>17</v>
      </c>
      <c r="W7">
        <v>14.45</v>
      </c>
      <c r="X7">
        <v>95.89</v>
      </c>
      <c r="Y7">
        <v>379.55548260013137</v>
      </c>
    </row>
    <row r="8" spans="1:25" x14ac:dyDescent="0.35">
      <c r="A8" t="s">
        <v>25</v>
      </c>
      <c r="B8" t="s">
        <v>64</v>
      </c>
      <c r="C8" t="s">
        <v>4080</v>
      </c>
      <c r="D8" t="s">
        <v>27</v>
      </c>
      <c r="E8" t="s">
        <v>56</v>
      </c>
      <c r="F8" t="s">
        <v>65</v>
      </c>
      <c r="G8">
        <v>13353</v>
      </c>
      <c r="H8" t="s">
        <v>58</v>
      </c>
      <c r="I8" t="s">
        <v>59</v>
      </c>
      <c r="J8" t="s">
        <v>58</v>
      </c>
      <c r="K8">
        <v>26264</v>
      </c>
      <c r="L8" t="s">
        <v>60</v>
      </c>
      <c r="M8" t="s">
        <v>61</v>
      </c>
      <c r="N8" t="s">
        <v>60</v>
      </c>
      <c r="O8" t="s">
        <v>44</v>
      </c>
      <c r="P8" t="s">
        <v>62</v>
      </c>
      <c r="Q8" t="s">
        <v>63</v>
      </c>
      <c r="R8" t="s">
        <v>63</v>
      </c>
      <c r="S8">
        <v>0.30459999999999998</v>
      </c>
      <c r="T8" t="s">
        <v>47</v>
      </c>
      <c r="U8">
        <v>17</v>
      </c>
      <c r="V8">
        <v>17</v>
      </c>
      <c r="W8">
        <v>14.45</v>
      </c>
      <c r="X8">
        <v>95.89</v>
      </c>
      <c r="Y8">
        <v>379.55548260013137</v>
      </c>
    </row>
    <row r="9" spans="1:25" x14ac:dyDescent="0.35">
      <c r="A9" t="s">
        <v>25</v>
      </c>
      <c r="B9" t="s">
        <v>66</v>
      </c>
      <c r="C9" t="str">
        <f>VLOOKUP(B9,Tabelle3!A:C,2,FALSE)</f>
        <v>Nord</v>
      </c>
      <c r="D9" t="s">
        <v>27</v>
      </c>
      <c r="E9" t="s">
        <v>56</v>
      </c>
      <c r="F9" t="s">
        <v>67</v>
      </c>
      <c r="G9">
        <v>13599</v>
      </c>
      <c r="H9" t="s">
        <v>58</v>
      </c>
      <c r="I9" t="s">
        <v>68</v>
      </c>
      <c r="J9" t="s">
        <v>58</v>
      </c>
      <c r="K9">
        <v>35830</v>
      </c>
      <c r="L9" t="s">
        <v>69</v>
      </c>
      <c r="M9" t="s">
        <v>70</v>
      </c>
      <c r="N9" t="s">
        <v>69</v>
      </c>
      <c r="O9" t="s">
        <v>25</v>
      </c>
      <c r="P9" t="s">
        <v>50</v>
      </c>
      <c r="Q9" t="s">
        <v>71</v>
      </c>
      <c r="R9" t="s">
        <v>71</v>
      </c>
      <c r="S9">
        <v>0.33</v>
      </c>
      <c r="T9" t="s">
        <v>47</v>
      </c>
      <c r="U9">
        <v>36.36</v>
      </c>
      <c r="V9">
        <v>36</v>
      </c>
      <c r="W9">
        <v>30.599999999999998</v>
      </c>
      <c r="X9">
        <v>95.59</v>
      </c>
      <c r="Y9">
        <v>335.6390909090909</v>
      </c>
    </row>
    <row r="10" spans="1:25" x14ac:dyDescent="0.35">
      <c r="A10" t="s">
        <v>25</v>
      </c>
      <c r="B10" t="s">
        <v>72</v>
      </c>
      <c r="C10" t="s">
        <v>4080</v>
      </c>
      <c r="D10" t="s">
        <v>27</v>
      </c>
      <c r="E10" t="s">
        <v>56</v>
      </c>
      <c r="F10" t="s">
        <v>73</v>
      </c>
      <c r="G10">
        <v>10317</v>
      </c>
      <c r="H10" t="s">
        <v>58</v>
      </c>
      <c r="I10" t="s">
        <v>74</v>
      </c>
      <c r="J10" t="s">
        <v>58</v>
      </c>
      <c r="K10">
        <v>29811</v>
      </c>
      <c r="L10" t="s">
        <v>33</v>
      </c>
      <c r="M10" t="s">
        <v>34</v>
      </c>
      <c r="N10" t="s">
        <v>33</v>
      </c>
      <c r="O10" t="s">
        <v>25</v>
      </c>
      <c r="P10" t="s">
        <v>50</v>
      </c>
      <c r="Q10" t="s">
        <v>33</v>
      </c>
      <c r="R10" t="s">
        <v>46</v>
      </c>
      <c r="S10">
        <v>0.4037</v>
      </c>
      <c r="T10" t="s">
        <v>47</v>
      </c>
      <c r="U10">
        <v>60</v>
      </c>
      <c r="V10">
        <v>52</v>
      </c>
      <c r="W10">
        <v>45.24</v>
      </c>
      <c r="X10">
        <v>40.69</v>
      </c>
      <c r="Y10">
        <v>136.82164973990587</v>
      </c>
    </row>
    <row r="11" spans="1:25" x14ac:dyDescent="0.35">
      <c r="A11" t="s">
        <v>25</v>
      </c>
      <c r="B11" t="s">
        <v>75</v>
      </c>
      <c r="C11" t="s">
        <v>4080</v>
      </c>
      <c r="D11" t="s">
        <v>27</v>
      </c>
      <c r="E11" t="s">
        <v>56</v>
      </c>
      <c r="F11" t="s">
        <v>76</v>
      </c>
      <c r="G11">
        <v>10317</v>
      </c>
      <c r="H11" t="s">
        <v>58</v>
      </c>
      <c r="I11" t="s">
        <v>74</v>
      </c>
      <c r="J11" t="s">
        <v>58</v>
      </c>
      <c r="K11">
        <v>29914</v>
      </c>
      <c r="L11" t="s">
        <v>33</v>
      </c>
      <c r="M11" t="s">
        <v>34</v>
      </c>
      <c r="N11" t="s">
        <v>33</v>
      </c>
      <c r="O11" t="s">
        <v>25</v>
      </c>
      <c r="P11" t="s">
        <v>50</v>
      </c>
      <c r="Q11" t="s">
        <v>33</v>
      </c>
      <c r="R11" t="s">
        <v>46</v>
      </c>
      <c r="S11">
        <v>0.4037</v>
      </c>
      <c r="T11" t="s">
        <v>47</v>
      </c>
      <c r="U11">
        <v>64</v>
      </c>
      <c r="V11">
        <v>56</v>
      </c>
      <c r="W11">
        <v>48.72</v>
      </c>
      <c r="X11">
        <v>40.69</v>
      </c>
      <c r="Y11">
        <v>136.82164973990587</v>
      </c>
    </row>
    <row r="12" spans="1:25" x14ac:dyDescent="0.35">
      <c r="A12" t="s">
        <v>25</v>
      </c>
      <c r="B12" t="s">
        <v>77</v>
      </c>
      <c r="C12" t="s">
        <v>4080</v>
      </c>
      <c r="D12" t="s">
        <v>27</v>
      </c>
      <c r="E12" t="s">
        <v>56</v>
      </c>
      <c r="F12" t="s">
        <v>78</v>
      </c>
      <c r="G12">
        <v>10317</v>
      </c>
      <c r="H12" t="s">
        <v>58</v>
      </c>
      <c r="I12" t="s">
        <v>74</v>
      </c>
      <c r="J12" t="s">
        <v>58</v>
      </c>
      <c r="K12">
        <v>30182</v>
      </c>
      <c r="L12" t="s">
        <v>33</v>
      </c>
      <c r="M12" t="s">
        <v>34</v>
      </c>
      <c r="N12" t="s">
        <v>33</v>
      </c>
      <c r="O12" t="s">
        <v>25</v>
      </c>
      <c r="P12" t="s">
        <v>50</v>
      </c>
      <c r="Q12" t="s">
        <v>33</v>
      </c>
      <c r="R12" t="s">
        <v>46</v>
      </c>
      <c r="S12">
        <v>0.4037</v>
      </c>
      <c r="T12" t="s">
        <v>47</v>
      </c>
      <c r="U12">
        <v>64</v>
      </c>
      <c r="V12">
        <v>56</v>
      </c>
      <c r="W12">
        <v>48.72</v>
      </c>
      <c r="X12">
        <v>40.69</v>
      </c>
      <c r="Y12">
        <v>136.82164973990587</v>
      </c>
    </row>
    <row r="13" spans="1:25" x14ac:dyDescent="0.35">
      <c r="A13" t="s">
        <v>25</v>
      </c>
      <c r="B13" t="s">
        <v>79</v>
      </c>
      <c r="C13" t="str">
        <f>VLOOKUP(B13,Tabelle3!A:C,2,FALSE)</f>
        <v>Nord</v>
      </c>
      <c r="D13" t="s">
        <v>27</v>
      </c>
      <c r="E13" t="s">
        <v>56</v>
      </c>
      <c r="F13" t="s">
        <v>80</v>
      </c>
      <c r="G13">
        <v>12681</v>
      </c>
      <c r="H13" t="s">
        <v>58</v>
      </c>
      <c r="I13" t="s">
        <v>81</v>
      </c>
      <c r="J13" t="s">
        <v>58</v>
      </c>
      <c r="K13">
        <v>43958</v>
      </c>
      <c r="L13" t="s">
        <v>69</v>
      </c>
      <c r="M13" t="s">
        <v>70</v>
      </c>
      <c r="N13" t="s">
        <v>69</v>
      </c>
      <c r="O13" t="s">
        <v>25</v>
      </c>
      <c r="P13" t="s">
        <v>82</v>
      </c>
      <c r="Q13" t="s">
        <v>71</v>
      </c>
      <c r="R13" t="s">
        <v>71</v>
      </c>
      <c r="S13">
        <v>0.36499999999999999</v>
      </c>
      <c r="T13" t="s">
        <v>83</v>
      </c>
      <c r="U13">
        <v>70.5</v>
      </c>
      <c r="V13">
        <v>69.3</v>
      </c>
      <c r="W13">
        <v>58.904999999999994</v>
      </c>
      <c r="X13">
        <v>95.59</v>
      </c>
      <c r="Y13">
        <v>303.55041095890408</v>
      </c>
    </row>
    <row r="14" spans="1:25" x14ac:dyDescent="0.35">
      <c r="A14" t="s">
        <v>25</v>
      </c>
      <c r="B14" t="s">
        <v>84</v>
      </c>
      <c r="C14" t="s">
        <v>4080</v>
      </c>
      <c r="D14" t="s">
        <v>27</v>
      </c>
      <c r="E14" t="s">
        <v>56</v>
      </c>
      <c r="F14" t="s">
        <v>85</v>
      </c>
      <c r="G14">
        <v>10589</v>
      </c>
      <c r="H14" t="s">
        <v>58</v>
      </c>
      <c r="I14" t="s">
        <v>86</v>
      </c>
      <c r="J14" t="s">
        <v>58</v>
      </c>
      <c r="K14">
        <v>27793</v>
      </c>
      <c r="L14" t="s">
        <v>33</v>
      </c>
      <c r="M14" t="s">
        <v>34</v>
      </c>
      <c r="N14" t="s">
        <v>33</v>
      </c>
      <c r="O14" t="s">
        <v>25</v>
      </c>
      <c r="P14" t="s">
        <v>87</v>
      </c>
      <c r="Q14" t="s">
        <v>33</v>
      </c>
      <c r="R14" t="s">
        <v>46</v>
      </c>
      <c r="S14">
        <v>0.35749999999999998</v>
      </c>
      <c r="T14" t="s">
        <v>47</v>
      </c>
      <c r="U14">
        <v>73</v>
      </c>
      <c r="V14">
        <v>72</v>
      </c>
      <c r="W14">
        <v>62.64</v>
      </c>
      <c r="X14">
        <v>40.69</v>
      </c>
      <c r="Y14">
        <v>154.30937062937062</v>
      </c>
    </row>
    <row r="15" spans="1:25" x14ac:dyDescent="0.35">
      <c r="A15" t="s">
        <v>25</v>
      </c>
      <c r="B15" t="s">
        <v>88</v>
      </c>
      <c r="C15" t="s">
        <v>4080</v>
      </c>
      <c r="D15" t="s">
        <v>27</v>
      </c>
      <c r="E15" t="s">
        <v>56</v>
      </c>
      <c r="F15" t="s">
        <v>89</v>
      </c>
      <c r="G15">
        <v>10589</v>
      </c>
      <c r="H15" t="s">
        <v>58</v>
      </c>
      <c r="I15" t="s">
        <v>86</v>
      </c>
      <c r="J15" t="s">
        <v>58</v>
      </c>
      <c r="K15">
        <v>27992</v>
      </c>
      <c r="L15" t="s">
        <v>33</v>
      </c>
      <c r="M15" t="s">
        <v>34</v>
      </c>
      <c r="N15" t="s">
        <v>33</v>
      </c>
      <c r="O15" t="s">
        <v>25</v>
      </c>
      <c r="P15" t="s">
        <v>87</v>
      </c>
      <c r="Q15" t="s">
        <v>33</v>
      </c>
      <c r="R15" t="s">
        <v>46</v>
      </c>
      <c r="S15">
        <v>0.35749999999999998</v>
      </c>
      <c r="T15" t="s">
        <v>47</v>
      </c>
      <c r="U15">
        <v>73</v>
      </c>
      <c r="V15">
        <v>72</v>
      </c>
      <c r="W15">
        <v>62.64</v>
      </c>
      <c r="X15">
        <v>40.69</v>
      </c>
      <c r="Y15">
        <v>154.30937062937062</v>
      </c>
    </row>
    <row r="16" spans="1:25" x14ac:dyDescent="0.35">
      <c r="A16" t="s">
        <v>25</v>
      </c>
      <c r="B16" t="s">
        <v>90</v>
      </c>
      <c r="C16" t="s">
        <v>4080</v>
      </c>
      <c r="D16" t="s">
        <v>27</v>
      </c>
      <c r="E16" t="s">
        <v>56</v>
      </c>
      <c r="F16" t="s">
        <v>91</v>
      </c>
      <c r="G16">
        <v>13353</v>
      </c>
      <c r="H16" t="s">
        <v>58</v>
      </c>
      <c r="I16" t="s">
        <v>59</v>
      </c>
      <c r="J16" t="s">
        <v>58</v>
      </c>
      <c r="K16">
        <v>32931</v>
      </c>
      <c r="L16" t="s">
        <v>92</v>
      </c>
      <c r="M16" t="s">
        <v>93</v>
      </c>
      <c r="N16" t="s">
        <v>92</v>
      </c>
      <c r="O16" t="s">
        <v>25</v>
      </c>
      <c r="P16" t="s">
        <v>82</v>
      </c>
      <c r="Q16" t="s">
        <v>92</v>
      </c>
      <c r="R16" t="s">
        <v>92</v>
      </c>
      <c r="S16">
        <v>0.4</v>
      </c>
      <c r="T16" t="s">
        <v>47</v>
      </c>
      <c r="U16">
        <v>100</v>
      </c>
      <c r="V16">
        <v>89</v>
      </c>
      <c r="W16">
        <v>71.2</v>
      </c>
      <c r="X16">
        <v>15.55</v>
      </c>
      <c r="Y16">
        <v>98.602374999999995</v>
      </c>
    </row>
    <row r="17" spans="1:25" x14ac:dyDescent="0.35">
      <c r="A17" t="s">
        <v>25</v>
      </c>
      <c r="B17" t="s">
        <v>94</v>
      </c>
      <c r="C17" t="str">
        <f>VLOOKUP(B17,Tabelle3!A:C,2,FALSE)</f>
        <v>Nord</v>
      </c>
      <c r="D17" t="s">
        <v>27</v>
      </c>
      <c r="E17" t="s">
        <v>56</v>
      </c>
      <c r="F17" t="s">
        <v>95</v>
      </c>
      <c r="G17">
        <v>12207</v>
      </c>
      <c r="H17" t="s">
        <v>58</v>
      </c>
      <c r="I17" t="s">
        <v>96</v>
      </c>
      <c r="J17" t="s">
        <v>58</v>
      </c>
      <c r="K17">
        <v>43566</v>
      </c>
      <c r="L17" t="s">
        <v>69</v>
      </c>
      <c r="M17" t="s">
        <v>70</v>
      </c>
      <c r="N17" t="s">
        <v>69</v>
      </c>
      <c r="O17" t="s">
        <v>25</v>
      </c>
      <c r="P17" t="s">
        <v>82</v>
      </c>
      <c r="Q17" t="s">
        <v>71</v>
      </c>
      <c r="R17" t="s">
        <v>71</v>
      </c>
      <c r="S17">
        <v>0.40589999999999998</v>
      </c>
      <c r="T17" t="s">
        <v>47</v>
      </c>
      <c r="U17">
        <v>125</v>
      </c>
      <c r="V17">
        <v>115</v>
      </c>
      <c r="W17">
        <v>97.75</v>
      </c>
      <c r="X17">
        <v>95.59</v>
      </c>
      <c r="Y17">
        <v>273.06430155210643</v>
      </c>
    </row>
    <row r="18" spans="1:25" x14ac:dyDescent="0.35">
      <c r="A18" t="s">
        <v>25</v>
      </c>
      <c r="B18" t="s">
        <v>97</v>
      </c>
      <c r="C18" t="str">
        <f>VLOOKUP(B18,Tabelle3!A:C,2,FALSE)</f>
        <v>Nord</v>
      </c>
      <c r="D18" t="s">
        <v>27</v>
      </c>
      <c r="E18" t="s">
        <v>56</v>
      </c>
      <c r="F18" t="s">
        <v>98</v>
      </c>
      <c r="G18">
        <v>10179</v>
      </c>
      <c r="H18" t="s">
        <v>58</v>
      </c>
      <c r="I18" t="s">
        <v>99</v>
      </c>
      <c r="J18" t="s">
        <v>58</v>
      </c>
      <c r="K18">
        <v>35681</v>
      </c>
      <c r="L18" t="s">
        <v>69</v>
      </c>
      <c r="M18" t="s">
        <v>70</v>
      </c>
      <c r="N18" t="s">
        <v>69</v>
      </c>
      <c r="O18" t="s">
        <v>25</v>
      </c>
      <c r="P18" t="s">
        <v>50</v>
      </c>
      <c r="Q18" t="s">
        <v>71</v>
      </c>
      <c r="R18" t="s">
        <v>71</v>
      </c>
      <c r="S18">
        <v>0.49</v>
      </c>
      <c r="T18" t="s">
        <v>47</v>
      </c>
      <c r="U18">
        <v>117.16</v>
      </c>
      <c r="V18">
        <v>116</v>
      </c>
      <c r="W18">
        <v>98.6</v>
      </c>
      <c r="X18">
        <v>95.59</v>
      </c>
      <c r="Y18">
        <v>226.36918367346939</v>
      </c>
    </row>
    <row r="19" spans="1:25" x14ac:dyDescent="0.35">
      <c r="A19" t="s">
        <v>25</v>
      </c>
      <c r="B19" t="s">
        <v>100</v>
      </c>
      <c r="C19" t="str">
        <f>VLOOKUP(B19,Tabelle3!A:C,2,FALSE)</f>
        <v>Nord</v>
      </c>
      <c r="D19" t="s">
        <v>27</v>
      </c>
      <c r="E19" t="s">
        <v>56</v>
      </c>
      <c r="F19" t="s">
        <v>101</v>
      </c>
      <c r="G19">
        <v>10179</v>
      </c>
      <c r="H19" t="s">
        <v>58</v>
      </c>
      <c r="I19" t="s">
        <v>99</v>
      </c>
      <c r="J19" t="s">
        <v>58</v>
      </c>
      <c r="K19">
        <v>35681</v>
      </c>
      <c r="L19" t="s">
        <v>33</v>
      </c>
      <c r="M19" t="s">
        <v>34</v>
      </c>
      <c r="N19" t="s">
        <v>33</v>
      </c>
      <c r="O19" t="s">
        <v>25</v>
      </c>
      <c r="P19" t="s">
        <v>87</v>
      </c>
      <c r="Q19" t="s">
        <v>33</v>
      </c>
      <c r="R19" t="s">
        <v>46</v>
      </c>
      <c r="S19">
        <v>0.49</v>
      </c>
      <c r="T19" t="s">
        <v>47</v>
      </c>
      <c r="U19">
        <v>172</v>
      </c>
      <c r="V19">
        <v>164</v>
      </c>
      <c r="W19">
        <v>142.68</v>
      </c>
      <c r="X19">
        <v>40.69</v>
      </c>
      <c r="Y19">
        <v>112.98846938775509</v>
      </c>
    </row>
    <row r="20" spans="1:25" x14ac:dyDescent="0.35">
      <c r="A20" t="s">
        <v>25</v>
      </c>
      <c r="B20" t="s">
        <v>102</v>
      </c>
      <c r="C20" t="str">
        <f>VLOOKUP(B20,Tabelle3!A:C,2,FALSE)</f>
        <v>Nord</v>
      </c>
      <c r="D20" t="s">
        <v>27</v>
      </c>
      <c r="E20" t="s">
        <v>56</v>
      </c>
      <c r="F20" t="s">
        <v>103</v>
      </c>
      <c r="G20">
        <v>10179</v>
      </c>
      <c r="H20" t="s">
        <v>58</v>
      </c>
      <c r="I20" t="s">
        <v>99</v>
      </c>
      <c r="J20" t="s">
        <v>58</v>
      </c>
      <c r="K20">
        <v>35681</v>
      </c>
      <c r="L20" t="s">
        <v>33</v>
      </c>
      <c r="M20" t="s">
        <v>34</v>
      </c>
      <c r="N20" t="s">
        <v>33</v>
      </c>
      <c r="O20" t="s">
        <v>25</v>
      </c>
      <c r="P20" t="s">
        <v>87</v>
      </c>
      <c r="Q20" t="s">
        <v>33</v>
      </c>
      <c r="R20" t="s">
        <v>46</v>
      </c>
      <c r="S20">
        <v>0.49</v>
      </c>
      <c r="T20" t="s">
        <v>47</v>
      </c>
      <c r="U20">
        <v>172</v>
      </c>
      <c r="V20">
        <v>164</v>
      </c>
      <c r="W20">
        <v>142.68</v>
      </c>
      <c r="X20">
        <v>40.69</v>
      </c>
      <c r="Y20">
        <v>112.98846938775509</v>
      </c>
    </row>
    <row r="21" spans="1:25" x14ac:dyDescent="0.35">
      <c r="A21" t="s">
        <v>25</v>
      </c>
      <c r="B21" t="s">
        <v>104</v>
      </c>
      <c r="C21" t="str">
        <f>VLOOKUP(B21,Tabelle3!A:C,2,FALSE)</f>
        <v>Nord</v>
      </c>
      <c r="D21" t="s">
        <v>27</v>
      </c>
      <c r="E21" t="s">
        <v>56</v>
      </c>
      <c r="F21" t="s">
        <v>105</v>
      </c>
      <c r="G21">
        <v>12207</v>
      </c>
      <c r="H21" t="s">
        <v>58</v>
      </c>
      <c r="I21" t="s">
        <v>96</v>
      </c>
      <c r="J21" t="s">
        <v>58</v>
      </c>
      <c r="K21">
        <v>43566</v>
      </c>
      <c r="L21" t="s">
        <v>33</v>
      </c>
      <c r="M21" t="s">
        <v>34</v>
      </c>
      <c r="N21" t="s">
        <v>33</v>
      </c>
      <c r="O21" t="s">
        <v>25</v>
      </c>
      <c r="P21" t="s">
        <v>82</v>
      </c>
      <c r="Q21" t="s">
        <v>33</v>
      </c>
      <c r="R21" t="s">
        <v>46</v>
      </c>
      <c r="S21">
        <v>0.40589999999999998</v>
      </c>
      <c r="T21" t="s">
        <v>47</v>
      </c>
      <c r="U21">
        <v>190</v>
      </c>
      <c r="V21">
        <v>185</v>
      </c>
      <c r="W21">
        <v>160.94999999999999</v>
      </c>
      <c r="X21">
        <v>40.69</v>
      </c>
      <c r="Y21">
        <v>136.08819906380882</v>
      </c>
    </row>
    <row r="22" spans="1:25" x14ac:dyDescent="0.35">
      <c r="A22" t="s">
        <v>25</v>
      </c>
      <c r="B22" t="s">
        <v>106</v>
      </c>
      <c r="C22" t="str">
        <f>VLOOKUP(B22,Tabelle3!A:C,2,FALSE)</f>
        <v>Nord</v>
      </c>
      <c r="D22" t="s">
        <v>27</v>
      </c>
      <c r="E22" t="s">
        <v>56</v>
      </c>
      <c r="F22" t="s">
        <v>107</v>
      </c>
      <c r="G22">
        <v>12681</v>
      </c>
      <c r="H22" t="s">
        <v>58</v>
      </c>
      <c r="I22" t="s">
        <v>81</v>
      </c>
      <c r="J22" t="s">
        <v>58</v>
      </c>
      <c r="K22">
        <v>43958</v>
      </c>
      <c r="L22" t="s">
        <v>33</v>
      </c>
      <c r="M22" t="s">
        <v>34</v>
      </c>
      <c r="N22" t="s">
        <v>33</v>
      </c>
      <c r="O22" t="s">
        <v>25</v>
      </c>
      <c r="P22" t="s">
        <v>35</v>
      </c>
      <c r="Q22" t="s">
        <v>33</v>
      </c>
      <c r="R22" t="s">
        <v>36</v>
      </c>
      <c r="S22">
        <v>0.6</v>
      </c>
      <c r="T22" t="s">
        <v>108</v>
      </c>
      <c r="U22">
        <v>196</v>
      </c>
      <c r="V22">
        <v>189.5</v>
      </c>
      <c r="W22">
        <v>164.86500000000001</v>
      </c>
      <c r="X22">
        <v>40.69</v>
      </c>
      <c r="Y22">
        <v>92.048916666666656</v>
      </c>
    </row>
    <row r="23" spans="1:25" x14ac:dyDescent="0.35">
      <c r="A23" t="s">
        <v>25</v>
      </c>
      <c r="B23" t="s">
        <v>109</v>
      </c>
      <c r="C23" t="s">
        <v>4080</v>
      </c>
      <c r="D23" t="s">
        <v>27</v>
      </c>
      <c r="E23" t="s">
        <v>56</v>
      </c>
      <c r="F23" t="s">
        <v>110</v>
      </c>
      <c r="G23">
        <v>13599</v>
      </c>
      <c r="H23" t="s">
        <v>58</v>
      </c>
      <c r="I23" t="s">
        <v>111</v>
      </c>
      <c r="J23" t="s">
        <v>58</v>
      </c>
      <c r="K23">
        <v>32356</v>
      </c>
      <c r="L23" t="s">
        <v>92</v>
      </c>
      <c r="M23" t="s">
        <v>93</v>
      </c>
      <c r="N23" t="s">
        <v>92</v>
      </c>
      <c r="O23" t="s">
        <v>25</v>
      </c>
      <c r="P23" t="s">
        <v>82</v>
      </c>
      <c r="Q23" t="s">
        <v>92</v>
      </c>
      <c r="R23" t="s">
        <v>92</v>
      </c>
      <c r="S23">
        <v>0.4</v>
      </c>
      <c r="T23" t="s">
        <v>47</v>
      </c>
      <c r="U23">
        <v>300</v>
      </c>
      <c r="V23">
        <v>282</v>
      </c>
      <c r="W23">
        <v>225.60000000000002</v>
      </c>
      <c r="X23">
        <v>15.55</v>
      </c>
      <c r="Y23">
        <v>98.602374999999995</v>
      </c>
    </row>
    <row r="24" spans="1:25" x14ac:dyDescent="0.35">
      <c r="A24" t="s">
        <v>25</v>
      </c>
      <c r="B24" t="s">
        <v>112</v>
      </c>
      <c r="C24" t="s">
        <v>4080</v>
      </c>
      <c r="D24" t="s">
        <v>27</v>
      </c>
      <c r="E24" t="s">
        <v>56</v>
      </c>
      <c r="F24" t="s">
        <v>113</v>
      </c>
      <c r="G24">
        <v>13599</v>
      </c>
      <c r="H24" t="s">
        <v>58</v>
      </c>
      <c r="I24" t="s">
        <v>111</v>
      </c>
      <c r="J24" t="s">
        <v>58</v>
      </c>
      <c r="K24">
        <v>32125</v>
      </c>
      <c r="L24" t="s">
        <v>92</v>
      </c>
      <c r="M24" t="s">
        <v>93</v>
      </c>
      <c r="N24" t="s">
        <v>92</v>
      </c>
      <c r="O24" t="s">
        <v>25</v>
      </c>
      <c r="P24" t="s">
        <v>82</v>
      </c>
      <c r="Q24" t="s">
        <v>92</v>
      </c>
      <c r="R24" t="s">
        <v>92</v>
      </c>
      <c r="S24">
        <v>0.4</v>
      </c>
      <c r="T24" t="s">
        <v>47</v>
      </c>
      <c r="U24">
        <v>300</v>
      </c>
      <c r="V24">
        <v>282</v>
      </c>
      <c r="W24">
        <v>225.60000000000002</v>
      </c>
      <c r="X24">
        <v>15.55</v>
      </c>
      <c r="Y24">
        <v>98.602374999999995</v>
      </c>
    </row>
    <row r="25" spans="1:25" x14ac:dyDescent="0.35">
      <c r="A25" t="s">
        <v>25</v>
      </c>
      <c r="B25" t="s">
        <v>114</v>
      </c>
      <c r="C25" t="str">
        <f>VLOOKUP(B25,Tabelle3!A:C,2,FALSE)</f>
        <v>Nord</v>
      </c>
      <c r="D25" t="s">
        <v>27</v>
      </c>
      <c r="E25" t="s">
        <v>115</v>
      </c>
      <c r="F25" t="s">
        <v>116</v>
      </c>
      <c r="G25">
        <v>39249</v>
      </c>
      <c r="H25" t="s">
        <v>117</v>
      </c>
      <c r="I25" t="s">
        <v>118</v>
      </c>
      <c r="J25" t="s">
        <v>119</v>
      </c>
      <c r="K25">
        <v>41403</v>
      </c>
      <c r="L25" t="s">
        <v>33</v>
      </c>
      <c r="M25" t="s">
        <v>34</v>
      </c>
      <c r="N25" t="s">
        <v>33</v>
      </c>
      <c r="O25" t="s">
        <v>25</v>
      </c>
      <c r="P25" t="s">
        <v>87</v>
      </c>
      <c r="Q25" t="s">
        <v>33</v>
      </c>
      <c r="R25" t="s">
        <v>46</v>
      </c>
      <c r="S25">
        <v>0.37840000000000001</v>
      </c>
      <c r="T25" t="s">
        <v>47</v>
      </c>
      <c r="U25">
        <v>17.951000000000001</v>
      </c>
      <c r="V25">
        <v>17.78</v>
      </c>
      <c r="W25">
        <v>15.4686</v>
      </c>
      <c r="X25">
        <v>40.69</v>
      </c>
      <c r="Y25">
        <v>145.86931818181816</v>
      </c>
    </row>
    <row r="26" spans="1:25" x14ac:dyDescent="0.35">
      <c r="A26" t="s">
        <v>25</v>
      </c>
      <c r="B26" t="s">
        <v>120</v>
      </c>
      <c r="C26" t="str">
        <f>VLOOKUP(B26,Tabelle3!A:C,2,FALSE)</f>
        <v>Nord</v>
      </c>
      <c r="D26" t="s">
        <v>27</v>
      </c>
      <c r="E26" t="s">
        <v>121</v>
      </c>
      <c r="F26" t="s">
        <v>122</v>
      </c>
      <c r="G26">
        <v>17389</v>
      </c>
      <c r="H26" t="s">
        <v>123</v>
      </c>
      <c r="I26" t="s">
        <v>124</v>
      </c>
      <c r="J26" t="s">
        <v>125</v>
      </c>
      <c r="K26">
        <v>34238</v>
      </c>
      <c r="L26" t="s">
        <v>33</v>
      </c>
      <c r="M26" t="s">
        <v>34</v>
      </c>
      <c r="N26" t="s">
        <v>33</v>
      </c>
      <c r="O26" t="s">
        <v>25</v>
      </c>
      <c r="P26" t="s">
        <v>50</v>
      </c>
      <c r="Q26" t="s">
        <v>33</v>
      </c>
      <c r="R26" t="s">
        <v>46</v>
      </c>
      <c r="S26">
        <v>0.37730000000000002</v>
      </c>
      <c r="T26" t="s">
        <v>47</v>
      </c>
      <c r="U26">
        <v>16</v>
      </c>
      <c r="V26">
        <v>15</v>
      </c>
      <c r="W26">
        <v>13.05</v>
      </c>
      <c r="X26">
        <v>40.69</v>
      </c>
      <c r="Y26">
        <v>146.29021998409752</v>
      </c>
    </row>
    <row r="27" spans="1:25" x14ac:dyDescent="0.35">
      <c r="A27" t="s">
        <v>25</v>
      </c>
      <c r="B27" t="s">
        <v>126</v>
      </c>
      <c r="C27" t="str">
        <f>VLOOKUP(B27,Tabelle3!A:C,2,FALSE)</f>
        <v>Nord</v>
      </c>
      <c r="D27" t="s">
        <v>27</v>
      </c>
      <c r="E27" t="s">
        <v>127</v>
      </c>
      <c r="F27" t="s">
        <v>128</v>
      </c>
      <c r="G27" t="s">
        <v>129</v>
      </c>
      <c r="H27" t="s">
        <v>130</v>
      </c>
      <c r="I27" t="s">
        <v>131</v>
      </c>
      <c r="J27" t="s">
        <v>132</v>
      </c>
      <c r="K27">
        <v>43441</v>
      </c>
      <c r="L27" t="s">
        <v>33</v>
      </c>
      <c r="M27" t="s">
        <v>34</v>
      </c>
      <c r="N27" t="s">
        <v>33</v>
      </c>
      <c r="O27" t="s">
        <v>25</v>
      </c>
      <c r="P27" t="s">
        <v>87</v>
      </c>
      <c r="Q27" t="s">
        <v>33</v>
      </c>
      <c r="R27" t="s">
        <v>46</v>
      </c>
      <c r="S27">
        <v>0.40479999999999999</v>
      </c>
      <c r="T27" t="s">
        <v>47</v>
      </c>
      <c r="U27">
        <v>12</v>
      </c>
      <c r="V27">
        <v>11.5</v>
      </c>
      <c r="W27">
        <v>10.005000000000001</v>
      </c>
      <c r="X27">
        <v>40.69</v>
      </c>
      <c r="Y27">
        <v>136.45392786561266</v>
      </c>
    </row>
    <row r="28" spans="1:25" x14ac:dyDescent="0.35">
      <c r="A28" t="s">
        <v>25</v>
      </c>
      <c r="B28" t="s">
        <v>133</v>
      </c>
      <c r="C28" t="str">
        <f>VLOOKUP(B28,Tabelle3!A:C,2,FALSE)</f>
        <v>Nord</v>
      </c>
      <c r="D28" t="s">
        <v>27</v>
      </c>
      <c r="E28" t="s">
        <v>127</v>
      </c>
      <c r="F28" t="s">
        <v>134</v>
      </c>
      <c r="G28" t="s">
        <v>135</v>
      </c>
      <c r="H28" t="s">
        <v>130</v>
      </c>
      <c r="I28" t="s">
        <v>136</v>
      </c>
      <c r="J28" t="s">
        <v>132</v>
      </c>
      <c r="K28">
        <v>44610</v>
      </c>
      <c r="L28" t="s">
        <v>33</v>
      </c>
      <c r="M28" t="s">
        <v>34</v>
      </c>
      <c r="N28" t="s">
        <v>33</v>
      </c>
      <c r="O28" t="s">
        <v>25</v>
      </c>
      <c r="P28" t="s">
        <v>137</v>
      </c>
      <c r="Q28" t="s">
        <v>33</v>
      </c>
      <c r="R28" t="s">
        <v>46</v>
      </c>
      <c r="S28">
        <v>0.63</v>
      </c>
      <c r="T28" t="s">
        <v>37</v>
      </c>
      <c r="U28">
        <v>11.76</v>
      </c>
      <c r="V28">
        <v>11.5</v>
      </c>
      <c r="W28">
        <v>10.005000000000001</v>
      </c>
      <c r="X28">
        <v>40.69</v>
      </c>
      <c r="Y28">
        <v>88.213253968253966</v>
      </c>
    </row>
    <row r="29" spans="1:25" x14ac:dyDescent="0.35">
      <c r="A29" t="s">
        <v>25</v>
      </c>
      <c r="B29" t="s">
        <v>138</v>
      </c>
      <c r="C29" t="str">
        <f>VLOOKUP(B29,Tabelle3!A:C,2,FALSE)</f>
        <v>Nord</v>
      </c>
      <c r="D29" t="s">
        <v>27</v>
      </c>
      <c r="E29" t="s">
        <v>127</v>
      </c>
      <c r="F29" t="s">
        <v>139</v>
      </c>
      <c r="G29" t="s">
        <v>135</v>
      </c>
      <c r="H29" t="s">
        <v>130</v>
      </c>
      <c r="I29" t="s">
        <v>136</v>
      </c>
      <c r="J29" t="s">
        <v>132</v>
      </c>
      <c r="K29">
        <v>44610</v>
      </c>
      <c r="L29" t="s">
        <v>33</v>
      </c>
      <c r="M29" t="s">
        <v>34</v>
      </c>
      <c r="N29" t="s">
        <v>33</v>
      </c>
      <c r="O29" t="s">
        <v>25</v>
      </c>
      <c r="P29" t="s">
        <v>137</v>
      </c>
      <c r="Q29" t="s">
        <v>33</v>
      </c>
      <c r="R29" t="s">
        <v>46</v>
      </c>
      <c r="S29">
        <v>0.63</v>
      </c>
      <c r="T29" t="s">
        <v>37</v>
      </c>
      <c r="U29">
        <v>11.76</v>
      </c>
      <c r="V29">
        <v>11.5</v>
      </c>
      <c r="W29">
        <v>10.005000000000001</v>
      </c>
      <c r="X29">
        <v>40.69</v>
      </c>
      <c r="Y29">
        <v>88.213253968253966</v>
      </c>
    </row>
    <row r="30" spans="1:25" x14ac:dyDescent="0.35">
      <c r="A30" t="s">
        <v>25</v>
      </c>
      <c r="B30" t="s">
        <v>140</v>
      </c>
      <c r="C30" t="str">
        <f>VLOOKUP(B30,Tabelle3!A:C,2,FALSE)</f>
        <v>Nord</v>
      </c>
      <c r="D30" t="s">
        <v>27</v>
      </c>
      <c r="E30" t="s">
        <v>127</v>
      </c>
      <c r="F30" t="s">
        <v>141</v>
      </c>
      <c r="G30" t="s">
        <v>135</v>
      </c>
      <c r="H30" t="s">
        <v>130</v>
      </c>
      <c r="I30" t="s">
        <v>136</v>
      </c>
      <c r="J30" t="s">
        <v>132</v>
      </c>
      <c r="K30">
        <v>44610</v>
      </c>
      <c r="L30" t="s">
        <v>33</v>
      </c>
      <c r="M30" t="s">
        <v>34</v>
      </c>
      <c r="N30" t="s">
        <v>33</v>
      </c>
      <c r="O30" t="s">
        <v>25</v>
      </c>
      <c r="P30" t="s">
        <v>137</v>
      </c>
      <c r="Q30" t="s">
        <v>33</v>
      </c>
      <c r="R30" t="s">
        <v>46</v>
      </c>
      <c r="S30">
        <v>0.63</v>
      </c>
      <c r="T30" t="s">
        <v>37</v>
      </c>
      <c r="U30">
        <v>11.76</v>
      </c>
      <c r="V30">
        <v>11.5</v>
      </c>
      <c r="W30">
        <v>10.005000000000001</v>
      </c>
      <c r="X30">
        <v>40.69</v>
      </c>
      <c r="Y30">
        <v>88.213253968253966</v>
      </c>
    </row>
    <row r="31" spans="1:25" x14ac:dyDescent="0.35">
      <c r="A31" t="s">
        <v>25</v>
      </c>
      <c r="B31" t="s">
        <v>142</v>
      </c>
      <c r="C31" t="str">
        <f>VLOOKUP(B31,Tabelle3!A:C,2,FALSE)</f>
        <v>Nord</v>
      </c>
      <c r="D31" t="s">
        <v>27</v>
      </c>
      <c r="E31" t="s">
        <v>127</v>
      </c>
      <c r="F31" t="s">
        <v>143</v>
      </c>
      <c r="G31" t="s">
        <v>135</v>
      </c>
      <c r="H31" t="s">
        <v>130</v>
      </c>
      <c r="I31" t="s">
        <v>136</v>
      </c>
      <c r="J31" t="s">
        <v>132</v>
      </c>
      <c r="K31">
        <v>44610</v>
      </c>
      <c r="L31" t="s">
        <v>33</v>
      </c>
      <c r="M31" t="s">
        <v>34</v>
      </c>
      <c r="N31" t="s">
        <v>33</v>
      </c>
      <c r="O31" t="s">
        <v>25</v>
      </c>
      <c r="P31" t="s">
        <v>137</v>
      </c>
      <c r="Q31" t="s">
        <v>33</v>
      </c>
      <c r="R31" t="s">
        <v>46</v>
      </c>
      <c r="S31">
        <v>0.63</v>
      </c>
      <c r="T31" t="s">
        <v>37</v>
      </c>
      <c r="U31">
        <v>11.76</v>
      </c>
      <c r="V31">
        <v>11.5</v>
      </c>
      <c r="W31">
        <v>10.005000000000001</v>
      </c>
      <c r="X31">
        <v>40.69</v>
      </c>
      <c r="Y31">
        <v>88.213253968253966</v>
      </c>
    </row>
    <row r="32" spans="1:25" x14ac:dyDescent="0.35">
      <c r="A32" t="s">
        <v>25</v>
      </c>
      <c r="B32" t="s">
        <v>144</v>
      </c>
      <c r="C32" t="str">
        <f>VLOOKUP(B32,Tabelle3!A:C,2,FALSE)</f>
        <v>Nord</v>
      </c>
      <c r="D32" t="s">
        <v>27</v>
      </c>
      <c r="E32" t="s">
        <v>127</v>
      </c>
      <c r="F32" t="s">
        <v>145</v>
      </c>
      <c r="G32" t="s">
        <v>135</v>
      </c>
      <c r="H32" t="s">
        <v>130</v>
      </c>
      <c r="I32" t="s">
        <v>136</v>
      </c>
      <c r="J32" t="s">
        <v>132</v>
      </c>
      <c r="K32">
        <v>44610</v>
      </c>
      <c r="L32" t="s">
        <v>33</v>
      </c>
      <c r="M32" t="s">
        <v>34</v>
      </c>
      <c r="N32" t="s">
        <v>33</v>
      </c>
      <c r="O32" t="s">
        <v>25</v>
      </c>
      <c r="P32" t="s">
        <v>137</v>
      </c>
      <c r="Q32" t="s">
        <v>33</v>
      </c>
      <c r="R32" t="s">
        <v>46</v>
      </c>
      <c r="S32">
        <v>0.63</v>
      </c>
      <c r="T32" t="s">
        <v>37</v>
      </c>
      <c r="U32">
        <v>11.76</v>
      </c>
      <c r="V32">
        <v>11.5</v>
      </c>
      <c r="W32">
        <v>10.005000000000001</v>
      </c>
      <c r="X32">
        <v>40.69</v>
      </c>
      <c r="Y32">
        <v>88.213253968253966</v>
      </c>
    </row>
    <row r="33" spans="1:25" x14ac:dyDescent="0.35">
      <c r="A33" t="s">
        <v>25</v>
      </c>
      <c r="B33" t="s">
        <v>146</v>
      </c>
      <c r="C33" t="str">
        <f>VLOOKUP(B33,Tabelle3!A:C,2,FALSE)</f>
        <v>Nord</v>
      </c>
      <c r="D33" t="s">
        <v>27</v>
      </c>
      <c r="E33" t="s">
        <v>127</v>
      </c>
      <c r="F33" t="s">
        <v>147</v>
      </c>
      <c r="G33" t="s">
        <v>135</v>
      </c>
      <c r="H33" t="s">
        <v>130</v>
      </c>
      <c r="I33" t="s">
        <v>136</v>
      </c>
      <c r="J33" t="s">
        <v>132</v>
      </c>
      <c r="K33">
        <v>44610</v>
      </c>
      <c r="L33" t="s">
        <v>33</v>
      </c>
      <c r="M33" t="s">
        <v>34</v>
      </c>
      <c r="N33" t="s">
        <v>33</v>
      </c>
      <c r="O33" t="s">
        <v>25</v>
      </c>
      <c r="P33" t="s">
        <v>137</v>
      </c>
      <c r="Q33" t="s">
        <v>33</v>
      </c>
      <c r="R33" t="s">
        <v>46</v>
      </c>
      <c r="S33">
        <v>0.63</v>
      </c>
      <c r="T33" t="s">
        <v>37</v>
      </c>
      <c r="U33">
        <v>11.76</v>
      </c>
      <c r="V33">
        <v>11.5</v>
      </c>
      <c r="W33">
        <v>10.005000000000001</v>
      </c>
      <c r="X33">
        <v>40.69</v>
      </c>
      <c r="Y33">
        <v>88.213253968253966</v>
      </c>
    </row>
    <row r="34" spans="1:25" x14ac:dyDescent="0.35">
      <c r="A34" t="s">
        <v>25</v>
      </c>
      <c r="B34" t="s">
        <v>148</v>
      </c>
      <c r="C34" t="str">
        <f>VLOOKUP(B34,Tabelle3!A:C,2,FALSE)</f>
        <v>Nord</v>
      </c>
      <c r="D34" t="s">
        <v>27</v>
      </c>
      <c r="E34" t="s">
        <v>127</v>
      </c>
      <c r="F34" t="s">
        <v>149</v>
      </c>
      <c r="G34" t="s">
        <v>135</v>
      </c>
      <c r="H34" t="s">
        <v>130</v>
      </c>
      <c r="I34" t="s">
        <v>136</v>
      </c>
      <c r="J34" t="s">
        <v>132</v>
      </c>
      <c r="K34">
        <v>44610</v>
      </c>
      <c r="L34" t="s">
        <v>33</v>
      </c>
      <c r="M34" t="s">
        <v>34</v>
      </c>
      <c r="N34" t="s">
        <v>33</v>
      </c>
      <c r="O34" t="s">
        <v>25</v>
      </c>
      <c r="P34" t="s">
        <v>137</v>
      </c>
      <c r="Q34" t="s">
        <v>33</v>
      </c>
      <c r="R34" t="s">
        <v>46</v>
      </c>
      <c r="S34">
        <v>0.63</v>
      </c>
      <c r="T34" t="s">
        <v>37</v>
      </c>
      <c r="U34">
        <v>11.76</v>
      </c>
      <c r="V34">
        <v>11.5</v>
      </c>
      <c r="W34">
        <v>10.005000000000001</v>
      </c>
      <c r="X34">
        <v>40.69</v>
      </c>
      <c r="Y34">
        <v>88.213253968253966</v>
      </c>
    </row>
    <row r="35" spans="1:25" x14ac:dyDescent="0.35">
      <c r="A35" t="s">
        <v>25</v>
      </c>
      <c r="B35" t="s">
        <v>150</v>
      </c>
      <c r="C35" t="str">
        <f>VLOOKUP(B35,Tabelle3!A:C,2,FALSE)</f>
        <v>Nord</v>
      </c>
      <c r="D35" t="s">
        <v>27</v>
      </c>
      <c r="E35" t="s">
        <v>127</v>
      </c>
      <c r="F35" t="s">
        <v>151</v>
      </c>
      <c r="G35" t="s">
        <v>135</v>
      </c>
      <c r="H35" t="s">
        <v>130</v>
      </c>
      <c r="I35" t="s">
        <v>136</v>
      </c>
      <c r="J35" t="s">
        <v>132</v>
      </c>
      <c r="K35">
        <v>44610</v>
      </c>
      <c r="L35" t="s">
        <v>33</v>
      </c>
      <c r="M35" t="s">
        <v>34</v>
      </c>
      <c r="N35" t="s">
        <v>33</v>
      </c>
      <c r="O35" t="s">
        <v>25</v>
      </c>
      <c r="P35" t="s">
        <v>137</v>
      </c>
      <c r="Q35" t="s">
        <v>33</v>
      </c>
      <c r="R35" t="s">
        <v>46</v>
      </c>
      <c r="S35">
        <v>0.63</v>
      </c>
      <c r="T35" t="s">
        <v>37</v>
      </c>
      <c r="U35">
        <v>11.76</v>
      </c>
      <c r="V35">
        <v>11.5</v>
      </c>
      <c r="W35">
        <v>10.005000000000001</v>
      </c>
      <c r="X35">
        <v>40.69</v>
      </c>
      <c r="Y35">
        <v>88.213253968253966</v>
      </c>
    </row>
    <row r="36" spans="1:25" x14ac:dyDescent="0.35">
      <c r="A36" t="s">
        <v>25</v>
      </c>
      <c r="B36" t="s">
        <v>152</v>
      </c>
      <c r="C36" t="str">
        <f>VLOOKUP(B36,Tabelle3!A:C,2,FALSE)</f>
        <v>Nord</v>
      </c>
      <c r="D36" t="s">
        <v>27</v>
      </c>
      <c r="E36" t="s">
        <v>127</v>
      </c>
      <c r="F36" t="s">
        <v>54</v>
      </c>
      <c r="G36" t="s">
        <v>153</v>
      </c>
      <c r="H36" t="s">
        <v>130</v>
      </c>
      <c r="I36" t="s">
        <v>154</v>
      </c>
      <c r="J36" t="s">
        <v>132</v>
      </c>
      <c r="K36">
        <v>34803</v>
      </c>
      <c r="L36" t="s">
        <v>33</v>
      </c>
      <c r="M36" t="s">
        <v>34</v>
      </c>
      <c r="N36" t="s">
        <v>33</v>
      </c>
      <c r="O36" t="s">
        <v>25</v>
      </c>
      <c r="P36" t="s">
        <v>35</v>
      </c>
      <c r="Q36" t="s">
        <v>33</v>
      </c>
      <c r="R36" t="s">
        <v>36</v>
      </c>
      <c r="S36">
        <v>0.51749999999999996</v>
      </c>
      <c r="T36" t="s">
        <v>47</v>
      </c>
      <c r="U36">
        <v>65</v>
      </c>
      <c r="V36">
        <v>62</v>
      </c>
      <c r="W36">
        <v>53.94</v>
      </c>
      <c r="X36">
        <v>40.69</v>
      </c>
      <c r="Y36">
        <v>106.563961352657</v>
      </c>
    </row>
    <row r="37" spans="1:25" x14ac:dyDescent="0.35">
      <c r="A37" t="s">
        <v>25</v>
      </c>
      <c r="B37" t="s">
        <v>155</v>
      </c>
      <c r="C37" t="str">
        <f>VLOOKUP(B37,Tabelle3!A:C,2,FALSE)</f>
        <v>Nord</v>
      </c>
      <c r="D37" t="s">
        <v>27</v>
      </c>
      <c r="E37" t="s">
        <v>127</v>
      </c>
      <c r="F37" t="s">
        <v>52</v>
      </c>
      <c r="G37" t="s">
        <v>153</v>
      </c>
      <c r="H37" t="s">
        <v>130</v>
      </c>
      <c r="I37" t="s">
        <v>154</v>
      </c>
      <c r="J37" t="s">
        <v>132</v>
      </c>
      <c r="K37">
        <v>34772</v>
      </c>
      <c r="L37" t="s">
        <v>33</v>
      </c>
      <c r="M37" t="s">
        <v>34</v>
      </c>
      <c r="N37" t="s">
        <v>33</v>
      </c>
      <c r="O37" t="s">
        <v>25</v>
      </c>
      <c r="P37" t="s">
        <v>35</v>
      </c>
      <c r="Q37" t="s">
        <v>33</v>
      </c>
      <c r="R37" t="s">
        <v>36</v>
      </c>
      <c r="S37">
        <v>0.51749999999999996</v>
      </c>
      <c r="T37" t="s">
        <v>47</v>
      </c>
      <c r="U37">
        <v>65</v>
      </c>
      <c r="V37">
        <v>62</v>
      </c>
      <c r="W37">
        <v>53.94</v>
      </c>
      <c r="X37">
        <v>40.69</v>
      </c>
      <c r="Y37">
        <v>106.563961352657</v>
      </c>
    </row>
    <row r="38" spans="1:25" x14ac:dyDescent="0.35">
      <c r="A38" t="s">
        <v>25</v>
      </c>
      <c r="B38" t="s">
        <v>156</v>
      </c>
      <c r="C38" t="str">
        <f>VLOOKUP(B38,Tabelle3!A:C,2,FALSE)</f>
        <v>Nord</v>
      </c>
      <c r="D38" t="s">
        <v>27</v>
      </c>
      <c r="E38" t="s">
        <v>127</v>
      </c>
      <c r="F38" t="s">
        <v>157</v>
      </c>
      <c r="G38" t="s">
        <v>153</v>
      </c>
      <c r="H38" t="s">
        <v>130</v>
      </c>
      <c r="I38" t="s">
        <v>154</v>
      </c>
      <c r="J38" t="s">
        <v>132</v>
      </c>
      <c r="K38">
        <v>34787</v>
      </c>
      <c r="L38" t="s">
        <v>33</v>
      </c>
      <c r="M38" t="s">
        <v>34</v>
      </c>
      <c r="N38" t="s">
        <v>33</v>
      </c>
      <c r="O38" t="s">
        <v>25</v>
      </c>
      <c r="P38" t="s">
        <v>35</v>
      </c>
      <c r="Q38" t="s">
        <v>33</v>
      </c>
      <c r="R38" t="s">
        <v>36</v>
      </c>
      <c r="S38">
        <v>0.51749999999999996</v>
      </c>
      <c r="T38" t="s">
        <v>47</v>
      </c>
      <c r="U38">
        <v>65</v>
      </c>
      <c r="V38">
        <v>62</v>
      </c>
      <c r="W38">
        <v>53.94</v>
      </c>
      <c r="X38">
        <v>40.69</v>
      </c>
      <c r="Y38">
        <v>106.563961352657</v>
      </c>
    </row>
    <row r="39" spans="1:25" x14ac:dyDescent="0.35">
      <c r="A39" t="s">
        <v>25</v>
      </c>
      <c r="B39" t="s">
        <v>158</v>
      </c>
      <c r="C39" t="str">
        <f>VLOOKUP(B39,Tabelle3!A:C,2,FALSE)</f>
        <v>Nord</v>
      </c>
      <c r="D39" t="s">
        <v>27</v>
      </c>
      <c r="E39" t="s">
        <v>127</v>
      </c>
      <c r="F39" t="s">
        <v>159</v>
      </c>
      <c r="G39" t="s">
        <v>153</v>
      </c>
      <c r="H39" t="s">
        <v>130</v>
      </c>
      <c r="I39" t="s">
        <v>154</v>
      </c>
      <c r="J39" t="s">
        <v>132</v>
      </c>
      <c r="K39">
        <v>34810</v>
      </c>
      <c r="L39" t="s">
        <v>33</v>
      </c>
      <c r="M39" t="s">
        <v>34</v>
      </c>
      <c r="N39" t="s">
        <v>33</v>
      </c>
      <c r="O39" t="s">
        <v>25</v>
      </c>
      <c r="P39" t="s">
        <v>50</v>
      </c>
      <c r="Q39" t="s">
        <v>33</v>
      </c>
      <c r="R39" t="s">
        <v>46</v>
      </c>
      <c r="S39">
        <v>0.40699999999999997</v>
      </c>
      <c r="T39" t="s">
        <v>37</v>
      </c>
      <c r="U39">
        <v>75</v>
      </c>
      <c r="V39">
        <v>74</v>
      </c>
      <c r="W39">
        <v>64.38</v>
      </c>
      <c r="X39">
        <v>40.69</v>
      </c>
      <c r="Y39">
        <v>135.72444717444716</v>
      </c>
    </row>
    <row r="40" spans="1:25" x14ac:dyDescent="0.35">
      <c r="A40" t="s">
        <v>25</v>
      </c>
      <c r="B40" t="s">
        <v>160</v>
      </c>
      <c r="C40" t="s">
        <v>4080</v>
      </c>
      <c r="D40" t="s">
        <v>27</v>
      </c>
      <c r="E40" t="s">
        <v>161</v>
      </c>
      <c r="F40" t="s">
        <v>162</v>
      </c>
      <c r="G40">
        <v>12529</v>
      </c>
      <c r="H40" t="s">
        <v>163</v>
      </c>
      <c r="I40" t="s">
        <v>164</v>
      </c>
      <c r="J40" t="s">
        <v>32</v>
      </c>
      <c r="K40">
        <v>40368</v>
      </c>
      <c r="L40" t="s">
        <v>60</v>
      </c>
      <c r="M40" t="s">
        <v>61</v>
      </c>
      <c r="N40" t="s">
        <v>60</v>
      </c>
      <c r="O40" t="s">
        <v>44</v>
      </c>
      <c r="P40" t="s">
        <v>137</v>
      </c>
      <c r="Q40" t="s">
        <v>63</v>
      </c>
      <c r="R40" t="s">
        <v>63</v>
      </c>
      <c r="S40">
        <v>0.40600000000000003</v>
      </c>
      <c r="T40" t="s">
        <v>37</v>
      </c>
      <c r="U40">
        <v>14.52</v>
      </c>
      <c r="V40">
        <v>14.52</v>
      </c>
      <c r="W40">
        <v>12.341999999999999</v>
      </c>
      <c r="X40">
        <v>95.89</v>
      </c>
      <c r="Y40">
        <v>285.00985221674875</v>
      </c>
    </row>
    <row r="41" spans="1:25" x14ac:dyDescent="0.35">
      <c r="A41" t="s">
        <v>25</v>
      </c>
      <c r="B41" t="s">
        <v>165</v>
      </c>
      <c r="C41" t="str">
        <f>VLOOKUP(B41,Tabelle3!A:C,2,FALSE)</f>
        <v>Nord</v>
      </c>
      <c r="D41" t="s">
        <v>27</v>
      </c>
      <c r="E41" t="s">
        <v>166</v>
      </c>
      <c r="F41" t="s">
        <v>167</v>
      </c>
      <c r="G41" t="s">
        <v>168</v>
      </c>
      <c r="H41" t="s">
        <v>169</v>
      </c>
      <c r="I41" t="s">
        <v>170</v>
      </c>
      <c r="J41" t="s">
        <v>32</v>
      </c>
      <c r="K41">
        <v>39463</v>
      </c>
      <c r="L41" t="s">
        <v>171</v>
      </c>
      <c r="M41" t="s">
        <v>172</v>
      </c>
      <c r="N41" t="s">
        <v>173</v>
      </c>
      <c r="O41" t="s">
        <v>25</v>
      </c>
      <c r="P41" t="s">
        <v>82</v>
      </c>
      <c r="Q41" t="s">
        <v>173</v>
      </c>
      <c r="R41" t="s">
        <v>173</v>
      </c>
      <c r="S41">
        <v>0.33</v>
      </c>
      <c r="T41" t="s">
        <v>47</v>
      </c>
      <c r="U41">
        <v>25</v>
      </c>
      <c r="V41">
        <v>25</v>
      </c>
      <c r="W41">
        <v>21.25</v>
      </c>
      <c r="X41">
        <v>0</v>
      </c>
      <c r="Y41">
        <v>1</v>
      </c>
    </row>
    <row r="42" spans="1:25" x14ac:dyDescent="0.35">
      <c r="A42" t="s">
        <v>25</v>
      </c>
      <c r="B42" t="s">
        <v>174</v>
      </c>
      <c r="C42" t="str">
        <f>VLOOKUP(B42,Tabelle3!A:C,2,FALSE)</f>
        <v>Nord</v>
      </c>
      <c r="D42" t="s">
        <v>27</v>
      </c>
      <c r="E42" t="s">
        <v>175</v>
      </c>
      <c r="F42" t="s">
        <v>176</v>
      </c>
      <c r="G42">
        <v>14727</v>
      </c>
      <c r="H42" t="s">
        <v>177</v>
      </c>
      <c r="I42" t="s">
        <v>178</v>
      </c>
      <c r="J42" t="s">
        <v>32</v>
      </c>
      <c r="K42">
        <v>44516</v>
      </c>
      <c r="L42" t="s">
        <v>171</v>
      </c>
      <c r="M42" t="s">
        <v>172</v>
      </c>
      <c r="N42" t="s">
        <v>173</v>
      </c>
      <c r="O42" t="s">
        <v>25</v>
      </c>
      <c r="P42" t="s">
        <v>82</v>
      </c>
      <c r="Q42" t="s">
        <v>173</v>
      </c>
      <c r="R42" t="s">
        <v>173</v>
      </c>
      <c r="S42">
        <v>0.33</v>
      </c>
      <c r="T42" t="s">
        <v>179</v>
      </c>
      <c r="U42">
        <v>32.32</v>
      </c>
      <c r="V42">
        <v>32.32</v>
      </c>
      <c r="W42">
        <v>27.471999999999998</v>
      </c>
      <c r="X42">
        <v>0</v>
      </c>
      <c r="Y42">
        <v>1</v>
      </c>
    </row>
    <row r="43" spans="1:25" x14ac:dyDescent="0.35">
      <c r="A43" t="s">
        <v>25</v>
      </c>
      <c r="B43" t="s">
        <v>180</v>
      </c>
      <c r="C43" t="str">
        <f>VLOOKUP(B43,Tabelle3!A:C,2,FALSE)</f>
        <v>Nord</v>
      </c>
      <c r="D43" t="s">
        <v>27</v>
      </c>
      <c r="E43" t="s">
        <v>181</v>
      </c>
      <c r="F43" t="s">
        <v>182</v>
      </c>
      <c r="G43" t="s">
        <v>183</v>
      </c>
      <c r="H43" t="s">
        <v>184</v>
      </c>
      <c r="I43" t="s">
        <v>185</v>
      </c>
      <c r="J43" t="s">
        <v>132</v>
      </c>
      <c r="K43">
        <v>45113</v>
      </c>
      <c r="L43" t="s">
        <v>33</v>
      </c>
      <c r="M43" t="s">
        <v>34</v>
      </c>
      <c r="N43" t="s">
        <v>33</v>
      </c>
      <c r="O43" t="s">
        <v>25</v>
      </c>
      <c r="P43" t="s">
        <v>137</v>
      </c>
      <c r="Q43" t="s">
        <v>33</v>
      </c>
      <c r="R43" t="s">
        <v>46</v>
      </c>
      <c r="S43">
        <v>0.63</v>
      </c>
      <c r="T43" t="s">
        <v>37</v>
      </c>
      <c r="U43">
        <v>12.65</v>
      </c>
      <c r="V43">
        <v>12.538</v>
      </c>
      <c r="W43">
        <v>10.908060000000001</v>
      </c>
      <c r="X43">
        <v>40.69</v>
      </c>
      <c r="Y43">
        <v>88.213253968253966</v>
      </c>
    </row>
    <row r="44" spans="1:25" x14ac:dyDescent="0.35">
      <c r="A44" t="s">
        <v>25</v>
      </c>
      <c r="B44" t="s">
        <v>186</v>
      </c>
      <c r="C44" t="str">
        <f>VLOOKUP(B44,Tabelle3!A:C,2,FALSE)</f>
        <v>Nord</v>
      </c>
      <c r="D44" t="s">
        <v>27</v>
      </c>
      <c r="E44" t="s">
        <v>181</v>
      </c>
      <c r="F44" t="s">
        <v>187</v>
      </c>
      <c r="G44" t="s">
        <v>183</v>
      </c>
      <c r="H44" t="s">
        <v>184</v>
      </c>
      <c r="I44" t="s">
        <v>185</v>
      </c>
      <c r="J44" t="s">
        <v>132</v>
      </c>
      <c r="K44">
        <v>45113</v>
      </c>
      <c r="L44" t="s">
        <v>33</v>
      </c>
      <c r="M44" t="s">
        <v>34</v>
      </c>
      <c r="N44" t="s">
        <v>33</v>
      </c>
      <c r="O44" t="s">
        <v>25</v>
      </c>
      <c r="P44" t="s">
        <v>137</v>
      </c>
      <c r="Q44" t="s">
        <v>33</v>
      </c>
      <c r="R44" t="s">
        <v>46</v>
      </c>
      <c r="S44">
        <v>0.63</v>
      </c>
      <c r="T44" t="s">
        <v>37</v>
      </c>
      <c r="U44">
        <v>12.65</v>
      </c>
      <c r="V44">
        <v>12.538</v>
      </c>
      <c r="W44">
        <v>10.908060000000001</v>
      </c>
      <c r="X44">
        <v>40.69</v>
      </c>
      <c r="Y44">
        <v>88.213253968253966</v>
      </c>
    </row>
    <row r="45" spans="1:25" x14ac:dyDescent="0.35">
      <c r="A45" t="s">
        <v>25</v>
      </c>
      <c r="B45" t="s">
        <v>188</v>
      </c>
      <c r="C45" t="str">
        <f>VLOOKUP(B45,Tabelle3!A:C,2,FALSE)</f>
        <v>Nord</v>
      </c>
      <c r="D45" t="s">
        <v>27</v>
      </c>
      <c r="E45" t="s">
        <v>181</v>
      </c>
      <c r="F45" t="s">
        <v>189</v>
      </c>
      <c r="G45" t="s">
        <v>183</v>
      </c>
      <c r="H45" t="s">
        <v>184</v>
      </c>
      <c r="I45" t="s">
        <v>185</v>
      </c>
      <c r="J45" t="s">
        <v>132</v>
      </c>
      <c r="K45">
        <v>45113</v>
      </c>
      <c r="L45" t="s">
        <v>33</v>
      </c>
      <c r="M45" t="s">
        <v>34</v>
      </c>
      <c r="N45" t="s">
        <v>33</v>
      </c>
      <c r="O45" t="s">
        <v>25</v>
      </c>
      <c r="P45" t="s">
        <v>137</v>
      </c>
      <c r="Q45" t="s">
        <v>33</v>
      </c>
      <c r="R45" t="s">
        <v>46</v>
      </c>
      <c r="S45">
        <v>0.63</v>
      </c>
      <c r="T45" t="s">
        <v>37</v>
      </c>
      <c r="U45">
        <v>12.65</v>
      </c>
      <c r="V45">
        <v>12.538</v>
      </c>
      <c r="W45">
        <v>10.908060000000001</v>
      </c>
      <c r="X45">
        <v>40.69</v>
      </c>
      <c r="Y45">
        <v>88.213253968253966</v>
      </c>
    </row>
    <row r="46" spans="1:25" x14ac:dyDescent="0.35">
      <c r="A46" t="s">
        <v>25</v>
      </c>
      <c r="B46" t="s">
        <v>190</v>
      </c>
      <c r="C46" t="str">
        <f>VLOOKUP(B46,Tabelle3!A:C,2,FALSE)</f>
        <v>Nord</v>
      </c>
      <c r="D46" t="s">
        <v>27</v>
      </c>
      <c r="E46" t="s">
        <v>181</v>
      </c>
      <c r="F46" t="s">
        <v>191</v>
      </c>
      <c r="G46" t="s">
        <v>183</v>
      </c>
      <c r="H46" t="s">
        <v>184</v>
      </c>
      <c r="I46" t="s">
        <v>185</v>
      </c>
      <c r="J46" t="s">
        <v>132</v>
      </c>
      <c r="K46">
        <v>45113</v>
      </c>
      <c r="L46" t="s">
        <v>33</v>
      </c>
      <c r="M46" t="s">
        <v>34</v>
      </c>
      <c r="N46" t="s">
        <v>33</v>
      </c>
      <c r="O46" t="s">
        <v>25</v>
      </c>
      <c r="P46" t="s">
        <v>137</v>
      </c>
      <c r="Q46" t="s">
        <v>33</v>
      </c>
      <c r="R46" t="s">
        <v>46</v>
      </c>
      <c r="S46">
        <v>0.63</v>
      </c>
      <c r="T46" t="s">
        <v>37</v>
      </c>
      <c r="U46">
        <v>12.65</v>
      </c>
      <c r="V46">
        <v>12.538</v>
      </c>
      <c r="W46">
        <v>10.908060000000001</v>
      </c>
      <c r="X46">
        <v>40.69</v>
      </c>
      <c r="Y46">
        <v>88.213253968253966</v>
      </c>
    </row>
    <row r="47" spans="1:25" x14ac:dyDescent="0.35">
      <c r="A47" t="s">
        <v>25</v>
      </c>
      <c r="B47" t="s">
        <v>192</v>
      </c>
      <c r="C47" t="str">
        <f>VLOOKUP(B47,Tabelle3!A:C,2,FALSE)</f>
        <v>Nord</v>
      </c>
      <c r="D47" t="s">
        <v>27</v>
      </c>
      <c r="E47" t="s">
        <v>181</v>
      </c>
      <c r="F47" t="s">
        <v>193</v>
      </c>
      <c r="G47" t="s">
        <v>183</v>
      </c>
      <c r="H47" t="s">
        <v>184</v>
      </c>
      <c r="I47" t="s">
        <v>185</v>
      </c>
      <c r="J47" t="s">
        <v>132</v>
      </c>
      <c r="K47">
        <v>45113</v>
      </c>
      <c r="L47" t="s">
        <v>33</v>
      </c>
      <c r="M47" t="s">
        <v>34</v>
      </c>
      <c r="N47" t="s">
        <v>33</v>
      </c>
      <c r="O47" t="s">
        <v>25</v>
      </c>
      <c r="P47" t="s">
        <v>137</v>
      </c>
      <c r="Q47" t="s">
        <v>33</v>
      </c>
      <c r="R47" t="s">
        <v>46</v>
      </c>
      <c r="S47">
        <v>0.63</v>
      </c>
      <c r="T47" t="s">
        <v>37</v>
      </c>
      <c r="U47">
        <v>12.65</v>
      </c>
      <c r="V47">
        <v>12.538</v>
      </c>
      <c r="W47">
        <v>10.908060000000001</v>
      </c>
      <c r="X47">
        <v>40.69</v>
      </c>
      <c r="Y47">
        <v>88.213253968253966</v>
      </c>
    </row>
    <row r="48" spans="1:25" x14ac:dyDescent="0.35">
      <c r="A48" t="s">
        <v>25</v>
      </c>
      <c r="B48" t="s">
        <v>194</v>
      </c>
      <c r="C48" t="str">
        <f>VLOOKUP(B48,Tabelle3!A:C,2,FALSE)</f>
        <v>Nord</v>
      </c>
      <c r="D48" t="s">
        <v>27</v>
      </c>
      <c r="E48" t="s">
        <v>181</v>
      </c>
      <c r="F48" t="s">
        <v>195</v>
      </c>
      <c r="G48" t="s">
        <v>183</v>
      </c>
      <c r="H48" t="s">
        <v>184</v>
      </c>
      <c r="I48" t="s">
        <v>185</v>
      </c>
      <c r="J48" t="s">
        <v>132</v>
      </c>
      <c r="K48">
        <v>45113</v>
      </c>
      <c r="L48" t="s">
        <v>33</v>
      </c>
      <c r="M48" t="s">
        <v>34</v>
      </c>
      <c r="N48" t="s">
        <v>33</v>
      </c>
      <c r="O48" t="s">
        <v>25</v>
      </c>
      <c r="P48" t="s">
        <v>137</v>
      </c>
      <c r="Q48" t="s">
        <v>33</v>
      </c>
      <c r="R48" t="s">
        <v>46</v>
      </c>
      <c r="S48">
        <v>0.63</v>
      </c>
      <c r="T48" t="s">
        <v>37</v>
      </c>
      <c r="U48">
        <v>12.65</v>
      </c>
      <c r="V48">
        <v>12.538</v>
      </c>
      <c r="W48">
        <v>10.908060000000001</v>
      </c>
      <c r="X48">
        <v>40.69</v>
      </c>
      <c r="Y48">
        <v>88.213253968253966</v>
      </c>
    </row>
    <row r="49" spans="1:25" x14ac:dyDescent="0.35">
      <c r="A49" t="s">
        <v>25</v>
      </c>
      <c r="B49" t="s">
        <v>196</v>
      </c>
      <c r="C49" t="str">
        <f>VLOOKUP(B49,Tabelle3!A:C,2,FALSE)</f>
        <v>Nord</v>
      </c>
      <c r="D49" t="s">
        <v>27</v>
      </c>
      <c r="E49" t="s">
        <v>181</v>
      </c>
      <c r="F49" t="s">
        <v>197</v>
      </c>
      <c r="G49" t="s">
        <v>183</v>
      </c>
      <c r="H49" t="s">
        <v>184</v>
      </c>
      <c r="I49" t="s">
        <v>185</v>
      </c>
      <c r="J49" t="s">
        <v>132</v>
      </c>
      <c r="K49">
        <v>45113</v>
      </c>
      <c r="L49" t="s">
        <v>33</v>
      </c>
      <c r="M49" t="s">
        <v>34</v>
      </c>
      <c r="N49" t="s">
        <v>33</v>
      </c>
      <c r="O49" t="s">
        <v>25</v>
      </c>
      <c r="P49" t="s">
        <v>137</v>
      </c>
      <c r="Q49" t="s">
        <v>33</v>
      </c>
      <c r="R49" t="s">
        <v>46</v>
      </c>
      <c r="S49">
        <v>0.63</v>
      </c>
      <c r="T49" t="s">
        <v>37</v>
      </c>
      <c r="U49">
        <v>12.65</v>
      </c>
      <c r="V49">
        <v>12.538</v>
      </c>
      <c r="W49">
        <v>10.908060000000001</v>
      </c>
      <c r="X49">
        <v>40.69</v>
      </c>
      <c r="Y49">
        <v>88.213253968253966</v>
      </c>
    </row>
    <row r="50" spans="1:25" x14ac:dyDescent="0.35">
      <c r="A50" t="s">
        <v>25</v>
      </c>
      <c r="B50" t="s">
        <v>198</v>
      </c>
      <c r="C50" t="str">
        <f>VLOOKUP(B50,Tabelle3!A:C,2,FALSE)</f>
        <v>Nord</v>
      </c>
      <c r="D50" t="s">
        <v>27</v>
      </c>
      <c r="E50" t="s">
        <v>181</v>
      </c>
      <c r="F50" t="s">
        <v>199</v>
      </c>
      <c r="G50" t="s">
        <v>200</v>
      </c>
      <c r="H50" t="s">
        <v>184</v>
      </c>
      <c r="I50" t="s">
        <v>201</v>
      </c>
      <c r="J50" t="s">
        <v>132</v>
      </c>
      <c r="K50">
        <v>44916</v>
      </c>
      <c r="L50" t="s">
        <v>33</v>
      </c>
      <c r="M50" t="s">
        <v>34</v>
      </c>
      <c r="N50" t="s">
        <v>33</v>
      </c>
      <c r="O50" t="s">
        <v>25</v>
      </c>
      <c r="P50" t="s">
        <v>137</v>
      </c>
      <c r="Q50" t="s">
        <v>33</v>
      </c>
      <c r="R50" t="s">
        <v>46</v>
      </c>
      <c r="S50">
        <v>0.63</v>
      </c>
      <c r="T50" t="s">
        <v>37</v>
      </c>
      <c r="U50">
        <v>12.9</v>
      </c>
      <c r="V50">
        <v>12.731399999999999</v>
      </c>
      <c r="W50">
        <v>11.076317999999999</v>
      </c>
      <c r="X50">
        <v>40.69</v>
      </c>
      <c r="Y50">
        <v>88.213253968253966</v>
      </c>
    </row>
    <row r="51" spans="1:25" x14ac:dyDescent="0.35">
      <c r="A51" t="s">
        <v>25</v>
      </c>
      <c r="B51" t="s">
        <v>202</v>
      </c>
      <c r="C51" t="str">
        <f>VLOOKUP(B51,Tabelle3!A:C,2,FALSE)</f>
        <v>Nord</v>
      </c>
      <c r="D51" t="s">
        <v>27</v>
      </c>
      <c r="E51" t="s">
        <v>181</v>
      </c>
      <c r="F51" t="s">
        <v>203</v>
      </c>
      <c r="G51" t="s">
        <v>200</v>
      </c>
      <c r="H51" t="s">
        <v>184</v>
      </c>
      <c r="I51" t="s">
        <v>201</v>
      </c>
      <c r="J51" t="s">
        <v>132</v>
      </c>
      <c r="K51">
        <v>44916</v>
      </c>
      <c r="L51" t="s">
        <v>33</v>
      </c>
      <c r="M51" t="s">
        <v>34</v>
      </c>
      <c r="N51" t="s">
        <v>33</v>
      </c>
      <c r="O51" t="s">
        <v>25</v>
      </c>
      <c r="P51" t="s">
        <v>137</v>
      </c>
      <c r="Q51" t="s">
        <v>33</v>
      </c>
      <c r="R51" t="s">
        <v>46</v>
      </c>
      <c r="S51">
        <v>0.63</v>
      </c>
      <c r="T51" t="s">
        <v>37</v>
      </c>
      <c r="U51">
        <v>12.9</v>
      </c>
      <c r="V51">
        <v>12.731399999999999</v>
      </c>
      <c r="W51">
        <v>11.076317999999999</v>
      </c>
      <c r="X51">
        <v>40.69</v>
      </c>
      <c r="Y51">
        <v>88.213253968253966</v>
      </c>
    </row>
    <row r="52" spans="1:25" x14ac:dyDescent="0.35">
      <c r="A52" t="s">
        <v>25</v>
      </c>
      <c r="B52" t="s">
        <v>204</v>
      </c>
      <c r="C52" t="str">
        <f>VLOOKUP(B52,Tabelle3!A:C,2,FALSE)</f>
        <v>Nord</v>
      </c>
      <c r="D52" t="s">
        <v>27</v>
      </c>
      <c r="E52" t="s">
        <v>181</v>
      </c>
      <c r="F52" t="s">
        <v>205</v>
      </c>
      <c r="G52" t="s">
        <v>200</v>
      </c>
      <c r="H52" t="s">
        <v>184</v>
      </c>
      <c r="I52" t="s">
        <v>201</v>
      </c>
      <c r="J52" t="s">
        <v>132</v>
      </c>
      <c r="K52">
        <v>44916</v>
      </c>
      <c r="L52" t="s">
        <v>33</v>
      </c>
      <c r="M52" t="s">
        <v>34</v>
      </c>
      <c r="N52" t="s">
        <v>33</v>
      </c>
      <c r="O52" t="s">
        <v>25</v>
      </c>
      <c r="P52" t="s">
        <v>137</v>
      </c>
      <c r="Q52" t="s">
        <v>33</v>
      </c>
      <c r="R52" t="s">
        <v>46</v>
      </c>
      <c r="S52">
        <v>0.63</v>
      </c>
      <c r="T52" t="s">
        <v>37</v>
      </c>
      <c r="U52">
        <v>12.9</v>
      </c>
      <c r="V52">
        <v>12.731399999999999</v>
      </c>
      <c r="W52">
        <v>11.076317999999999</v>
      </c>
      <c r="X52">
        <v>40.69</v>
      </c>
      <c r="Y52">
        <v>88.213253968253966</v>
      </c>
    </row>
    <row r="53" spans="1:25" x14ac:dyDescent="0.35">
      <c r="A53" t="s">
        <v>25</v>
      </c>
      <c r="B53" t="s">
        <v>206</v>
      </c>
      <c r="C53" t="str">
        <f>VLOOKUP(B53,Tabelle3!A:C,2,FALSE)</f>
        <v>Nord</v>
      </c>
      <c r="D53" t="s">
        <v>27</v>
      </c>
      <c r="E53" t="s">
        <v>181</v>
      </c>
      <c r="F53" t="s">
        <v>207</v>
      </c>
      <c r="G53" t="s">
        <v>200</v>
      </c>
      <c r="H53" t="s">
        <v>184</v>
      </c>
      <c r="I53" t="s">
        <v>201</v>
      </c>
      <c r="J53" t="s">
        <v>132</v>
      </c>
      <c r="K53">
        <v>44916</v>
      </c>
      <c r="L53" t="s">
        <v>33</v>
      </c>
      <c r="M53" t="s">
        <v>34</v>
      </c>
      <c r="N53" t="s">
        <v>33</v>
      </c>
      <c r="O53" t="s">
        <v>25</v>
      </c>
      <c r="P53" t="s">
        <v>137</v>
      </c>
      <c r="Q53" t="s">
        <v>33</v>
      </c>
      <c r="R53" t="s">
        <v>46</v>
      </c>
      <c r="S53">
        <v>0.63</v>
      </c>
      <c r="T53" t="s">
        <v>37</v>
      </c>
      <c r="U53">
        <v>12.9</v>
      </c>
      <c r="V53">
        <v>12.731399999999999</v>
      </c>
      <c r="W53">
        <v>11.076317999999999</v>
      </c>
      <c r="X53">
        <v>40.69</v>
      </c>
      <c r="Y53">
        <v>88.213253968253966</v>
      </c>
    </row>
    <row r="54" spans="1:25" x14ac:dyDescent="0.35">
      <c r="A54" t="s">
        <v>25</v>
      </c>
      <c r="B54" t="s">
        <v>208</v>
      </c>
      <c r="C54" t="str">
        <f>VLOOKUP(B54,Tabelle3!A:C,2,FALSE)</f>
        <v>Nord</v>
      </c>
      <c r="D54" t="s">
        <v>27</v>
      </c>
      <c r="E54" t="s">
        <v>181</v>
      </c>
      <c r="F54" t="s">
        <v>209</v>
      </c>
      <c r="G54" t="s">
        <v>200</v>
      </c>
      <c r="H54" t="s">
        <v>184</v>
      </c>
      <c r="I54" t="s">
        <v>201</v>
      </c>
      <c r="J54" t="s">
        <v>132</v>
      </c>
      <c r="K54">
        <v>44916</v>
      </c>
      <c r="L54" t="s">
        <v>33</v>
      </c>
      <c r="M54" t="s">
        <v>34</v>
      </c>
      <c r="N54" t="s">
        <v>33</v>
      </c>
      <c r="O54" t="s">
        <v>25</v>
      </c>
      <c r="P54" t="s">
        <v>137</v>
      </c>
      <c r="Q54" t="s">
        <v>33</v>
      </c>
      <c r="R54" t="s">
        <v>46</v>
      </c>
      <c r="S54">
        <v>0.63</v>
      </c>
      <c r="T54" t="s">
        <v>37</v>
      </c>
      <c r="U54">
        <v>12.9</v>
      </c>
      <c r="V54">
        <v>12.731399999999999</v>
      </c>
      <c r="W54">
        <v>11.076317999999999</v>
      </c>
      <c r="X54">
        <v>40.69</v>
      </c>
      <c r="Y54">
        <v>88.213253968253966</v>
      </c>
    </row>
    <row r="55" spans="1:25" x14ac:dyDescent="0.35">
      <c r="A55" t="s">
        <v>25</v>
      </c>
      <c r="B55" t="s">
        <v>210</v>
      </c>
      <c r="C55" t="str">
        <f>VLOOKUP(B55,Tabelle3!A:C,2,FALSE)</f>
        <v>Nord</v>
      </c>
      <c r="D55" t="s">
        <v>27</v>
      </c>
      <c r="E55" t="s">
        <v>211</v>
      </c>
      <c r="F55" t="s">
        <v>212</v>
      </c>
      <c r="G55">
        <v>14478</v>
      </c>
      <c r="H55" t="s">
        <v>213</v>
      </c>
      <c r="I55" t="s">
        <v>214</v>
      </c>
      <c r="J55" t="s">
        <v>32</v>
      </c>
      <c r="K55">
        <v>35065</v>
      </c>
      <c r="L55" t="s">
        <v>33</v>
      </c>
      <c r="M55" t="s">
        <v>34</v>
      </c>
      <c r="N55" t="s">
        <v>33</v>
      </c>
      <c r="O55" t="s">
        <v>25</v>
      </c>
      <c r="P55" t="s">
        <v>35</v>
      </c>
      <c r="Q55" t="s">
        <v>33</v>
      </c>
      <c r="R55" t="s">
        <v>36</v>
      </c>
      <c r="S55">
        <v>0.38059999999999999</v>
      </c>
      <c r="T55" t="s">
        <v>47</v>
      </c>
      <c r="U55">
        <v>42</v>
      </c>
      <c r="V55">
        <v>40.9</v>
      </c>
      <c r="W55">
        <v>35.582999999999998</v>
      </c>
      <c r="X55">
        <v>40.69</v>
      </c>
      <c r="Y55">
        <v>144.5348134524435</v>
      </c>
    </row>
    <row r="56" spans="1:25" x14ac:dyDescent="0.35">
      <c r="A56" t="s">
        <v>25</v>
      </c>
      <c r="B56" t="s">
        <v>215</v>
      </c>
      <c r="C56" t="str">
        <f>VLOOKUP(B56,Tabelle3!A:C,2,FALSE)</f>
        <v>Nord</v>
      </c>
      <c r="D56" t="s">
        <v>27</v>
      </c>
      <c r="E56" t="s">
        <v>211</v>
      </c>
      <c r="F56" t="s">
        <v>216</v>
      </c>
      <c r="G56">
        <v>14478</v>
      </c>
      <c r="H56" t="s">
        <v>213</v>
      </c>
      <c r="I56" t="s">
        <v>214</v>
      </c>
      <c r="J56" t="s">
        <v>32</v>
      </c>
      <c r="K56">
        <v>35065</v>
      </c>
      <c r="L56" t="s">
        <v>33</v>
      </c>
      <c r="M56" t="s">
        <v>34</v>
      </c>
      <c r="N56" t="s">
        <v>33</v>
      </c>
      <c r="O56" t="s">
        <v>25</v>
      </c>
      <c r="P56" t="s">
        <v>35</v>
      </c>
      <c r="Q56" t="s">
        <v>33</v>
      </c>
      <c r="R56" t="s">
        <v>36</v>
      </c>
      <c r="S56">
        <v>0.38059999999999999</v>
      </c>
      <c r="T56" t="s">
        <v>47</v>
      </c>
      <c r="U56">
        <v>42</v>
      </c>
      <c r="V56">
        <v>40.9</v>
      </c>
      <c r="W56">
        <v>35.582999999999998</v>
      </c>
      <c r="X56">
        <v>40.69</v>
      </c>
      <c r="Y56">
        <v>144.5348134524435</v>
      </c>
    </row>
    <row r="57" spans="1:25" x14ac:dyDescent="0.35">
      <c r="A57" t="s">
        <v>25</v>
      </c>
      <c r="B57" t="s">
        <v>217</v>
      </c>
      <c r="C57" t="s">
        <v>4080</v>
      </c>
      <c r="D57" t="s">
        <v>27</v>
      </c>
      <c r="E57" t="s">
        <v>218</v>
      </c>
      <c r="F57" t="s">
        <v>219</v>
      </c>
      <c r="G57">
        <v>19057</v>
      </c>
      <c r="H57" t="s">
        <v>220</v>
      </c>
      <c r="I57" t="s">
        <v>221</v>
      </c>
      <c r="J57" t="s">
        <v>125</v>
      </c>
      <c r="K57">
        <v>45282</v>
      </c>
      <c r="L57" t="s">
        <v>33</v>
      </c>
      <c r="M57" t="s">
        <v>34</v>
      </c>
      <c r="N57" t="s">
        <v>33</v>
      </c>
      <c r="O57" t="s">
        <v>25</v>
      </c>
      <c r="P57" t="s">
        <v>87</v>
      </c>
      <c r="Q57" t="s">
        <v>33</v>
      </c>
      <c r="R57" t="s">
        <v>46</v>
      </c>
      <c r="S57">
        <v>0.47</v>
      </c>
      <c r="T57" t="s">
        <v>37</v>
      </c>
      <c r="U57">
        <v>14.1</v>
      </c>
      <c r="V57">
        <v>14</v>
      </c>
      <c r="W57">
        <v>12.18</v>
      </c>
      <c r="X57">
        <v>40.69</v>
      </c>
      <c r="Y57">
        <v>117.7326595744681</v>
      </c>
    </row>
    <row r="58" spans="1:25" x14ac:dyDescent="0.35">
      <c r="A58" t="s">
        <v>25</v>
      </c>
      <c r="B58" t="s">
        <v>222</v>
      </c>
      <c r="C58" t="str">
        <f>VLOOKUP(B58,Tabelle3!A:C,2,FALSE)</f>
        <v>Nord</v>
      </c>
      <c r="D58" t="s">
        <v>27</v>
      </c>
      <c r="E58" t="s">
        <v>218</v>
      </c>
      <c r="F58" t="s">
        <v>223</v>
      </c>
      <c r="G58">
        <v>19061</v>
      </c>
      <c r="H58" t="s">
        <v>220</v>
      </c>
      <c r="I58" t="s">
        <v>224</v>
      </c>
      <c r="J58" t="s">
        <v>125</v>
      </c>
      <c r="K58">
        <v>34486</v>
      </c>
      <c r="L58" t="s">
        <v>33</v>
      </c>
      <c r="M58" t="s">
        <v>34</v>
      </c>
      <c r="N58" t="s">
        <v>33</v>
      </c>
      <c r="O58" t="s">
        <v>25</v>
      </c>
      <c r="P58" t="s">
        <v>50</v>
      </c>
      <c r="Q58" t="s">
        <v>33</v>
      </c>
      <c r="R58" t="s">
        <v>46</v>
      </c>
      <c r="S58">
        <v>0.37840000000000001</v>
      </c>
      <c r="T58" t="s">
        <v>47</v>
      </c>
      <c r="U58">
        <v>19.23</v>
      </c>
      <c r="V58">
        <v>18.902999999999999</v>
      </c>
      <c r="W58">
        <v>16.445609999999999</v>
      </c>
      <c r="X58">
        <v>40.69</v>
      </c>
      <c r="Y58">
        <v>145.86931818181816</v>
      </c>
    </row>
    <row r="59" spans="1:25" x14ac:dyDescent="0.35">
      <c r="A59" t="s">
        <v>25</v>
      </c>
      <c r="B59" t="s">
        <v>225</v>
      </c>
      <c r="C59" t="str">
        <f>VLOOKUP(B59,Tabelle3!A:C,2,FALSE)</f>
        <v>Nord</v>
      </c>
      <c r="D59" t="s">
        <v>27</v>
      </c>
      <c r="E59" t="s">
        <v>218</v>
      </c>
      <c r="F59" t="s">
        <v>226</v>
      </c>
      <c r="G59">
        <v>19061</v>
      </c>
      <c r="H59" t="s">
        <v>220</v>
      </c>
      <c r="I59" t="s">
        <v>224</v>
      </c>
      <c r="J59" t="s">
        <v>125</v>
      </c>
      <c r="K59">
        <v>44875</v>
      </c>
      <c r="L59" t="s">
        <v>33</v>
      </c>
      <c r="M59" t="s">
        <v>34</v>
      </c>
      <c r="N59" t="s">
        <v>33</v>
      </c>
      <c r="O59" t="s">
        <v>25</v>
      </c>
      <c r="P59" t="s">
        <v>87</v>
      </c>
      <c r="Q59" t="s">
        <v>33</v>
      </c>
      <c r="R59" t="s">
        <v>46</v>
      </c>
      <c r="S59">
        <v>0.432</v>
      </c>
      <c r="T59" t="s">
        <v>37</v>
      </c>
      <c r="U59">
        <v>23.06</v>
      </c>
      <c r="V59">
        <v>22.668299999999999</v>
      </c>
      <c r="W59">
        <v>19.721420999999999</v>
      </c>
      <c r="X59">
        <v>40.69</v>
      </c>
      <c r="Y59">
        <v>127.95682870370371</v>
      </c>
    </row>
    <row r="60" spans="1:25" x14ac:dyDescent="0.35">
      <c r="A60" t="s">
        <v>25</v>
      </c>
      <c r="B60" t="s">
        <v>227</v>
      </c>
      <c r="C60" t="str">
        <f>VLOOKUP(B60,Tabelle3!A:C,2,FALSE)</f>
        <v>Nord</v>
      </c>
      <c r="D60" t="s">
        <v>27</v>
      </c>
      <c r="E60" t="s">
        <v>218</v>
      </c>
      <c r="F60" t="s">
        <v>228</v>
      </c>
      <c r="G60">
        <v>19061</v>
      </c>
      <c r="H60" t="s">
        <v>220</v>
      </c>
      <c r="I60" t="s">
        <v>224</v>
      </c>
      <c r="J60" t="s">
        <v>125</v>
      </c>
      <c r="K60">
        <v>44867</v>
      </c>
      <c r="L60" t="s">
        <v>33</v>
      </c>
      <c r="M60" t="s">
        <v>34</v>
      </c>
      <c r="N60" t="s">
        <v>33</v>
      </c>
      <c r="O60" t="s">
        <v>25</v>
      </c>
      <c r="P60" t="s">
        <v>87</v>
      </c>
      <c r="Q60" t="s">
        <v>33</v>
      </c>
      <c r="R60" t="s">
        <v>46</v>
      </c>
      <c r="S60">
        <v>0.432</v>
      </c>
      <c r="T60" t="s">
        <v>37</v>
      </c>
      <c r="U60">
        <v>23.06</v>
      </c>
      <c r="V60">
        <v>22.668299999999999</v>
      </c>
      <c r="W60">
        <v>19.721420999999999</v>
      </c>
      <c r="X60">
        <v>40.69</v>
      </c>
      <c r="Y60">
        <v>127.95682870370371</v>
      </c>
    </row>
    <row r="61" spans="1:25" x14ac:dyDescent="0.35">
      <c r="A61" t="s">
        <v>25</v>
      </c>
      <c r="B61" t="s">
        <v>229</v>
      </c>
      <c r="C61" t="str">
        <f>VLOOKUP(B61,Tabelle3!A:C,2,FALSE)</f>
        <v>Nord</v>
      </c>
      <c r="D61" t="s">
        <v>27</v>
      </c>
      <c r="E61" t="s">
        <v>230</v>
      </c>
      <c r="F61" t="s">
        <v>231</v>
      </c>
      <c r="G61" t="s">
        <v>232</v>
      </c>
      <c r="H61" t="s">
        <v>233</v>
      </c>
      <c r="I61" t="s">
        <v>234</v>
      </c>
      <c r="J61" t="s">
        <v>119</v>
      </c>
      <c r="K61">
        <v>35430</v>
      </c>
      <c r="L61" t="s">
        <v>33</v>
      </c>
      <c r="M61" t="s">
        <v>34</v>
      </c>
      <c r="N61" t="s">
        <v>33</v>
      </c>
      <c r="O61" t="s">
        <v>44</v>
      </c>
      <c r="P61" t="s">
        <v>62</v>
      </c>
      <c r="Q61" t="s">
        <v>33</v>
      </c>
      <c r="R61" t="s">
        <v>36</v>
      </c>
      <c r="S61">
        <v>0.38169999999999998</v>
      </c>
      <c r="T61" t="s">
        <v>47</v>
      </c>
      <c r="U61">
        <v>50</v>
      </c>
      <c r="V61">
        <v>50</v>
      </c>
      <c r="W61">
        <v>43.5</v>
      </c>
      <c r="X61">
        <v>40.69</v>
      </c>
      <c r="Y61">
        <v>144.12116845690332</v>
      </c>
    </row>
    <row r="62" spans="1:25" x14ac:dyDescent="0.35">
      <c r="A62" t="s">
        <v>25</v>
      </c>
      <c r="B62" t="s">
        <v>235</v>
      </c>
      <c r="C62" t="str">
        <f>VLOOKUP(B62,Tabelle3!A:C,2,FALSE)</f>
        <v>Nord</v>
      </c>
      <c r="D62" t="s">
        <v>27</v>
      </c>
      <c r="E62" t="s">
        <v>230</v>
      </c>
      <c r="F62" t="s">
        <v>236</v>
      </c>
      <c r="G62" t="s">
        <v>237</v>
      </c>
      <c r="H62" t="s">
        <v>233</v>
      </c>
      <c r="I62" t="s">
        <v>238</v>
      </c>
      <c r="J62" t="s">
        <v>119</v>
      </c>
      <c r="K62">
        <v>36746</v>
      </c>
      <c r="L62" t="s">
        <v>33</v>
      </c>
      <c r="M62" t="s">
        <v>34</v>
      </c>
      <c r="N62" t="s">
        <v>33</v>
      </c>
      <c r="O62" t="s">
        <v>25</v>
      </c>
      <c r="P62" t="s">
        <v>35</v>
      </c>
      <c r="Q62" t="s">
        <v>33</v>
      </c>
      <c r="R62" t="s">
        <v>36</v>
      </c>
      <c r="S62">
        <v>0.54</v>
      </c>
      <c r="T62" t="s">
        <v>47</v>
      </c>
      <c r="U62">
        <v>110</v>
      </c>
      <c r="V62">
        <v>108</v>
      </c>
      <c r="W62">
        <v>93.96</v>
      </c>
      <c r="X62">
        <v>40.69</v>
      </c>
      <c r="Y62">
        <v>102.16546296296296</v>
      </c>
    </row>
    <row r="63" spans="1:25" x14ac:dyDescent="0.35">
      <c r="A63" t="s">
        <v>25</v>
      </c>
      <c r="B63" t="s">
        <v>239</v>
      </c>
      <c r="C63" t="str">
        <f>VLOOKUP(B63,Tabelle3!A:C,2,FALSE)</f>
        <v>Nord</v>
      </c>
      <c r="D63" t="s">
        <v>27</v>
      </c>
      <c r="E63" t="s">
        <v>240</v>
      </c>
      <c r="F63" t="s">
        <v>241</v>
      </c>
      <c r="G63" t="s">
        <v>242</v>
      </c>
      <c r="H63" t="s">
        <v>243</v>
      </c>
      <c r="I63" t="s">
        <v>244</v>
      </c>
      <c r="J63" t="s">
        <v>119</v>
      </c>
      <c r="K63">
        <v>43922</v>
      </c>
      <c r="L63" t="s">
        <v>33</v>
      </c>
      <c r="M63" t="s">
        <v>34</v>
      </c>
      <c r="N63" t="s">
        <v>33</v>
      </c>
      <c r="O63" t="s">
        <v>25</v>
      </c>
      <c r="P63" t="s">
        <v>35</v>
      </c>
      <c r="Q63" t="s">
        <v>33</v>
      </c>
      <c r="R63" t="s">
        <v>36</v>
      </c>
      <c r="S63">
        <v>0.39050000000000001</v>
      </c>
      <c r="T63" t="s">
        <v>47</v>
      </c>
      <c r="U63">
        <v>57.646000000000001</v>
      </c>
      <c r="V63">
        <v>56.844999999999999</v>
      </c>
      <c r="W63">
        <v>49.455149999999996</v>
      </c>
      <c r="X63">
        <v>40.69</v>
      </c>
      <c r="Y63">
        <v>140.89590268886042</v>
      </c>
    </row>
    <row r="64" spans="1:25" x14ac:dyDescent="0.35">
      <c r="A64" t="s">
        <v>25</v>
      </c>
      <c r="B64" t="s">
        <v>245</v>
      </c>
      <c r="C64" t="str">
        <f>VLOOKUP(B64,Tabelle3!A:C,2,FALSE)</f>
        <v>Nord</v>
      </c>
      <c r="D64" t="s">
        <v>27</v>
      </c>
      <c r="E64" t="s">
        <v>240</v>
      </c>
      <c r="F64" t="s">
        <v>246</v>
      </c>
      <c r="G64" t="s">
        <v>242</v>
      </c>
      <c r="H64" t="s">
        <v>243</v>
      </c>
      <c r="I64" t="s">
        <v>244</v>
      </c>
      <c r="J64" t="s">
        <v>119</v>
      </c>
      <c r="K64">
        <v>44166</v>
      </c>
      <c r="L64" t="s">
        <v>33</v>
      </c>
      <c r="M64" t="s">
        <v>34</v>
      </c>
      <c r="N64" t="s">
        <v>33</v>
      </c>
      <c r="O64" t="s">
        <v>25</v>
      </c>
      <c r="P64" t="s">
        <v>35</v>
      </c>
      <c r="Q64" t="s">
        <v>33</v>
      </c>
      <c r="R64" t="s">
        <v>36</v>
      </c>
      <c r="S64">
        <v>0.39050000000000001</v>
      </c>
      <c r="T64" t="s">
        <v>47</v>
      </c>
      <c r="U64">
        <v>57.95</v>
      </c>
      <c r="V64">
        <v>57.143999999999998</v>
      </c>
      <c r="W64">
        <v>49.71528</v>
      </c>
      <c r="X64">
        <v>40.69</v>
      </c>
      <c r="Y64">
        <v>140.89590268886042</v>
      </c>
    </row>
    <row r="65" spans="1:25" x14ac:dyDescent="0.35">
      <c r="A65" t="s">
        <v>25</v>
      </c>
      <c r="B65" t="s">
        <v>247</v>
      </c>
      <c r="C65" t="str">
        <f>VLOOKUP(B65,Tabelle3!A:C,2,FALSE)</f>
        <v>Nord</v>
      </c>
      <c r="D65" t="s">
        <v>27</v>
      </c>
      <c r="E65" t="s">
        <v>240</v>
      </c>
      <c r="F65" t="s">
        <v>248</v>
      </c>
      <c r="G65" t="s">
        <v>242</v>
      </c>
      <c r="H65" t="s">
        <v>243</v>
      </c>
      <c r="I65" t="s">
        <v>244</v>
      </c>
      <c r="J65" t="s">
        <v>119</v>
      </c>
      <c r="K65">
        <v>44105</v>
      </c>
      <c r="L65" t="s">
        <v>33</v>
      </c>
      <c r="M65" t="s">
        <v>34</v>
      </c>
      <c r="N65" t="s">
        <v>33</v>
      </c>
      <c r="O65" t="s">
        <v>25</v>
      </c>
      <c r="P65" t="s">
        <v>87</v>
      </c>
      <c r="Q65" t="s">
        <v>33</v>
      </c>
      <c r="R65" t="s">
        <v>46</v>
      </c>
      <c r="S65">
        <v>0.44</v>
      </c>
      <c r="T65" t="s">
        <v>249</v>
      </c>
      <c r="U65">
        <v>57.332000000000001</v>
      </c>
      <c r="V65">
        <v>57.322000000000003</v>
      </c>
      <c r="W65">
        <v>49.870139999999999</v>
      </c>
      <c r="X65">
        <v>40.69</v>
      </c>
      <c r="Y65">
        <v>125.65761363636364</v>
      </c>
    </row>
    <row r="66" spans="1:25" x14ac:dyDescent="0.35">
      <c r="A66" t="s">
        <v>25</v>
      </c>
      <c r="B66" t="s">
        <v>250</v>
      </c>
      <c r="C66" t="str">
        <f>VLOOKUP(B66,Tabelle3!A:C,2,FALSE)</f>
        <v>Nord</v>
      </c>
      <c r="D66" t="s">
        <v>27</v>
      </c>
      <c r="E66" t="s">
        <v>251</v>
      </c>
      <c r="F66" t="s">
        <v>252</v>
      </c>
      <c r="G66">
        <v>12059</v>
      </c>
      <c r="H66" t="s">
        <v>58</v>
      </c>
      <c r="I66" t="s">
        <v>253</v>
      </c>
      <c r="J66" t="s">
        <v>58</v>
      </c>
      <c r="K66">
        <v>45273</v>
      </c>
      <c r="L66" t="s">
        <v>33</v>
      </c>
      <c r="M66" t="s">
        <v>34</v>
      </c>
      <c r="N66" t="s">
        <v>33</v>
      </c>
      <c r="O66" t="s">
        <v>25</v>
      </c>
      <c r="P66" t="s">
        <v>137</v>
      </c>
      <c r="Q66" t="s">
        <v>33</v>
      </c>
      <c r="R66" t="s">
        <v>46</v>
      </c>
      <c r="S66">
        <v>0.47</v>
      </c>
      <c r="T66" t="s">
        <v>37</v>
      </c>
      <c r="U66">
        <v>10.31</v>
      </c>
      <c r="V66">
        <v>10.287000000000001</v>
      </c>
      <c r="W66">
        <v>8.9496900000000004</v>
      </c>
      <c r="X66">
        <v>40.69</v>
      </c>
      <c r="Y66">
        <v>117.7326595744681</v>
      </c>
    </row>
    <row r="67" spans="1:25" x14ac:dyDescent="0.35">
      <c r="A67" t="s">
        <v>25</v>
      </c>
      <c r="B67" t="s">
        <v>254</v>
      </c>
      <c r="C67" t="str">
        <f>VLOOKUP(B67,Tabelle3!A:C,2,FALSE)</f>
        <v>Nord</v>
      </c>
      <c r="D67" t="s">
        <v>27</v>
      </c>
      <c r="E67" t="s">
        <v>255</v>
      </c>
      <c r="F67" t="s">
        <v>256</v>
      </c>
      <c r="G67" t="s">
        <v>257</v>
      </c>
      <c r="H67" t="s">
        <v>258</v>
      </c>
      <c r="I67" t="s">
        <v>259</v>
      </c>
      <c r="J67" t="s">
        <v>119</v>
      </c>
      <c r="K67">
        <v>35065</v>
      </c>
      <c r="L67" t="s">
        <v>33</v>
      </c>
      <c r="M67" t="s">
        <v>34</v>
      </c>
      <c r="N67" t="s">
        <v>33</v>
      </c>
      <c r="O67" t="s">
        <v>25</v>
      </c>
      <c r="P67" t="s">
        <v>35</v>
      </c>
      <c r="Q67" t="s">
        <v>33</v>
      </c>
      <c r="R67" t="s">
        <v>36</v>
      </c>
      <c r="S67">
        <v>0.38059999999999999</v>
      </c>
      <c r="T67" t="s">
        <v>260</v>
      </c>
      <c r="U67">
        <v>39.835999999999999</v>
      </c>
      <c r="V67">
        <v>39.119999999999997</v>
      </c>
      <c r="W67">
        <v>34.034399999999998</v>
      </c>
      <c r="X67">
        <v>40.69</v>
      </c>
      <c r="Y67">
        <v>144.5348134524435</v>
      </c>
    </row>
    <row r="68" spans="1:25" x14ac:dyDescent="0.35">
      <c r="A68" t="s">
        <v>25</v>
      </c>
      <c r="B68" t="s">
        <v>261</v>
      </c>
      <c r="C68" t="s">
        <v>4080</v>
      </c>
      <c r="D68" t="s">
        <v>27</v>
      </c>
      <c r="E68" t="s">
        <v>262</v>
      </c>
      <c r="F68" t="s">
        <v>263</v>
      </c>
      <c r="G68">
        <v>22113</v>
      </c>
      <c r="H68" t="s">
        <v>264</v>
      </c>
      <c r="I68" t="s">
        <v>265</v>
      </c>
      <c r="J68" t="s">
        <v>264</v>
      </c>
      <c r="K68">
        <v>39934</v>
      </c>
      <c r="L68" t="s">
        <v>69</v>
      </c>
      <c r="N68" t="s">
        <v>69</v>
      </c>
      <c r="O68" t="s">
        <v>25</v>
      </c>
      <c r="P68" t="s">
        <v>266</v>
      </c>
      <c r="Q68" t="s">
        <v>71</v>
      </c>
      <c r="R68" t="s">
        <v>71</v>
      </c>
      <c r="S68">
        <v>0.4</v>
      </c>
      <c r="T68" t="s">
        <v>267</v>
      </c>
      <c r="U68">
        <v>28</v>
      </c>
      <c r="V68">
        <v>27</v>
      </c>
      <c r="W68">
        <v>22.95</v>
      </c>
      <c r="X68">
        <v>95.59</v>
      </c>
      <c r="Y68">
        <v>277.07724999999999</v>
      </c>
    </row>
    <row r="69" spans="1:25" x14ac:dyDescent="0.35">
      <c r="A69" t="s">
        <v>25</v>
      </c>
      <c r="B69" t="s">
        <v>268</v>
      </c>
      <c r="C69" t="str">
        <f>VLOOKUP(B69,Tabelle3!A:C,2,FALSE)</f>
        <v>Nord</v>
      </c>
      <c r="D69" t="s">
        <v>27</v>
      </c>
      <c r="E69" t="s">
        <v>262</v>
      </c>
      <c r="F69" t="s">
        <v>269</v>
      </c>
      <c r="G69">
        <v>22113</v>
      </c>
      <c r="H69" t="s">
        <v>264</v>
      </c>
      <c r="I69" t="s">
        <v>265</v>
      </c>
      <c r="J69" t="s">
        <v>264</v>
      </c>
      <c r="K69">
        <v>39934</v>
      </c>
      <c r="L69" t="s">
        <v>33</v>
      </c>
      <c r="M69" t="s">
        <v>34</v>
      </c>
      <c r="N69" t="s">
        <v>33</v>
      </c>
      <c r="O69" t="s">
        <v>25</v>
      </c>
      <c r="P69" t="s">
        <v>87</v>
      </c>
      <c r="Q69" t="s">
        <v>33</v>
      </c>
      <c r="R69" t="s">
        <v>46</v>
      </c>
      <c r="S69">
        <v>0.58050000000000002</v>
      </c>
      <c r="T69" t="s">
        <v>47</v>
      </c>
      <c r="U69">
        <v>51</v>
      </c>
      <c r="V69">
        <v>50</v>
      </c>
      <c r="W69">
        <v>43.5</v>
      </c>
      <c r="X69">
        <v>40.69</v>
      </c>
      <c r="Y69">
        <v>95.607407407407408</v>
      </c>
    </row>
    <row r="70" spans="1:25" x14ac:dyDescent="0.35">
      <c r="A70" t="s">
        <v>25</v>
      </c>
      <c r="B70" t="s">
        <v>270</v>
      </c>
      <c r="C70" t="s">
        <v>4080</v>
      </c>
      <c r="D70" t="s">
        <v>27</v>
      </c>
      <c r="E70" t="s">
        <v>262</v>
      </c>
      <c r="F70" t="s">
        <v>271</v>
      </c>
      <c r="G70">
        <v>22113</v>
      </c>
      <c r="H70" t="s">
        <v>264</v>
      </c>
      <c r="I70" t="s">
        <v>265</v>
      </c>
      <c r="J70" t="s">
        <v>264</v>
      </c>
      <c r="K70">
        <v>39934</v>
      </c>
      <c r="L70" t="s">
        <v>33</v>
      </c>
      <c r="M70" t="s">
        <v>34</v>
      </c>
      <c r="N70" t="s">
        <v>33</v>
      </c>
      <c r="O70" t="s">
        <v>25</v>
      </c>
      <c r="P70" t="s">
        <v>87</v>
      </c>
      <c r="Q70" t="s">
        <v>33</v>
      </c>
      <c r="R70" t="s">
        <v>46</v>
      </c>
      <c r="S70">
        <v>0.58050000000000002</v>
      </c>
      <c r="T70" t="s">
        <v>47</v>
      </c>
      <c r="U70">
        <v>51</v>
      </c>
      <c r="V70">
        <v>50</v>
      </c>
      <c r="W70">
        <v>43.5</v>
      </c>
      <c r="X70">
        <v>40.69</v>
      </c>
      <c r="Y70">
        <v>95.607407407407408</v>
      </c>
    </row>
    <row r="71" spans="1:25" x14ac:dyDescent="0.35">
      <c r="A71" t="s">
        <v>25</v>
      </c>
      <c r="B71" t="s">
        <v>272</v>
      </c>
      <c r="C71" t="s">
        <v>4080</v>
      </c>
      <c r="D71" t="s">
        <v>27</v>
      </c>
      <c r="E71" t="s">
        <v>262</v>
      </c>
      <c r="F71" t="s">
        <v>273</v>
      </c>
      <c r="G71">
        <v>22880</v>
      </c>
      <c r="H71" t="s">
        <v>274</v>
      </c>
      <c r="I71" t="s">
        <v>275</v>
      </c>
      <c r="J71" t="s">
        <v>276</v>
      </c>
      <c r="K71">
        <v>34298</v>
      </c>
      <c r="L71" t="s">
        <v>92</v>
      </c>
      <c r="M71" t="s">
        <v>93</v>
      </c>
      <c r="N71" t="s">
        <v>92</v>
      </c>
      <c r="O71" t="s">
        <v>25</v>
      </c>
      <c r="P71" t="s">
        <v>82</v>
      </c>
      <c r="Q71" t="s">
        <v>92</v>
      </c>
      <c r="R71" t="s">
        <v>92</v>
      </c>
      <c r="S71">
        <v>0.36</v>
      </c>
      <c r="T71" t="s">
        <v>47</v>
      </c>
      <c r="U71">
        <v>133.6</v>
      </c>
      <c r="V71">
        <v>116</v>
      </c>
      <c r="W71">
        <v>92.800000000000011</v>
      </c>
      <c r="X71">
        <v>15.55</v>
      </c>
      <c r="Y71">
        <v>109.41375000000001</v>
      </c>
    </row>
    <row r="72" spans="1:25" x14ac:dyDescent="0.35">
      <c r="A72" t="s">
        <v>25</v>
      </c>
      <c r="B72" t="s">
        <v>277</v>
      </c>
      <c r="C72" t="s">
        <v>4080</v>
      </c>
      <c r="D72" t="s">
        <v>27</v>
      </c>
      <c r="E72" t="s">
        <v>262</v>
      </c>
      <c r="F72" t="s">
        <v>278</v>
      </c>
      <c r="G72">
        <v>22880</v>
      </c>
      <c r="H72" t="s">
        <v>274</v>
      </c>
      <c r="I72" t="s">
        <v>275</v>
      </c>
      <c r="J72" t="s">
        <v>276</v>
      </c>
      <c r="K72">
        <v>34298</v>
      </c>
      <c r="L72" t="s">
        <v>92</v>
      </c>
      <c r="M72" t="s">
        <v>93</v>
      </c>
      <c r="N72" t="s">
        <v>92</v>
      </c>
      <c r="O72" t="s">
        <v>25</v>
      </c>
      <c r="P72" t="s">
        <v>82</v>
      </c>
      <c r="Q72" t="s">
        <v>92</v>
      </c>
      <c r="R72" t="s">
        <v>92</v>
      </c>
      <c r="S72">
        <v>0.36</v>
      </c>
      <c r="T72" t="s">
        <v>47</v>
      </c>
      <c r="U72">
        <v>152.80000000000001</v>
      </c>
      <c r="V72">
        <v>137</v>
      </c>
      <c r="W72">
        <v>109.60000000000001</v>
      </c>
      <c r="X72">
        <v>15.55</v>
      </c>
      <c r="Y72">
        <v>109.41375000000001</v>
      </c>
    </row>
    <row r="73" spans="1:25" x14ac:dyDescent="0.35">
      <c r="A73" t="s">
        <v>25</v>
      </c>
      <c r="B73" t="s">
        <v>279</v>
      </c>
      <c r="C73" t="s">
        <v>4080</v>
      </c>
      <c r="D73" t="s">
        <v>27</v>
      </c>
      <c r="E73" t="s">
        <v>262</v>
      </c>
      <c r="F73" t="s">
        <v>280</v>
      </c>
      <c r="G73">
        <v>22113</v>
      </c>
      <c r="H73" t="s">
        <v>264</v>
      </c>
      <c r="I73" t="s">
        <v>265</v>
      </c>
      <c r="J73" t="s">
        <v>264</v>
      </c>
      <c r="K73">
        <v>34060</v>
      </c>
      <c r="L73" t="s">
        <v>92</v>
      </c>
      <c r="M73" t="s">
        <v>93</v>
      </c>
      <c r="N73" t="s">
        <v>92</v>
      </c>
      <c r="O73" t="s">
        <v>25</v>
      </c>
      <c r="P73" t="s">
        <v>82</v>
      </c>
      <c r="Q73" t="s">
        <v>92</v>
      </c>
      <c r="R73" t="s">
        <v>92</v>
      </c>
      <c r="S73">
        <v>0.40749999999999997</v>
      </c>
      <c r="T73" t="s">
        <v>47</v>
      </c>
      <c r="U73">
        <v>205</v>
      </c>
      <c r="V73">
        <v>189</v>
      </c>
      <c r="W73">
        <v>151.20000000000002</v>
      </c>
      <c r="X73">
        <v>15.55</v>
      </c>
      <c r="Y73">
        <v>96.811533742331292</v>
      </c>
    </row>
    <row r="74" spans="1:25" x14ac:dyDescent="0.35">
      <c r="A74" t="s">
        <v>25</v>
      </c>
      <c r="B74" t="s">
        <v>281</v>
      </c>
      <c r="C74" t="str">
        <f>VLOOKUP(B74,Tabelle3!A:C,2,FALSE)</f>
        <v>Nord</v>
      </c>
      <c r="D74" t="s">
        <v>27</v>
      </c>
      <c r="E74" t="s">
        <v>282</v>
      </c>
      <c r="F74" t="s">
        <v>283</v>
      </c>
      <c r="G74" t="s">
        <v>284</v>
      </c>
      <c r="H74" t="s">
        <v>243</v>
      </c>
      <c r="I74" t="s">
        <v>285</v>
      </c>
      <c r="J74" t="s">
        <v>119</v>
      </c>
      <c r="K74">
        <v>34425</v>
      </c>
      <c r="L74" t="s">
        <v>33</v>
      </c>
      <c r="N74" t="s">
        <v>33</v>
      </c>
      <c r="O74" t="s">
        <v>25</v>
      </c>
      <c r="P74" t="s">
        <v>50</v>
      </c>
      <c r="Q74" t="s">
        <v>33</v>
      </c>
      <c r="R74" t="s">
        <v>46</v>
      </c>
      <c r="S74">
        <v>0.52500000000000002</v>
      </c>
      <c r="T74" t="s">
        <v>286</v>
      </c>
      <c r="U74">
        <v>12.471</v>
      </c>
      <c r="V74">
        <v>12.158467</v>
      </c>
      <c r="W74">
        <v>10.577866289999999</v>
      </c>
      <c r="X74">
        <v>40.69</v>
      </c>
      <c r="Y74">
        <v>105.55590476190474</v>
      </c>
    </row>
    <row r="75" spans="1:25" x14ac:dyDescent="0.35">
      <c r="A75" t="s">
        <v>25</v>
      </c>
      <c r="B75" t="s">
        <v>287</v>
      </c>
      <c r="C75" t="str">
        <f>VLOOKUP(B75,Tabelle3!A:C,2,FALSE)</f>
        <v>Nord</v>
      </c>
      <c r="D75" t="s">
        <v>27</v>
      </c>
      <c r="E75" t="s">
        <v>282</v>
      </c>
      <c r="F75" t="s">
        <v>288</v>
      </c>
      <c r="G75" t="s">
        <v>284</v>
      </c>
      <c r="H75" t="s">
        <v>243</v>
      </c>
      <c r="I75" t="s">
        <v>285</v>
      </c>
      <c r="J75" t="s">
        <v>119</v>
      </c>
      <c r="K75">
        <v>34425</v>
      </c>
      <c r="L75" t="s">
        <v>33</v>
      </c>
      <c r="M75" t="s">
        <v>34</v>
      </c>
      <c r="N75" t="s">
        <v>33</v>
      </c>
      <c r="O75" t="s">
        <v>25</v>
      </c>
      <c r="P75" t="s">
        <v>35</v>
      </c>
      <c r="Q75" t="s">
        <v>33</v>
      </c>
      <c r="R75" t="s">
        <v>36</v>
      </c>
      <c r="S75">
        <v>0.52500000000000002</v>
      </c>
      <c r="T75" t="s">
        <v>47</v>
      </c>
      <c r="U75">
        <v>56.241999999999997</v>
      </c>
      <c r="V75">
        <v>54.832533000000005</v>
      </c>
      <c r="W75">
        <v>47.704303710000005</v>
      </c>
      <c r="X75">
        <v>40.69</v>
      </c>
      <c r="Y75">
        <v>105.05590476190474</v>
      </c>
    </row>
    <row r="76" spans="1:25" x14ac:dyDescent="0.35">
      <c r="A76" t="s">
        <v>25</v>
      </c>
      <c r="B76" t="s">
        <v>289</v>
      </c>
      <c r="C76" t="str">
        <f>VLOOKUP(B76,Tabelle3!A:C,2,FALSE)</f>
        <v>Nord</v>
      </c>
      <c r="D76" t="s">
        <v>27</v>
      </c>
      <c r="E76" t="s">
        <v>290</v>
      </c>
      <c r="F76" t="s">
        <v>290</v>
      </c>
      <c r="G76">
        <v>15562</v>
      </c>
      <c r="H76" t="s">
        <v>291</v>
      </c>
      <c r="I76" t="s">
        <v>292</v>
      </c>
      <c r="J76" t="s">
        <v>32</v>
      </c>
      <c r="K76">
        <v>39428</v>
      </c>
      <c r="L76" t="s">
        <v>171</v>
      </c>
      <c r="M76" t="s">
        <v>293</v>
      </c>
      <c r="N76" t="s">
        <v>173</v>
      </c>
      <c r="O76" t="s">
        <v>25</v>
      </c>
      <c r="P76" t="s">
        <v>82</v>
      </c>
      <c r="Q76" t="s">
        <v>173</v>
      </c>
      <c r="R76" t="s">
        <v>173</v>
      </c>
      <c r="S76">
        <v>0.33</v>
      </c>
      <c r="T76" t="s">
        <v>47</v>
      </c>
      <c r="U76">
        <v>35.54</v>
      </c>
      <c r="V76">
        <v>30</v>
      </c>
      <c r="W76">
        <v>25.5</v>
      </c>
      <c r="X76">
        <v>0</v>
      </c>
      <c r="Y76">
        <v>1</v>
      </c>
    </row>
    <row r="77" spans="1:25" x14ac:dyDescent="0.35">
      <c r="A77" t="s">
        <v>25</v>
      </c>
      <c r="B77" t="s">
        <v>294</v>
      </c>
      <c r="C77" t="str">
        <f>VLOOKUP(B77,Tabelle3!A:C,2,FALSE)</f>
        <v>Nord</v>
      </c>
      <c r="D77" t="s">
        <v>27</v>
      </c>
      <c r="E77" t="s">
        <v>295</v>
      </c>
      <c r="F77" t="s">
        <v>295</v>
      </c>
      <c r="G77">
        <v>17509</v>
      </c>
      <c r="H77" t="s">
        <v>296</v>
      </c>
      <c r="I77" t="s">
        <v>297</v>
      </c>
      <c r="J77" t="s">
        <v>125</v>
      </c>
      <c r="K77">
        <v>41625</v>
      </c>
      <c r="L77" t="s">
        <v>33</v>
      </c>
      <c r="M77" t="s">
        <v>34</v>
      </c>
      <c r="N77" t="s">
        <v>33</v>
      </c>
      <c r="O77" t="s">
        <v>25</v>
      </c>
      <c r="P77" t="s">
        <v>87</v>
      </c>
      <c r="Q77" t="s">
        <v>33</v>
      </c>
      <c r="R77" t="s">
        <v>46</v>
      </c>
      <c r="S77">
        <v>0.39929999999999999</v>
      </c>
      <c r="T77" t="s">
        <v>260</v>
      </c>
      <c r="U77">
        <v>39</v>
      </c>
      <c r="V77">
        <v>38.200000000000003</v>
      </c>
      <c r="W77">
        <v>33.234000000000002</v>
      </c>
      <c r="X77">
        <v>40.69</v>
      </c>
      <c r="Y77">
        <v>138.31279739544203</v>
      </c>
    </row>
    <row r="78" spans="1:25" x14ac:dyDescent="0.35">
      <c r="A78" t="s">
        <v>25</v>
      </c>
      <c r="B78" t="s">
        <v>298</v>
      </c>
      <c r="C78" t="str">
        <f>VLOOKUP(B78,Tabelle3!A:C,2,FALSE)</f>
        <v>Nord</v>
      </c>
      <c r="D78" t="s">
        <v>27</v>
      </c>
      <c r="E78" t="s">
        <v>299</v>
      </c>
      <c r="F78" t="s">
        <v>300</v>
      </c>
      <c r="G78" t="s">
        <v>301</v>
      </c>
      <c r="H78" t="s">
        <v>302</v>
      </c>
      <c r="I78" t="s">
        <v>303</v>
      </c>
      <c r="J78" t="s">
        <v>119</v>
      </c>
      <c r="K78">
        <v>36570</v>
      </c>
      <c r="L78" t="s">
        <v>69</v>
      </c>
      <c r="M78" t="s">
        <v>70</v>
      </c>
      <c r="N78" t="s">
        <v>69</v>
      </c>
      <c r="O78" t="s">
        <v>44</v>
      </c>
      <c r="P78" t="s">
        <v>45</v>
      </c>
      <c r="Q78" t="s">
        <v>71</v>
      </c>
      <c r="R78" t="s">
        <v>71</v>
      </c>
      <c r="S78">
        <v>0.38500000000000001</v>
      </c>
      <c r="T78" t="s">
        <v>37</v>
      </c>
      <c r="U78">
        <v>14.7</v>
      </c>
      <c r="V78">
        <v>14</v>
      </c>
      <c r="W78">
        <v>11.9</v>
      </c>
      <c r="X78">
        <v>95.59</v>
      </c>
      <c r="Y78">
        <v>287.83350649350649</v>
      </c>
    </row>
    <row r="79" spans="1:25" x14ac:dyDescent="0.35">
      <c r="A79" t="s">
        <v>25</v>
      </c>
      <c r="B79" t="s">
        <v>304</v>
      </c>
      <c r="C79" t="str">
        <f>VLOOKUP(B79,Tabelle3!A:C,2,FALSE)</f>
        <v>Nord</v>
      </c>
      <c r="D79" t="s">
        <v>27</v>
      </c>
      <c r="E79" t="s">
        <v>299</v>
      </c>
      <c r="F79" t="s">
        <v>305</v>
      </c>
      <c r="G79" t="s">
        <v>301</v>
      </c>
      <c r="H79" t="s">
        <v>302</v>
      </c>
      <c r="I79" t="s">
        <v>303</v>
      </c>
      <c r="J79" t="s">
        <v>119</v>
      </c>
      <c r="K79">
        <v>40298</v>
      </c>
      <c r="L79" t="s">
        <v>69</v>
      </c>
      <c r="M79" t="s">
        <v>70</v>
      </c>
      <c r="N79" t="s">
        <v>69</v>
      </c>
      <c r="O79" t="s">
        <v>44</v>
      </c>
      <c r="P79" t="s">
        <v>45</v>
      </c>
      <c r="Q79" t="s">
        <v>71</v>
      </c>
      <c r="R79" t="s">
        <v>71</v>
      </c>
      <c r="S79">
        <v>0.39600000000000002</v>
      </c>
      <c r="T79" t="s">
        <v>37</v>
      </c>
      <c r="U79">
        <v>21.6</v>
      </c>
      <c r="V79">
        <v>20</v>
      </c>
      <c r="W79">
        <v>17</v>
      </c>
      <c r="X79">
        <v>95.59</v>
      </c>
      <c r="Y79">
        <v>279.8659090909091</v>
      </c>
    </row>
    <row r="80" spans="1:25" x14ac:dyDescent="0.35">
      <c r="A80" t="s">
        <v>25</v>
      </c>
      <c r="B80" t="s">
        <v>306</v>
      </c>
      <c r="C80" t="str">
        <f>VLOOKUP(B80,Tabelle3!A:C,2,FALSE)</f>
        <v>Nord</v>
      </c>
      <c r="D80" t="s">
        <v>27</v>
      </c>
      <c r="E80" t="s">
        <v>299</v>
      </c>
      <c r="F80" t="s">
        <v>307</v>
      </c>
      <c r="G80" t="s">
        <v>301</v>
      </c>
      <c r="H80" t="s">
        <v>302</v>
      </c>
      <c r="I80" t="s">
        <v>303</v>
      </c>
      <c r="J80" t="s">
        <v>119</v>
      </c>
      <c r="K80">
        <v>44767</v>
      </c>
      <c r="L80" t="s">
        <v>69</v>
      </c>
      <c r="M80" t="s">
        <v>70</v>
      </c>
      <c r="N80" t="s">
        <v>69</v>
      </c>
      <c r="O80" t="s">
        <v>25</v>
      </c>
      <c r="P80" t="s">
        <v>50</v>
      </c>
      <c r="Q80" t="s">
        <v>71</v>
      </c>
      <c r="R80" t="s">
        <v>71</v>
      </c>
      <c r="S80">
        <v>0.4</v>
      </c>
      <c r="T80" t="s">
        <v>108</v>
      </c>
      <c r="U80">
        <v>24.4</v>
      </c>
      <c r="V80">
        <v>23.9</v>
      </c>
      <c r="W80">
        <v>20.314999999999998</v>
      </c>
      <c r="X80">
        <v>95.59</v>
      </c>
      <c r="Y80">
        <v>277.07724999999999</v>
      </c>
    </row>
    <row r="81" spans="1:25" x14ac:dyDescent="0.35">
      <c r="A81" t="s">
        <v>25</v>
      </c>
      <c r="B81" t="s">
        <v>308</v>
      </c>
      <c r="C81" t="str">
        <f>VLOOKUP(B81,Tabelle3!A:C,2,FALSE)</f>
        <v>Nord</v>
      </c>
      <c r="D81" t="s">
        <v>27</v>
      </c>
      <c r="E81" t="s">
        <v>299</v>
      </c>
      <c r="F81" t="s">
        <v>54</v>
      </c>
      <c r="G81" t="s">
        <v>301</v>
      </c>
      <c r="H81" t="s">
        <v>302</v>
      </c>
      <c r="I81" t="s">
        <v>303</v>
      </c>
      <c r="J81" t="s">
        <v>119</v>
      </c>
      <c r="K81">
        <v>34516</v>
      </c>
      <c r="L81" t="s">
        <v>33</v>
      </c>
      <c r="M81" t="s">
        <v>34</v>
      </c>
      <c r="N81" t="s">
        <v>33</v>
      </c>
      <c r="O81" t="s">
        <v>25</v>
      </c>
      <c r="P81" t="s">
        <v>87</v>
      </c>
      <c r="Q81" t="s">
        <v>33</v>
      </c>
      <c r="R81" t="s">
        <v>46</v>
      </c>
      <c r="S81">
        <v>0.51300000000000001</v>
      </c>
      <c r="T81" t="s">
        <v>47</v>
      </c>
      <c r="U81">
        <v>37.6</v>
      </c>
      <c r="V81">
        <v>37</v>
      </c>
      <c r="W81">
        <v>32.19</v>
      </c>
      <c r="X81">
        <v>40.69</v>
      </c>
      <c r="Y81">
        <v>107.98996101364521</v>
      </c>
    </row>
    <row r="82" spans="1:25" x14ac:dyDescent="0.35">
      <c r="A82" t="s">
        <v>25</v>
      </c>
      <c r="B82" t="s">
        <v>309</v>
      </c>
      <c r="C82" t="str">
        <f>VLOOKUP(B82,Tabelle3!A:C,2,FALSE)</f>
        <v>Nord</v>
      </c>
      <c r="D82" t="s">
        <v>27</v>
      </c>
      <c r="E82" t="s">
        <v>299</v>
      </c>
      <c r="F82" t="s">
        <v>157</v>
      </c>
      <c r="G82" t="s">
        <v>301</v>
      </c>
      <c r="H82" t="s">
        <v>302</v>
      </c>
      <c r="I82" t="s">
        <v>303</v>
      </c>
      <c r="J82" t="s">
        <v>119</v>
      </c>
      <c r="K82">
        <v>34516</v>
      </c>
      <c r="L82" t="s">
        <v>33</v>
      </c>
      <c r="M82" t="s">
        <v>34</v>
      </c>
      <c r="N82" t="s">
        <v>33</v>
      </c>
      <c r="O82" t="s">
        <v>25</v>
      </c>
      <c r="P82" t="s">
        <v>87</v>
      </c>
      <c r="Q82" t="s">
        <v>33</v>
      </c>
      <c r="R82" t="s">
        <v>46</v>
      </c>
      <c r="S82">
        <v>0.51300000000000001</v>
      </c>
      <c r="T82" t="s">
        <v>47</v>
      </c>
      <c r="U82">
        <v>37.6</v>
      </c>
      <c r="V82">
        <v>37</v>
      </c>
      <c r="W82">
        <v>32.19</v>
      </c>
      <c r="X82">
        <v>40.69</v>
      </c>
      <c r="Y82">
        <v>107.98996101364521</v>
      </c>
    </row>
    <row r="83" spans="1:25" x14ac:dyDescent="0.35">
      <c r="A83" t="s">
        <v>25</v>
      </c>
      <c r="B83" t="s">
        <v>310</v>
      </c>
      <c r="C83" t="str">
        <f>VLOOKUP(B83,Tabelle3!A:C,2,FALSE)</f>
        <v>Nord</v>
      </c>
      <c r="D83" t="s">
        <v>27</v>
      </c>
      <c r="E83" t="s">
        <v>299</v>
      </c>
      <c r="F83" t="s">
        <v>311</v>
      </c>
      <c r="G83" t="s">
        <v>301</v>
      </c>
      <c r="H83" t="s">
        <v>302</v>
      </c>
      <c r="I83" t="s">
        <v>303</v>
      </c>
      <c r="J83" t="s">
        <v>119</v>
      </c>
      <c r="K83">
        <v>36069</v>
      </c>
      <c r="L83" t="s">
        <v>33</v>
      </c>
      <c r="M83" t="s">
        <v>34</v>
      </c>
      <c r="N83" t="s">
        <v>33</v>
      </c>
      <c r="O83" t="s">
        <v>25</v>
      </c>
      <c r="P83" t="s">
        <v>87</v>
      </c>
      <c r="Q83" t="s">
        <v>33</v>
      </c>
      <c r="R83" t="s">
        <v>46</v>
      </c>
      <c r="S83">
        <v>0.53100000000000003</v>
      </c>
      <c r="T83" t="s">
        <v>47</v>
      </c>
      <c r="U83">
        <v>39</v>
      </c>
      <c r="V83">
        <v>38.4</v>
      </c>
      <c r="W83">
        <v>33.408000000000001</v>
      </c>
      <c r="X83">
        <v>40.69</v>
      </c>
      <c r="Y83">
        <v>104.380131826742</v>
      </c>
    </row>
    <row r="84" spans="1:25" x14ac:dyDescent="0.35">
      <c r="A84" t="s">
        <v>25</v>
      </c>
      <c r="B84" t="s">
        <v>312</v>
      </c>
      <c r="C84" t="str">
        <f>VLOOKUP(B84,Tabelle3!A:C,2,FALSE)</f>
        <v>Nord</v>
      </c>
      <c r="D84" t="s">
        <v>27</v>
      </c>
      <c r="E84" t="s">
        <v>299</v>
      </c>
      <c r="F84" t="s">
        <v>313</v>
      </c>
      <c r="G84" t="s">
        <v>301</v>
      </c>
      <c r="H84" t="s">
        <v>302</v>
      </c>
      <c r="I84" t="s">
        <v>303</v>
      </c>
      <c r="J84" t="s">
        <v>119</v>
      </c>
      <c r="K84">
        <v>44714</v>
      </c>
      <c r="L84" t="s">
        <v>33</v>
      </c>
      <c r="M84" t="s">
        <v>34</v>
      </c>
      <c r="N84" t="s">
        <v>33</v>
      </c>
      <c r="O84" t="s">
        <v>25</v>
      </c>
      <c r="P84" t="s">
        <v>87</v>
      </c>
      <c r="Q84" t="s">
        <v>33</v>
      </c>
      <c r="R84" t="s">
        <v>46</v>
      </c>
      <c r="S84">
        <v>0.432</v>
      </c>
      <c r="T84" t="s">
        <v>37</v>
      </c>
      <c r="U84">
        <v>56.5</v>
      </c>
      <c r="V84">
        <v>55.4</v>
      </c>
      <c r="W84">
        <v>48.198</v>
      </c>
      <c r="X84">
        <v>40.69</v>
      </c>
      <c r="Y84">
        <v>127.95682870370371</v>
      </c>
    </row>
    <row r="85" spans="1:25" x14ac:dyDescent="0.35">
      <c r="A85" t="s">
        <v>25</v>
      </c>
      <c r="B85" t="s">
        <v>314</v>
      </c>
      <c r="C85" t="str">
        <f>VLOOKUP(B85,Tabelle3!A:C,2,FALSE)</f>
        <v>Nord</v>
      </c>
      <c r="D85" t="s">
        <v>27</v>
      </c>
      <c r="E85" t="s">
        <v>315</v>
      </c>
      <c r="F85" t="s">
        <v>316</v>
      </c>
      <c r="G85">
        <v>36414</v>
      </c>
      <c r="H85" t="s">
        <v>317</v>
      </c>
      <c r="I85" t="s">
        <v>318</v>
      </c>
      <c r="J85" t="s">
        <v>319</v>
      </c>
      <c r="K85">
        <v>37439</v>
      </c>
      <c r="L85" t="s">
        <v>69</v>
      </c>
      <c r="M85" t="s">
        <v>70</v>
      </c>
      <c r="N85" t="s">
        <v>69</v>
      </c>
      <c r="O85" t="s">
        <v>25</v>
      </c>
      <c r="P85" t="s">
        <v>266</v>
      </c>
      <c r="Q85" t="s">
        <v>71</v>
      </c>
      <c r="R85" t="s">
        <v>71</v>
      </c>
      <c r="S85">
        <v>0.3795</v>
      </c>
      <c r="T85" t="s">
        <v>47</v>
      </c>
      <c r="U85">
        <v>11.493</v>
      </c>
      <c r="V85">
        <v>11.3</v>
      </c>
      <c r="W85">
        <v>9.6050000000000004</v>
      </c>
      <c r="X85">
        <v>95.59</v>
      </c>
      <c r="Y85">
        <v>291.99051383399211</v>
      </c>
    </row>
    <row r="86" spans="1:25" x14ac:dyDescent="0.35">
      <c r="A86" t="s">
        <v>25</v>
      </c>
      <c r="B86" t="s">
        <v>320</v>
      </c>
      <c r="C86" t="str">
        <f>VLOOKUP(B86,Tabelle3!A:C,2,FALSE)</f>
        <v>Nord</v>
      </c>
      <c r="D86" t="s">
        <v>27</v>
      </c>
      <c r="E86" t="s">
        <v>315</v>
      </c>
      <c r="F86" t="s">
        <v>321</v>
      </c>
      <c r="G86">
        <v>36414</v>
      </c>
      <c r="H86" t="s">
        <v>317</v>
      </c>
      <c r="I86" t="s">
        <v>318</v>
      </c>
      <c r="J86" t="s">
        <v>319</v>
      </c>
      <c r="K86">
        <v>23560</v>
      </c>
      <c r="L86" t="s">
        <v>69</v>
      </c>
      <c r="M86" t="s">
        <v>70</v>
      </c>
      <c r="N86" t="s">
        <v>69</v>
      </c>
      <c r="O86" t="s">
        <v>25</v>
      </c>
      <c r="P86" t="s">
        <v>82</v>
      </c>
      <c r="Q86" t="s">
        <v>71</v>
      </c>
      <c r="R86" t="s">
        <v>71</v>
      </c>
      <c r="S86">
        <v>0.3795</v>
      </c>
      <c r="T86" t="s">
        <v>47</v>
      </c>
      <c r="U86">
        <v>12.252000000000001</v>
      </c>
      <c r="V86">
        <v>12</v>
      </c>
      <c r="W86">
        <v>10.199999999999999</v>
      </c>
      <c r="X86">
        <v>95.59</v>
      </c>
      <c r="Y86">
        <v>291.99051383399211</v>
      </c>
    </row>
    <row r="87" spans="1:25" x14ac:dyDescent="0.35">
      <c r="A87" t="s">
        <v>25</v>
      </c>
      <c r="B87" t="s">
        <v>322</v>
      </c>
      <c r="C87" t="str">
        <f>VLOOKUP(B87,Tabelle3!A:C,2,FALSE)</f>
        <v>Nord</v>
      </c>
      <c r="D87" t="s">
        <v>27</v>
      </c>
      <c r="E87" t="s">
        <v>315</v>
      </c>
      <c r="F87" t="s">
        <v>323</v>
      </c>
      <c r="G87">
        <v>39326</v>
      </c>
      <c r="H87" t="s">
        <v>324</v>
      </c>
      <c r="I87" t="s">
        <v>325</v>
      </c>
      <c r="J87" t="s">
        <v>119</v>
      </c>
      <c r="K87">
        <v>29404</v>
      </c>
      <c r="L87" t="s">
        <v>69</v>
      </c>
      <c r="M87" t="s">
        <v>70</v>
      </c>
      <c r="N87" t="s">
        <v>69</v>
      </c>
      <c r="O87" t="s">
        <v>25</v>
      </c>
      <c r="P87" t="s">
        <v>82</v>
      </c>
      <c r="Q87" t="s">
        <v>71</v>
      </c>
      <c r="R87" t="s">
        <v>71</v>
      </c>
      <c r="S87">
        <v>0.38059999999999999</v>
      </c>
      <c r="T87" t="s">
        <v>47</v>
      </c>
      <c r="U87">
        <v>18.335999999999999</v>
      </c>
      <c r="V87">
        <v>18.100000000000001</v>
      </c>
      <c r="W87">
        <v>15.385000000000002</v>
      </c>
      <c r="X87">
        <v>95.59</v>
      </c>
      <c r="Y87">
        <v>291.14950078822909</v>
      </c>
    </row>
    <row r="88" spans="1:25" x14ac:dyDescent="0.35">
      <c r="A88" t="s">
        <v>25</v>
      </c>
      <c r="B88" t="s">
        <v>326</v>
      </c>
      <c r="C88" t="str">
        <f>VLOOKUP(B88,Tabelle3!A:C,2,FALSE)</f>
        <v>Nord</v>
      </c>
      <c r="D88" t="s">
        <v>27</v>
      </c>
      <c r="E88" t="s">
        <v>315</v>
      </c>
      <c r="F88" t="s">
        <v>327</v>
      </c>
      <c r="G88">
        <v>39326</v>
      </c>
      <c r="H88" t="s">
        <v>324</v>
      </c>
      <c r="I88" t="s">
        <v>325</v>
      </c>
      <c r="J88" t="s">
        <v>119</v>
      </c>
      <c r="K88">
        <v>40361</v>
      </c>
      <c r="L88" t="s">
        <v>69</v>
      </c>
      <c r="M88" t="s">
        <v>70</v>
      </c>
      <c r="N88" t="s">
        <v>69</v>
      </c>
      <c r="O88" t="s">
        <v>25</v>
      </c>
      <c r="P88" t="s">
        <v>82</v>
      </c>
      <c r="Q88" t="s">
        <v>71</v>
      </c>
      <c r="R88" t="s">
        <v>71</v>
      </c>
      <c r="S88">
        <v>0.38059999999999999</v>
      </c>
      <c r="T88" t="s">
        <v>47</v>
      </c>
      <c r="U88">
        <v>29.962</v>
      </c>
      <c r="V88">
        <v>29.49</v>
      </c>
      <c r="W88">
        <v>25.066499999999998</v>
      </c>
      <c r="X88">
        <v>95.59</v>
      </c>
      <c r="Y88">
        <v>291.14950078822909</v>
      </c>
    </row>
    <row r="89" spans="1:25" x14ac:dyDescent="0.35">
      <c r="A89" t="s">
        <v>44</v>
      </c>
      <c r="B89" t="s">
        <v>328</v>
      </c>
      <c r="C89" t="s">
        <v>4080</v>
      </c>
      <c r="D89" t="s">
        <v>329</v>
      </c>
      <c r="E89" t="s">
        <v>330</v>
      </c>
      <c r="F89" t="s">
        <v>331</v>
      </c>
      <c r="G89">
        <v>16356</v>
      </c>
      <c r="H89" t="s">
        <v>332</v>
      </c>
      <c r="I89" t="s">
        <v>333</v>
      </c>
      <c r="J89" t="s">
        <v>32</v>
      </c>
      <c r="K89">
        <v>33229</v>
      </c>
      <c r="L89" t="s">
        <v>33</v>
      </c>
      <c r="M89" t="s">
        <v>34</v>
      </c>
      <c r="N89" t="s">
        <v>33</v>
      </c>
      <c r="O89" t="s">
        <v>44</v>
      </c>
      <c r="P89" t="s">
        <v>87</v>
      </c>
      <c r="Q89" t="s">
        <v>33</v>
      </c>
      <c r="R89" t="s">
        <v>46</v>
      </c>
      <c r="S89">
        <v>0.31</v>
      </c>
      <c r="T89" t="s">
        <v>334</v>
      </c>
      <c r="U89">
        <v>38.340000000000003</v>
      </c>
      <c r="V89">
        <v>37.103999999999999</v>
      </c>
      <c r="W89">
        <v>32.280479999999997</v>
      </c>
      <c r="X89">
        <v>40.69</v>
      </c>
      <c r="Y89">
        <v>177.72370967741935</v>
      </c>
    </row>
    <row r="90" spans="1:25" x14ac:dyDescent="0.35">
      <c r="A90" t="s">
        <v>44</v>
      </c>
      <c r="B90" t="s">
        <v>335</v>
      </c>
      <c r="C90" t="s">
        <v>4080</v>
      </c>
      <c r="D90" t="s">
        <v>329</v>
      </c>
      <c r="E90" t="s">
        <v>330</v>
      </c>
      <c r="F90" t="s">
        <v>336</v>
      </c>
      <c r="G90">
        <v>16356</v>
      </c>
      <c r="H90" t="s">
        <v>332</v>
      </c>
      <c r="I90" t="s">
        <v>333</v>
      </c>
      <c r="J90" t="s">
        <v>32</v>
      </c>
      <c r="K90">
        <v>33217</v>
      </c>
      <c r="L90" t="s">
        <v>33</v>
      </c>
      <c r="M90" t="s">
        <v>34</v>
      </c>
      <c r="N90" t="s">
        <v>33</v>
      </c>
      <c r="O90" t="s">
        <v>44</v>
      </c>
      <c r="P90" t="s">
        <v>87</v>
      </c>
      <c r="Q90" t="s">
        <v>33</v>
      </c>
      <c r="R90" t="s">
        <v>46</v>
      </c>
      <c r="S90">
        <v>0.31</v>
      </c>
      <c r="T90" t="s">
        <v>334</v>
      </c>
      <c r="U90">
        <v>38.24</v>
      </c>
      <c r="V90">
        <v>37.103999999999999</v>
      </c>
      <c r="W90">
        <v>32.280479999999997</v>
      </c>
      <c r="X90">
        <v>40.69</v>
      </c>
      <c r="Y90">
        <v>177.72370967741935</v>
      </c>
    </row>
    <row r="91" spans="1:25" x14ac:dyDescent="0.35">
      <c r="A91" t="s">
        <v>44</v>
      </c>
      <c r="B91" t="s">
        <v>337</v>
      </c>
      <c r="C91" t="s">
        <v>4080</v>
      </c>
      <c r="D91" t="s">
        <v>329</v>
      </c>
      <c r="E91" t="s">
        <v>330</v>
      </c>
      <c r="F91" t="s">
        <v>338</v>
      </c>
      <c r="G91">
        <v>16356</v>
      </c>
      <c r="H91" t="s">
        <v>332</v>
      </c>
      <c r="I91" t="s">
        <v>333</v>
      </c>
      <c r="J91" t="s">
        <v>32</v>
      </c>
      <c r="K91">
        <v>33323</v>
      </c>
      <c r="L91" t="s">
        <v>33</v>
      </c>
      <c r="M91" t="s">
        <v>34</v>
      </c>
      <c r="N91" t="s">
        <v>33</v>
      </c>
      <c r="O91" t="s">
        <v>44</v>
      </c>
      <c r="P91" t="s">
        <v>87</v>
      </c>
      <c r="Q91" t="s">
        <v>33</v>
      </c>
      <c r="R91" t="s">
        <v>46</v>
      </c>
      <c r="S91">
        <v>0.31</v>
      </c>
      <c r="T91" t="s">
        <v>334</v>
      </c>
      <c r="U91">
        <v>38.340000000000003</v>
      </c>
      <c r="V91">
        <v>37.103999999999999</v>
      </c>
      <c r="W91">
        <v>32.280479999999997</v>
      </c>
      <c r="X91">
        <v>40.69</v>
      </c>
      <c r="Y91">
        <v>177.72370967741935</v>
      </c>
    </row>
    <row r="92" spans="1:25" x14ac:dyDescent="0.35">
      <c r="A92" t="s">
        <v>44</v>
      </c>
      <c r="B92" t="s">
        <v>339</v>
      </c>
      <c r="C92" t="s">
        <v>4080</v>
      </c>
      <c r="D92" t="s">
        <v>329</v>
      </c>
      <c r="E92" t="s">
        <v>330</v>
      </c>
      <c r="F92" t="s">
        <v>340</v>
      </c>
      <c r="G92">
        <v>16356</v>
      </c>
      <c r="H92" t="s">
        <v>332</v>
      </c>
      <c r="I92" t="s">
        <v>333</v>
      </c>
      <c r="J92" t="s">
        <v>32</v>
      </c>
      <c r="K92">
        <v>33654</v>
      </c>
      <c r="L92" t="s">
        <v>33</v>
      </c>
      <c r="M92" t="s">
        <v>34</v>
      </c>
      <c r="N92" t="s">
        <v>33</v>
      </c>
      <c r="O92" t="s">
        <v>44</v>
      </c>
      <c r="P92" t="s">
        <v>87</v>
      </c>
      <c r="Q92" t="s">
        <v>33</v>
      </c>
      <c r="R92" t="s">
        <v>46</v>
      </c>
      <c r="S92">
        <v>0.31</v>
      </c>
      <c r="T92" t="s">
        <v>334</v>
      </c>
      <c r="U92">
        <v>38.340000000000003</v>
      </c>
      <c r="V92">
        <v>37.103999999999999</v>
      </c>
      <c r="W92">
        <v>32.280479999999997</v>
      </c>
      <c r="X92">
        <v>40.69</v>
      </c>
      <c r="Y92">
        <v>177.72370967741935</v>
      </c>
    </row>
    <row r="93" spans="1:25" x14ac:dyDescent="0.35">
      <c r="A93" t="s">
        <v>44</v>
      </c>
      <c r="B93" t="s">
        <v>341</v>
      </c>
      <c r="C93" t="s">
        <v>4080</v>
      </c>
      <c r="D93" t="s">
        <v>329</v>
      </c>
      <c r="E93" t="s">
        <v>330</v>
      </c>
      <c r="F93" t="s">
        <v>342</v>
      </c>
      <c r="G93">
        <v>15806</v>
      </c>
      <c r="H93" t="s">
        <v>343</v>
      </c>
      <c r="I93" t="s">
        <v>344</v>
      </c>
      <c r="J93" t="s">
        <v>32</v>
      </c>
      <c r="K93">
        <v>32050</v>
      </c>
      <c r="L93" t="s">
        <v>33</v>
      </c>
      <c r="M93" t="s">
        <v>34</v>
      </c>
      <c r="N93" t="s">
        <v>33</v>
      </c>
      <c r="O93" t="s">
        <v>44</v>
      </c>
      <c r="P93" t="s">
        <v>62</v>
      </c>
      <c r="Q93" t="s">
        <v>33</v>
      </c>
      <c r="R93" t="s">
        <v>36</v>
      </c>
      <c r="S93">
        <v>0.35639999999999999</v>
      </c>
      <c r="T93" t="s">
        <v>345</v>
      </c>
      <c r="U93">
        <v>37.6</v>
      </c>
      <c r="V93">
        <v>37.103999999999999</v>
      </c>
      <c r="W93">
        <v>32.280479999999997</v>
      </c>
      <c r="X93">
        <v>40.69</v>
      </c>
      <c r="Y93">
        <v>154.28100448933782</v>
      </c>
    </row>
    <row r="94" spans="1:25" x14ac:dyDescent="0.35">
      <c r="A94" t="s">
        <v>44</v>
      </c>
      <c r="B94" t="s">
        <v>346</v>
      </c>
      <c r="C94" t="s">
        <v>4080</v>
      </c>
      <c r="D94" t="s">
        <v>329</v>
      </c>
      <c r="E94" t="s">
        <v>330</v>
      </c>
      <c r="F94" t="s">
        <v>347</v>
      </c>
      <c r="G94">
        <v>15806</v>
      </c>
      <c r="H94" t="s">
        <v>343</v>
      </c>
      <c r="I94" t="s">
        <v>348</v>
      </c>
      <c r="J94" t="s">
        <v>32</v>
      </c>
      <c r="K94">
        <v>32050</v>
      </c>
      <c r="L94" t="s">
        <v>33</v>
      </c>
      <c r="M94" t="s">
        <v>34</v>
      </c>
      <c r="N94" t="s">
        <v>33</v>
      </c>
      <c r="O94" t="s">
        <v>44</v>
      </c>
      <c r="P94" t="s">
        <v>62</v>
      </c>
      <c r="Q94" t="s">
        <v>33</v>
      </c>
      <c r="R94" t="s">
        <v>36</v>
      </c>
      <c r="S94">
        <v>0.33500000000000002</v>
      </c>
      <c r="T94" t="s">
        <v>345</v>
      </c>
      <c r="U94">
        <v>37.6</v>
      </c>
      <c r="V94">
        <v>37.103999999999999</v>
      </c>
      <c r="W94">
        <v>32.280479999999997</v>
      </c>
      <c r="X94">
        <v>40.69</v>
      </c>
      <c r="Y94">
        <v>164.07268656716417</v>
      </c>
    </row>
    <row r="95" spans="1:25" x14ac:dyDescent="0.35">
      <c r="A95" t="s">
        <v>44</v>
      </c>
      <c r="B95" t="s">
        <v>349</v>
      </c>
      <c r="C95" t="s">
        <v>4080</v>
      </c>
      <c r="D95" t="s">
        <v>329</v>
      </c>
      <c r="E95" t="s">
        <v>330</v>
      </c>
      <c r="F95" t="s">
        <v>350</v>
      </c>
      <c r="G95">
        <v>15806</v>
      </c>
      <c r="H95" t="s">
        <v>343</v>
      </c>
      <c r="I95" t="s">
        <v>344</v>
      </c>
      <c r="J95" t="s">
        <v>32</v>
      </c>
      <c r="K95">
        <v>32098</v>
      </c>
      <c r="L95" t="s">
        <v>33</v>
      </c>
      <c r="M95" t="s">
        <v>34</v>
      </c>
      <c r="N95" t="s">
        <v>33</v>
      </c>
      <c r="O95" t="s">
        <v>44</v>
      </c>
      <c r="P95" t="s">
        <v>62</v>
      </c>
      <c r="Q95" t="s">
        <v>33</v>
      </c>
      <c r="R95" t="s">
        <v>36</v>
      </c>
      <c r="S95">
        <v>0.33500000000000002</v>
      </c>
      <c r="T95" t="s">
        <v>345</v>
      </c>
      <c r="U95">
        <v>37.6</v>
      </c>
      <c r="V95">
        <v>37.103999999999999</v>
      </c>
      <c r="W95">
        <v>32.280479999999997</v>
      </c>
      <c r="X95">
        <v>40.69</v>
      </c>
      <c r="Y95">
        <v>164.07268656716417</v>
      </c>
    </row>
    <row r="96" spans="1:25" x14ac:dyDescent="0.35">
      <c r="A96" t="s">
        <v>44</v>
      </c>
      <c r="B96" t="s">
        <v>351</v>
      </c>
      <c r="C96" t="s">
        <v>4080</v>
      </c>
      <c r="D96" t="s">
        <v>329</v>
      </c>
      <c r="E96" t="s">
        <v>330</v>
      </c>
      <c r="F96" t="s">
        <v>352</v>
      </c>
      <c r="G96">
        <v>15806</v>
      </c>
      <c r="H96" t="s">
        <v>343</v>
      </c>
      <c r="I96" t="s">
        <v>344</v>
      </c>
      <c r="J96" t="s">
        <v>32</v>
      </c>
      <c r="K96">
        <v>32128</v>
      </c>
      <c r="L96" t="s">
        <v>33</v>
      </c>
      <c r="M96" t="s">
        <v>34</v>
      </c>
      <c r="N96" t="s">
        <v>33</v>
      </c>
      <c r="O96" t="s">
        <v>44</v>
      </c>
      <c r="P96" t="s">
        <v>62</v>
      </c>
      <c r="Q96" t="s">
        <v>33</v>
      </c>
      <c r="R96" t="s">
        <v>36</v>
      </c>
      <c r="S96">
        <v>0.33500000000000002</v>
      </c>
      <c r="T96" t="s">
        <v>345</v>
      </c>
      <c r="U96">
        <v>37.6</v>
      </c>
      <c r="V96">
        <v>37.103999999999999</v>
      </c>
      <c r="W96">
        <v>32.280479999999997</v>
      </c>
      <c r="X96">
        <v>40.69</v>
      </c>
      <c r="Y96">
        <v>164.07268656716417</v>
      </c>
    </row>
    <row r="97" spans="1:25" x14ac:dyDescent="0.35">
      <c r="A97" t="s">
        <v>44</v>
      </c>
      <c r="B97" t="s">
        <v>353</v>
      </c>
      <c r="C97" t="s">
        <v>4080</v>
      </c>
      <c r="D97" t="s">
        <v>329</v>
      </c>
      <c r="E97" t="s">
        <v>330</v>
      </c>
      <c r="F97" t="s">
        <v>354</v>
      </c>
      <c r="G97">
        <v>15806</v>
      </c>
      <c r="H97" t="s">
        <v>343</v>
      </c>
      <c r="I97" t="s">
        <v>344</v>
      </c>
      <c r="J97" t="s">
        <v>32</v>
      </c>
      <c r="K97">
        <v>32780</v>
      </c>
      <c r="L97" t="s">
        <v>33</v>
      </c>
      <c r="M97" t="s">
        <v>34</v>
      </c>
      <c r="N97" t="s">
        <v>33</v>
      </c>
      <c r="O97" t="s">
        <v>44</v>
      </c>
      <c r="P97" t="s">
        <v>62</v>
      </c>
      <c r="Q97" t="s">
        <v>33</v>
      </c>
      <c r="R97" t="s">
        <v>36</v>
      </c>
      <c r="S97">
        <v>0.33500000000000002</v>
      </c>
      <c r="T97" t="s">
        <v>345</v>
      </c>
      <c r="U97">
        <v>38.799999999999997</v>
      </c>
      <c r="V97">
        <v>38.340000000000003</v>
      </c>
      <c r="W97">
        <v>33.355800000000002</v>
      </c>
      <c r="X97">
        <v>40.69</v>
      </c>
      <c r="Y97">
        <v>164.07268656716417</v>
      </c>
    </row>
    <row r="98" spans="1:25" x14ac:dyDescent="0.35">
      <c r="A98" t="s">
        <v>25</v>
      </c>
      <c r="B98" t="s">
        <v>355</v>
      </c>
      <c r="C98" t="s">
        <v>4080</v>
      </c>
      <c r="D98" t="s">
        <v>27</v>
      </c>
      <c r="E98" t="s">
        <v>330</v>
      </c>
      <c r="F98" t="s">
        <v>356</v>
      </c>
      <c r="G98" t="s">
        <v>357</v>
      </c>
      <c r="H98" t="s">
        <v>358</v>
      </c>
      <c r="I98" t="s">
        <v>359</v>
      </c>
      <c r="J98" t="s">
        <v>32</v>
      </c>
      <c r="K98">
        <v>29860</v>
      </c>
      <c r="L98" t="s">
        <v>360</v>
      </c>
      <c r="M98" t="s">
        <v>361</v>
      </c>
      <c r="N98" t="s">
        <v>360</v>
      </c>
      <c r="O98" t="s">
        <v>25</v>
      </c>
      <c r="P98" t="s">
        <v>82</v>
      </c>
      <c r="Q98" t="s">
        <v>360</v>
      </c>
      <c r="R98" t="s">
        <v>360</v>
      </c>
      <c r="S98">
        <v>0.375</v>
      </c>
      <c r="T98" t="s">
        <v>47</v>
      </c>
      <c r="U98">
        <v>535</v>
      </c>
      <c r="V98">
        <v>500</v>
      </c>
      <c r="W98">
        <v>435</v>
      </c>
      <c r="X98">
        <v>3.1</v>
      </c>
      <c r="Y98">
        <v>84.679733333333346</v>
      </c>
    </row>
    <row r="99" spans="1:25" x14ac:dyDescent="0.35">
      <c r="A99" t="s">
        <v>25</v>
      </c>
      <c r="B99" t="s">
        <v>362</v>
      </c>
      <c r="C99" t="s">
        <v>4080</v>
      </c>
      <c r="D99" t="s">
        <v>27</v>
      </c>
      <c r="E99" t="s">
        <v>330</v>
      </c>
      <c r="F99" t="s">
        <v>363</v>
      </c>
      <c r="G99" t="s">
        <v>357</v>
      </c>
      <c r="H99" t="s">
        <v>358</v>
      </c>
      <c r="I99" t="s">
        <v>359</v>
      </c>
      <c r="J99" t="s">
        <v>32</v>
      </c>
      <c r="K99">
        <v>30284</v>
      </c>
      <c r="L99" t="s">
        <v>360</v>
      </c>
      <c r="M99" t="s">
        <v>361</v>
      </c>
      <c r="N99" t="s">
        <v>360</v>
      </c>
      <c r="O99" t="s">
        <v>25</v>
      </c>
      <c r="P99" t="s">
        <v>82</v>
      </c>
      <c r="Q99" t="s">
        <v>360</v>
      </c>
      <c r="R99" t="s">
        <v>360</v>
      </c>
      <c r="S99">
        <v>0.375</v>
      </c>
      <c r="T99" t="s">
        <v>47</v>
      </c>
      <c r="U99">
        <v>535</v>
      </c>
      <c r="V99">
        <v>500</v>
      </c>
      <c r="W99">
        <v>435</v>
      </c>
      <c r="X99">
        <v>3.1</v>
      </c>
      <c r="Y99">
        <v>84.679733333333346</v>
      </c>
    </row>
    <row r="100" spans="1:25" x14ac:dyDescent="0.35">
      <c r="A100" t="s">
        <v>25</v>
      </c>
      <c r="B100" t="s">
        <v>364</v>
      </c>
      <c r="C100" t="s">
        <v>4080</v>
      </c>
      <c r="D100" t="s">
        <v>27</v>
      </c>
      <c r="E100" t="s">
        <v>330</v>
      </c>
      <c r="F100" t="s">
        <v>365</v>
      </c>
      <c r="G100" t="s">
        <v>357</v>
      </c>
      <c r="H100" t="s">
        <v>358</v>
      </c>
      <c r="I100" t="s">
        <v>359</v>
      </c>
      <c r="J100" t="s">
        <v>32</v>
      </c>
      <c r="K100">
        <v>30713</v>
      </c>
      <c r="L100" t="s">
        <v>360</v>
      </c>
      <c r="M100" t="s">
        <v>361</v>
      </c>
      <c r="N100" t="s">
        <v>360</v>
      </c>
      <c r="O100" t="s">
        <v>25</v>
      </c>
      <c r="P100" t="s">
        <v>82</v>
      </c>
      <c r="Q100" t="s">
        <v>360</v>
      </c>
      <c r="R100" t="s">
        <v>360</v>
      </c>
      <c r="S100">
        <v>0.375</v>
      </c>
      <c r="T100" t="s">
        <v>47</v>
      </c>
      <c r="U100">
        <v>535</v>
      </c>
      <c r="V100">
        <v>500</v>
      </c>
      <c r="W100">
        <v>435</v>
      </c>
      <c r="X100">
        <v>3.1</v>
      </c>
      <c r="Y100">
        <v>84.679733333333346</v>
      </c>
    </row>
    <row r="101" spans="1:25" x14ac:dyDescent="0.35">
      <c r="A101" t="s">
        <v>25</v>
      </c>
      <c r="B101" t="s">
        <v>366</v>
      </c>
      <c r="C101" t="s">
        <v>4080</v>
      </c>
      <c r="D101" t="s">
        <v>27</v>
      </c>
      <c r="E101" t="s">
        <v>330</v>
      </c>
      <c r="F101" t="s">
        <v>367</v>
      </c>
      <c r="G101" t="s">
        <v>357</v>
      </c>
      <c r="H101" t="s">
        <v>358</v>
      </c>
      <c r="I101" t="s">
        <v>359</v>
      </c>
      <c r="J101" t="s">
        <v>32</v>
      </c>
      <c r="K101">
        <v>31326</v>
      </c>
      <c r="L101" t="s">
        <v>360</v>
      </c>
      <c r="M101" t="s">
        <v>361</v>
      </c>
      <c r="N101" t="s">
        <v>360</v>
      </c>
      <c r="O101" t="s">
        <v>25</v>
      </c>
      <c r="P101" t="s">
        <v>82</v>
      </c>
      <c r="Q101" t="s">
        <v>360</v>
      </c>
      <c r="R101" t="s">
        <v>360</v>
      </c>
      <c r="S101">
        <v>0.375</v>
      </c>
      <c r="T101" t="s">
        <v>47</v>
      </c>
      <c r="U101">
        <v>535</v>
      </c>
      <c r="V101">
        <v>500</v>
      </c>
      <c r="W101">
        <v>435</v>
      </c>
      <c r="X101">
        <v>3.1</v>
      </c>
      <c r="Y101">
        <v>84.679733333333346</v>
      </c>
    </row>
    <row r="102" spans="1:25" x14ac:dyDescent="0.35">
      <c r="A102" t="s">
        <v>25</v>
      </c>
      <c r="B102" t="s">
        <v>368</v>
      </c>
      <c r="C102" t="str">
        <f>VLOOKUP(B102,Tabelle3!A:C,2,FALSE)</f>
        <v>Nord</v>
      </c>
      <c r="D102" t="s">
        <v>27</v>
      </c>
      <c r="E102" t="s">
        <v>369</v>
      </c>
      <c r="F102" t="s">
        <v>370</v>
      </c>
      <c r="G102">
        <v>16303</v>
      </c>
      <c r="H102" t="s">
        <v>371</v>
      </c>
      <c r="I102" t="s">
        <v>372</v>
      </c>
      <c r="J102" t="s">
        <v>32</v>
      </c>
      <c r="K102">
        <v>40634</v>
      </c>
      <c r="L102" t="s">
        <v>171</v>
      </c>
      <c r="M102" t="s">
        <v>172</v>
      </c>
      <c r="N102" t="s">
        <v>173</v>
      </c>
      <c r="O102" t="s">
        <v>25</v>
      </c>
      <c r="P102" t="s">
        <v>82</v>
      </c>
      <c r="Q102" t="s">
        <v>173</v>
      </c>
      <c r="R102" t="s">
        <v>173</v>
      </c>
      <c r="S102">
        <v>0.33</v>
      </c>
      <c r="T102" t="s">
        <v>47</v>
      </c>
      <c r="U102">
        <v>32.4</v>
      </c>
      <c r="V102">
        <v>28.904</v>
      </c>
      <c r="W102">
        <v>24.5684</v>
      </c>
      <c r="X102">
        <v>0</v>
      </c>
      <c r="Y102">
        <v>1</v>
      </c>
    </row>
    <row r="103" spans="1:25" x14ac:dyDescent="0.35">
      <c r="A103" t="s">
        <v>25</v>
      </c>
      <c r="B103" t="s">
        <v>373</v>
      </c>
      <c r="C103" t="str">
        <f>VLOOKUP(B103,Tabelle3!A:C,2,FALSE)</f>
        <v>Nord</v>
      </c>
      <c r="D103" t="s">
        <v>27</v>
      </c>
      <c r="E103" t="s">
        <v>374</v>
      </c>
      <c r="F103" t="s">
        <v>375</v>
      </c>
      <c r="G103" t="s">
        <v>376</v>
      </c>
      <c r="H103" t="s">
        <v>377</v>
      </c>
      <c r="I103" t="s">
        <v>378</v>
      </c>
      <c r="J103" t="s">
        <v>132</v>
      </c>
      <c r="K103">
        <v>34577</v>
      </c>
      <c r="L103" t="s">
        <v>33</v>
      </c>
      <c r="M103" t="s">
        <v>34</v>
      </c>
      <c r="N103" t="s">
        <v>33</v>
      </c>
      <c r="O103" t="s">
        <v>25</v>
      </c>
      <c r="P103" t="s">
        <v>35</v>
      </c>
      <c r="Q103" t="s">
        <v>33</v>
      </c>
      <c r="R103" t="s">
        <v>36</v>
      </c>
      <c r="S103">
        <v>0.37730000000000002</v>
      </c>
      <c r="T103" t="s">
        <v>47</v>
      </c>
      <c r="U103">
        <v>16.62</v>
      </c>
      <c r="V103">
        <v>16.251429999999999</v>
      </c>
      <c r="W103">
        <v>14.138744099999998</v>
      </c>
      <c r="X103">
        <v>40.69</v>
      </c>
      <c r="Y103">
        <v>145.79021998409752</v>
      </c>
    </row>
    <row r="104" spans="1:25" x14ac:dyDescent="0.35">
      <c r="A104" t="s">
        <v>25</v>
      </c>
      <c r="B104" t="s">
        <v>379</v>
      </c>
      <c r="C104" t="str">
        <f>VLOOKUP(B104,Tabelle3!A:C,2,FALSE)</f>
        <v>Nord</v>
      </c>
      <c r="D104" t="s">
        <v>27</v>
      </c>
      <c r="E104" t="s">
        <v>374</v>
      </c>
      <c r="F104" t="s">
        <v>380</v>
      </c>
      <c r="G104" t="s">
        <v>376</v>
      </c>
      <c r="H104" t="s">
        <v>377</v>
      </c>
      <c r="I104" t="s">
        <v>378</v>
      </c>
      <c r="J104" t="s">
        <v>132</v>
      </c>
      <c r="K104">
        <v>40162</v>
      </c>
      <c r="L104" t="s">
        <v>33</v>
      </c>
      <c r="M104" t="s">
        <v>34</v>
      </c>
      <c r="N104" t="s">
        <v>33</v>
      </c>
      <c r="O104" t="s">
        <v>25</v>
      </c>
      <c r="P104" t="s">
        <v>35</v>
      </c>
      <c r="Q104" t="s">
        <v>33</v>
      </c>
      <c r="R104" t="s">
        <v>36</v>
      </c>
      <c r="S104">
        <v>0.37730000000000002</v>
      </c>
      <c r="T104" t="s">
        <v>47</v>
      </c>
      <c r="U104">
        <v>30.649259999999998</v>
      </c>
      <c r="V104">
        <v>30.649259999999998</v>
      </c>
      <c r="W104">
        <v>26.664856199999999</v>
      </c>
      <c r="X104">
        <v>40.69</v>
      </c>
      <c r="Y104">
        <v>145.79021998409752</v>
      </c>
    </row>
    <row r="105" spans="1:25" x14ac:dyDescent="0.35">
      <c r="A105" t="s">
        <v>25</v>
      </c>
      <c r="B105" t="s">
        <v>381</v>
      </c>
      <c r="C105" t="str">
        <f>VLOOKUP(B105,Tabelle3!A:C,2,FALSE)</f>
        <v>Nord</v>
      </c>
      <c r="D105" t="s">
        <v>27</v>
      </c>
      <c r="E105" t="s">
        <v>382</v>
      </c>
      <c r="F105" t="s">
        <v>383</v>
      </c>
      <c r="G105">
        <v>39126</v>
      </c>
      <c r="H105" t="s">
        <v>384</v>
      </c>
      <c r="I105" t="s">
        <v>385</v>
      </c>
      <c r="J105" t="s">
        <v>119</v>
      </c>
      <c r="K105">
        <v>38550</v>
      </c>
      <c r="L105" t="s">
        <v>171</v>
      </c>
      <c r="M105" t="s">
        <v>172</v>
      </c>
      <c r="N105" t="s">
        <v>173</v>
      </c>
      <c r="O105" t="s">
        <v>25</v>
      </c>
      <c r="P105" t="s">
        <v>50</v>
      </c>
      <c r="Q105" t="s">
        <v>173</v>
      </c>
      <c r="R105" t="s">
        <v>173</v>
      </c>
      <c r="S105">
        <v>0.33</v>
      </c>
      <c r="T105" t="s">
        <v>47</v>
      </c>
      <c r="U105">
        <v>33.6</v>
      </c>
      <c r="V105">
        <v>29.2</v>
      </c>
      <c r="W105">
        <v>24.82</v>
      </c>
      <c r="X105">
        <v>0</v>
      </c>
      <c r="Y105">
        <v>1</v>
      </c>
    </row>
    <row r="106" spans="1:25" x14ac:dyDescent="0.35">
      <c r="A106" t="s">
        <v>25</v>
      </c>
      <c r="B106" t="s">
        <v>386</v>
      </c>
      <c r="C106" t="s">
        <v>4080</v>
      </c>
      <c r="D106" t="s">
        <v>27</v>
      </c>
      <c r="E106" t="s">
        <v>382</v>
      </c>
      <c r="F106" t="s">
        <v>387</v>
      </c>
      <c r="G106">
        <v>39126</v>
      </c>
      <c r="H106" t="s">
        <v>384</v>
      </c>
      <c r="I106" t="s">
        <v>385</v>
      </c>
      <c r="J106" t="s">
        <v>119</v>
      </c>
      <c r="K106">
        <v>45595</v>
      </c>
      <c r="L106" t="s">
        <v>171</v>
      </c>
      <c r="M106" t="s">
        <v>172</v>
      </c>
      <c r="N106" t="s">
        <v>173</v>
      </c>
      <c r="O106" t="s">
        <v>25</v>
      </c>
      <c r="P106" t="s">
        <v>82</v>
      </c>
      <c r="Q106" t="s">
        <v>173</v>
      </c>
      <c r="R106" t="s">
        <v>173</v>
      </c>
      <c r="S106">
        <v>0.33</v>
      </c>
      <c r="T106" t="s">
        <v>47</v>
      </c>
      <c r="U106">
        <v>33.83</v>
      </c>
      <c r="V106">
        <v>33.5</v>
      </c>
      <c r="W106">
        <v>28.474999999999998</v>
      </c>
      <c r="X106">
        <v>0</v>
      </c>
      <c r="Y106">
        <v>1</v>
      </c>
    </row>
    <row r="107" spans="1:25" x14ac:dyDescent="0.35">
      <c r="A107" t="s">
        <v>25</v>
      </c>
      <c r="B107" t="s">
        <v>388</v>
      </c>
      <c r="C107" t="str">
        <f>VLOOKUP(B107,Tabelle3!A:C,2,FALSE)</f>
        <v>Nord</v>
      </c>
      <c r="D107" t="s">
        <v>27</v>
      </c>
      <c r="E107" t="s">
        <v>382</v>
      </c>
      <c r="F107" t="s">
        <v>389</v>
      </c>
      <c r="G107">
        <v>39126</v>
      </c>
      <c r="H107" t="s">
        <v>384</v>
      </c>
      <c r="I107" t="s">
        <v>385</v>
      </c>
      <c r="J107" t="s">
        <v>119</v>
      </c>
      <c r="K107">
        <v>38968</v>
      </c>
      <c r="L107" t="s">
        <v>171</v>
      </c>
      <c r="M107" t="s">
        <v>172</v>
      </c>
      <c r="N107" t="s">
        <v>173</v>
      </c>
      <c r="O107" t="s">
        <v>25</v>
      </c>
      <c r="P107" t="s">
        <v>50</v>
      </c>
      <c r="Q107" t="s">
        <v>173</v>
      </c>
      <c r="R107" t="s">
        <v>173</v>
      </c>
      <c r="S107">
        <v>0.33</v>
      </c>
      <c r="T107" t="s">
        <v>47</v>
      </c>
      <c r="U107">
        <v>33.6</v>
      </c>
      <c r="V107">
        <v>33.6</v>
      </c>
      <c r="W107">
        <v>28.56</v>
      </c>
      <c r="X107">
        <v>0</v>
      </c>
      <c r="Y107">
        <v>1</v>
      </c>
    </row>
    <row r="108" spans="1:25" x14ac:dyDescent="0.35">
      <c r="A108" t="s">
        <v>25</v>
      </c>
      <c r="B108" t="s">
        <v>390</v>
      </c>
      <c r="C108" t="str">
        <f>VLOOKUP(B108,Tabelle3!A:C,2,FALSE)</f>
        <v>Nord</v>
      </c>
      <c r="D108" t="s">
        <v>27</v>
      </c>
      <c r="E108" t="s">
        <v>391</v>
      </c>
      <c r="F108" t="s">
        <v>392</v>
      </c>
      <c r="G108">
        <v>21129</v>
      </c>
      <c r="H108" t="s">
        <v>264</v>
      </c>
      <c r="I108" t="s">
        <v>393</v>
      </c>
      <c r="J108" t="s">
        <v>264</v>
      </c>
      <c r="K108">
        <v>36207</v>
      </c>
      <c r="L108" t="s">
        <v>171</v>
      </c>
      <c r="M108" t="s">
        <v>172</v>
      </c>
      <c r="N108" t="s">
        <v>173</v>
      </c>
      <c r="O108" t="s">
        <v>25</v>
      </c>
      <c r="P108" t="s">
        <v>82</v>
      </c>
      <c r="Q108" t="s">
        <v>173</v>
      </c>
      <c r="R108" t="s">
        <v>173</v>
      </c>
      <c r="S108">
        <v>0.33</v>
      </c>
      <c r="T108" t="s">
        <v>47</v>
      </c>
      <c r="U108">
        <v>28.875</v>
      </c>
      <c r="V108">
        <v>23.875</v>
      </c>
      <c r="W108">
        <v>20.293749999999999</v>
      </c>
      <c r="X108">
        <v>0</v>
      </c>
      <c r="Y108">
        <v>1</v>
      </c>
    </row>
    <row r="109" spans="1:25" x14ac:dyDescent="0.35">
      <c r="A109" t="s">
        <v>25</v>
      </c>
      <c r="B109" t="s">
        <v>394</v>
      </c>
      <c r="C109" t="str">
        <f>VLOOKUP(B109,Tabelle3!A:C,2,FALSE)</f>
        <v>Nord</v>
      </c>
      <c r="D109" t="s">
        <v>27</v>
      </c>
      <c r="E109" t="s">
        <v>395</v>
      </c>
      <c r="F109" t="s">
        <v>396</v>
      </c>
      <c r="G109" t="s">
        <v>301</v>
      </c>
      <c r="H109" t="s">
        <v>302</v>
      </c>
      <c r="I109" t="s">
        <v>397</v>
      </c>
      <c r="J109" t="s">
        <v>119</v>
      </c>
      <c r="K109">
        <v>38590</v>
      </c>
      <c r="L109" t="s">
        <v>171</v>
      </c>
      <c r="M109" t="s">
        <v>172</v>
      </c>
      <c r="N109" t="s">
        <v>173</v>
      </c>
      <c r="O109" t="s">
        <v>44</v>
      </c>
      <c r="P109" t="s">
        <v>45</v>
      </c>
      <c r="Q109" t="s">
        <v>173</v>
      </c>
      <c r="R109" t="s">
        <v>173</v>
      </c>
      <c r="S109">
        <v>0.33</v>
      </c>
      <c r="T109" t="s">
        <v>47</v>
      </c>
      <c r="U109">
        <v>18.545000000000002</v>
      </c>
      <c r="V109">
        <v>16.245000000000001</v>
      </c>
      <c r="W109">
        <v>13.808250000000001</v>
      </c>
      <c r="X109">
        <v>0</v>
      </c>
      <c r="Y109">
        <v>1</v>
      </c>
    </row>
    <row r="110" spans="1:25" x14ac:dyDescent="0.35">
      <c r="A110" t="s">
        <v>25</v>
      </c>
      <c r="B110" t="s">
        <v>398</v>
      </c>
      <c r="C110" t="str">
        <f>VLOOKUP(B110,Tabelle3!A:C,2,FALSE)</f>
        <v>Nord</v>
      </c>
      <c r="D110" t="s">
        <v>27</v>
      </c>
      <c r="E110" t="s">
        <v>395</v>
      </c>
      <c r="F110" t="s">
        <v>399</v>
      </c>
      <c r="G110" t="s">
        <v>301</v>
      </c>
      <c r="H110" t="s">
        <v>302</v>
      </c>
      <c r="I110" t="s">
        <v>397</v>
      </c>
      <c r="J110" t="s">
        <v>119</v>
      </c>
      <c r="K110">
        <v>39252</v>
      </c>
      <c r="L110" t="s">
        <v>171</v>
      </c>
      <c r="M110" t="s">
        <v>172</v>
      </c>
      <c r="N110" t="s">
        <v>173</v>
      </c>
      <c r="O110" t="s">
        <v>44</v>
      </c>
      <c r="P110" t="s">
        <v>45</v>
      </c>
      <c r="Q110" t="s">
        <v>173</v>
      </c>
      <c r="R110" t="s">
        <v>173</v>
      </c>
      <c r="S110">
        <v>0.33</v>
      </c>
      <c r="T110" t="s">
        <v>47</v>
      </c>
      <c r="U110">
        <v>18.545000000000002</v>
      </c>
      <c r="V110">
        <v>16.245000000000001</v>
      </c>
      <c r="W110">
        <v>13.808250000000001</v>
      </c>
      <c r="X110">
        <v>0</v>
      </c>
      <c r="Y110">
        <v>1</v>
      </c>
    </row>
    <row r="111" spans="1:25" x14ac:dyDescent="0.35">
      <c r="A111" t="s">
        <v>25</v>
      </c>
      <c r="B111" t="s">
        <v>400</v>
      </c>
      <c r="C111" t="str">
        <f>VLOOKUP(B111,Tabelle3!A:C,2,FALSE)</f>
        <v>Nord</v>
      </c>
      <c r="D111" t="s">
        <v>27</v>
      </c>
      <c r="E111" t="s">
        <v>401</v>
      </c>
      <c r="F111" t="s">
        <v>52</v>
      </c>
      <c r="G111">
        <v>17034</v>
      </c>
      <c r="H111" t="s">
        <v>402</v>
      </c>
      <c r="I111" t="s">
        <v>403</v>
      </c>
      <c r="J111" t="s">
        <v>125</v>
      </c>
      <c r="K111">
        <v>35566</v>
      </c>
      <c r="L111" t="s">
        <v>33</v>
      </c>
      <c r="M111" t="s">
        <v>34</v>
      </c>
      <c r="N111" t="s">
        <v>33</v>
      </c>
      <c r="O111" t="s">
        <v>25</v>
      </c>
      <c r="P111" t="s">
        <v>35</v>
      </c>
      <c r="Q111" t="s">
        <v>33</v>
      </c>
      <c r="R111" t="s">
        <v>36</v>
      </c>
      <c r="S111">
        <v>0.52649999999999997</v>
      </c>
      <c r="T111" t="s">
        <v>47</v>
      </c>
      <c r="U111">
        <v>24.219000000000001</v>
      </c>
      <c r="V111">
        <v>23.125</v>
      </c>
      <c r="W111">
        <v>20.118749999999999</v>
      </c>
      <c r="X111">
        <v>40.69</v>
      </c>
      <c r="Y111">
        <v>104.75944919278253</v>
      </c>
    </row>
    <row r="112" spans="1:25" x14ac:dyDescent="0.35">
      <c r="A112" t="s">
        <v>25</v>
      </c>
      <c r="B112" t="s">
        <v>404</v>
      </c>
      <c r="C112" t="str">
        <f>VLOOKUP(B112,Tabelle3!A:C,2,FALSE)</f>
        <v>Nord</v>
      </c>
      <c r="D112" t="s">
        <v>27</v>
      </c>
      <c r="E112" t="s">
        <v>401</v>
      </c>
      <c r="F112" t="s">
        <v>54</v>
      </c>
      <c r="G112">
        <v>17034</v>
      </c>
      <c r="H112" t="s">
        <v>402</v>
      </c>
      <c r="I112" t="s">
        <v>403</v>
      </c>
      <c r="J112" t="s">
        <v>125</v>
      </c>
      <c r="K112">
        <v>35566</v>
      </c>
      <c r="L112" t="s">
        <v>33</v>
      </c>
      <c r="M112" t="s">
        <v>34</v>
      </c>
      <c r="N112" t="s">
        <v>33</v>
      </c>
      <c r="O112" t="s">
        <v>25</v>
      </c>
      <c r="P112" t="s">
        <v>35</v>
      </c>
      <c r="Q112" t="s">
        <v>33</v>
      </c>
      <c r="R112" t="s">
        <v>36</v>
      </c>
      <c r="S112">
        <v>0.52649999999999997</v>
      </c>
      <c r="T112" t="s">
        <v>47</v>
      </c>
      <c r="U112">
        <v>24.77</v>
      </c>
      <c r="V112">
        <v>23.760999999999999</v>
      </c>
      <c r="W112">
        <v>20.672069999999998</v>
      </c>
      <c r="X112">
        <v>40.69</v>
      </c>
      <c r="Y112">
        <v>104.75944919278253</v>
      </c>
    </row>
    <row r="113" spans="1:25" x14ac:dyDescent="0.35">
      <c r="A113" t="s">
        <v>25</v>
      </c>
      <c r="B113" t="s">
        <v>405</v>
      </c>
      <c r="C113" t="str">
        <f>VLOOKUP(B113,Tabelle3!A:C,2,FALSE)</f>
        <v>Nord</v>
      </c>
      <c r="D113" t="s">
        <v>27</v>
      </c>
      <c r="E113" t="s">
        <v>401</v>
      </c>
      <c r="F113" t="s">
        <v>159</v>
      </c>
      <c r="G113">
        <v>17034</v>
      </c>
      <c r="H113" t="s">
        <v>402</v>
      </c>
      <c r="I113" t="s">
        <v>403</v>
      </c>
      <c r="J113" t="s">
        <v>125</v>
      </c>
      <c r="K113">
        <v>35566</v>
      </c>
      <c r="L113" t="s">
        <v>33</v>
      </c>
      <c r="M113" t="s">
        <v>34</v>
      </c>
      <c r="N113" t="s">
        <v>33</v>
      </c>
      <c r="O113" t="s">
        <v>25</v>
      </c>
      <c r="P113" t="s">
        <v>406</v>
      </c>
      <c r="Q113" t="s">
        <v>33</v>
      </c>
      <c r="R113" t="s">
        <v>46</v>
      </c>
      <c r="S113">
        <v>0.52649999999999997</v>
      </c>
      <c r="T113" t="s">
        <v>47</v>
      </c>
      <c r="U113">
        <v>27.5</v>
      </c>
      <c r="V113">
        <v>26.459</v>
      </c>
      <c r="W113">
        <v>23.01933</v>
      </c>
      <c r="X113">
        <v>40.69</v>
      </c>
      <c r="Y113">
        <v>105.25944919278253</v>
      </c>
    </row>
    <row r="114" spans="1:25" x14ac:dyDescent="0.35">
      <c r="A114" t="s">
        <v>25</v>
      </c>
      <c r="B114" t="s">
        <v>407</v>
      </c>
      <c r="C114" t="str">
        <f>VLOOKUP(B114,Tabelle3!A:C,2,FALSE)</f>
        <v>Nord</v>
      </c>
      <c r="D114" t="s">
        <v>27</v>
      </c>
      <c r="E114" t="s">
        <v>408</v>
      </c>
      <c r="F114" t="s">
        <v>409</v>
      </c>
      <c r="G114">
        <v>39164</v>
      </c>
      <c r="H114" t="s">
        <v>410</v>
      </c>
      <c r="I114" t="s">
        <v>411</v>
      </c>
      <c r="J114" t="s">
        <v>119</v>
      </c>
      <c r="K114">
        <v>34519</v>
      </c>
      <c r="L114" t="s">
        <v>33</v>
      </c>
      <c r="M114" t="s">
        <v>34</v>
      </c>
      <c r="N114" t="s">
        <v>33</v>
      </c>
      <c r="O114" t="s">
        <v>25</v>
      </c>
      <c r="P114" t="s">
        <v>50</v>
      </c>
      <c r="Q114" t="s">
        <v>33</v>
      </c>
      <c r="R114" t="s">
        <v>46</v>
      </c>
      <c r="S114">
        <v>0.37840000000000001</v>
      </c>
      <c r="T114" t="s">
        <v>47</v>
      </c>
      <c r="U114">
        <v>14.24</v>
      </c>
      <c r="V114">
        <v>14.18</v>
      </c>
      <c r="W114">
        <v>12.336599999999999</v>
      </c>
      <c r="X114">
        <v>40.69</v>
      </c>
      <c r="Y114">
        <v>145.86931818181816</v>
      </c>
    </row>
    <row r="115" spans="1:25" x14ac:dyDescent="0.35">
      <c r="A115" t="s">
        <v>25</v>
      </c>
      <c r="B115" t="s">
        <v>412</v>
      </c>
      <c r="C115" t="str">
        <f>VLOOKUP(B115,Tabelle3!A:C,2,FALSE)</f>
        <v>Nord</v>
      </c>
      <c r="D115" t="s">
        <v>27</v>
      </c>
      <c r="E115" t="s">
        <v>413</v>
      </c>
      <c r="F115" t="s">
        <v>414</v>
      </c>
      <c r="G115" t="s">
        <v>415</v>
      </c>
      <c r="H115" t="s">
        <v>416</v>
      </c>
      <c r="I115" t="s">
        <v>417</v>
      </c>
      <c r="J115" t="s">
        <v>119</v>
      </c>
      <c r="K115">
        <v>38509</v>
      </c>
      <c r="L115" t="s">
        <v>171</v>
      </c>
      <c r="M115" t="s">
        <v>172</v>
      </c>
      <c r="N115" t="s">
        <v>173</v>
      </c>
      <c r="O115" t="s">
        <v>25</v>
      </c>
      <c r="P115" t="s">
        <v>82</v>
      </c>
      <c r="Q115" t="s">
        <v>173</v>
      </c>
      <c r="R115" t="s">
        <v>173</v>
      </c>
      <c r="S115">
        <v>0.33</v>
      </c>
      <c r="T115" t="s">
        <v>47</v>
      </c>
      <c r="U115">
        <v>29.68</v>
      </c>
      <c r="V115">
        <v>27.2</v>
      </c>
      <c r="W115">
        <v>23.119999999999997</v>
      </c>
      <c r="X115">
        <v>0</v>
      </c>
      <c r="Y115">
        <v>1</v>
      </c>
    </row>
    <row r="116" spans="1:25" x14ac:dyDescent="0.35">
      <c r="A116" t="s">
        <v>25</v>
      </c>
      <c r="B116" t="s">
        <v>418</v>
      </c>
      <c r="C116" t="str">
        <f>VLOOKUP(B116,Tabelle3!A:C,2,FALSE)</f>
        <v>Nord</v>
      </c>
      <c r="D116" t="s">
        <v>27</v>
      </c>
      <c r="E116" t="s">
        <v>419</v>
      </c>
      <c r="F116" t="s">
        <v>420</v>
      </c>
      <c r="G116">
        <v>15890</v>
      </c>
      <c r="H116" t="s">
        <v>30</v>
      </c>
      <c r="I116" t="s">
        <v>421</v>
      </c>
      <c r="J116" t="s">
        <v>32</v>
      </c>
      <c r="K116">
        <v>40105</v>
      </c>
      <c r="L116" t="s">
        <v>171</v>
      </c>
      <c r="M116" t="s">
        <v>293</v>
      </c>
      <c r="N116" t="s">
        <v>173</v>
      </c>
      <c r="O116" t="s">
        <v>25</v>
      </c>
      <c r="P116" t="s">
        <v>71</v>
      </c>
      <c r="Q116" t="s">
        <v>173</v>
      </c>
      <c r="R116" t="s">
        <v>173</v>
      </c>
      <c r="S116">
        <v>0.33</v>
      </c>
      <c r="T116" t="s">
        <v>47</v>
      </c>
      <c r="U116">
        <v>32</v>
      </c>
      <c r="V116">
        <v>32</v>
      </c>
      <c r="W116">
        <v>27.2</v>
      </c>
      <c r="X116">
        <v>0</v>
      </c>
      <c r="Y116">
        <v>1</v>
      </c>
    </row>
    <row r="117" spans="1:25" x14ac:dyDescent="0.35">
      <c r="A117" t="s">
        <v>25</v>
      </c>
      <c r="B117" t="s">
        <v>422</v>
      </c>
      <c r="C117" t="str">
        <f>VLOOKUP(B117,Tabelle3!A:C,2,FALSE)</f>
        <v>Nord</v>
      </c>
      <c r="D117" t="s">
        <v>27</v>
      </c>
      <c r="E117" t="s">
        <v>423</v>
      </c>
      <c r="F117" t="s">
        <v>424</v>
      </c>
      <c r="G117">
        <v>39418</v>
      </c>
      <c r="H117" t="s">
        <v>425</v>
      </c>
      <c r="I117" t="s">
        <v>426</v>
      </c>
      <c r="J117" t="s">
        <v>119</v>
      </c>
      <c r="K117">
        <v>35650</v>
      </c>
      <c r="L117" t="s">
        <v>33</v>
      </c>
      <c r="M117" t="s">
        <v>34</v>
      </c>
      <c r="N117" t="s">
        <v>33</v>
      </c>
      <c r="O117" t="s">
        <v>25</v>
      </c>
      <c r="P117" t="s">
        <v>87</v>
      </c>
      <c r="Q117" t="s">
        <v>33</v>
      </c>
      <c r="R117" t="s">
        <v>46</v>
      </c>
      <c r="S117">
        <v>0.60750000000000004</v>
      </c>
      <c r="T117" t="s">
        <v>47</v>
      </c>
      <c r="U117">
        <v>125</v>
      </c>
      <c r="V117">
        <v>100</v>
      </c>
      <c r="W117">
        <v>87</v>
      </c>
      <c r="X117">
        <v>40.69</v>
      </c>
      <c r="Y117">
        <v>91.424855967078173</v>
      </c>
    </row>
    <row r="118" spans="1:25" x14ac:dyDescent="0.35">
      <c r="A118" t="s">
        <v>25</v>
      </c>
      <c r="B118" t="s">
        <v>427</v>
      </c>
      <c r="C118" t="str">
        <f>VLOOKUP(B118,Tabelle3!A:C,2,FALSE)</f>
        <v>Nord</v>
      </c>
      <c r="D118" t="s">
        <v>27</v>
      </c>
      <c r="E118" t="s">
        <v>428</v>
      </c>
      <c r="F118" t="s">
        <v>428</v>
      </c>
      <c r="G118">
        <v>39418</v>
      </c>
      <c r="H118" t="s">
        <v>425</v>
      </c>
      <c r="I118" t="s">
        <v>429</v>
      </c>
      <c r="J118" t="s">
        <v>119</v>
      </c>
      <c r="K118">
        <v>39422</v>
      </c>
      <c r="L118" t="s">
        <v>171</v>
      </c>
      <c r="M118" t="s">
        <v>172</v>
      </c>
      <c r="N118" t="s">
        <v>173</v>
      </c>
      <c r="O118" t="s">
        <v>25</v>
      </c>
      <c r="P118" t="s">
        <v>82</v>
      </c>
      <c r="Q118" t="s">
        <v>173</v>
      </c>
      <c r="R118" t="s">
        <v>173</v>
      </c>
      <c r="S118">
        <v>0.33</v>
      </c>
      <c r="T118" t="s">
        <v>47</v>
      </c>
      <c r="U118">
        <v>27</v>
      </c>
      <c r="V118">
        <v>24</v>
      </c>
      <c r="W118">
        <v>20.399999999999999</v>
      </c>
      <c r="X118">
        <v>0</v>
      </c>
      <c r="Y118">
        <v>1</v>
      </c>
    </row>
    <row r="119" spans="1:25" x14ac:dyDescent="0.35">
      <c r="A119" t="s">
        <v>25</v>
      </c>
      <c r="B119" t="s">
        <v>430</v>
      </c>
      <c r="C119" t="str">
        <f>VLOOKUP(B119,Tabelle3!A:C,2,FALSE)</f>
        <v>Nord</v>
      </c>
      <c r="D119" t="s">
        <v>27</v>
      </c>
      <c r="E119" t="s">
        <v>431</v>
      </c>
      <c r="F119" t="s">
        <v>432</v>
      </c>
      <c r="G119" t="s">
        <v>433</v>
      </c>
      <c r="H119" t="s">
        <v>434</v>
      </c>
      <c r="I119" t="s">
        <v>435</v>
      </c>
      <c r="J119" t="s">
        <v>132</v>
      </c>
      <c r="K119">
        <v>41773</v>
      </c>
      <c r="L119" t="s">
        <v>33</v>
      </c>
      <c r="M119" t="s">
        <v>34</v>
      </c>
      <c r="N119" t="s">
        <v>33</v>
      </c>
      <c r="O119" t="s">
        <v>25</v>
      </c>
      <c r="P119" t="s">
        <v>87</v>
      </c>
      <c r="Q119" t="s">
        <v>33</v>
      </c>
      <c r="R119" t="s">
        <v>46</v>
      </c>
      <c r="S119">
        <v>0.58499999999999996</v>
      </c>
      <c r="T119" t="s">
        <v>37</v>
      </c>
      <c r="U119">
        <v>15.45</v>
      </c>
      <c r="V119">
        <v>14.885</v>
      </c>
      <c r="W119">
        <v>12.949949999999999</v>
      </c>
      <c r="X119">
        <v>40.69</v>
      </c>
      <c r="Y119">
        <v>94.883504273504272</v>
      </c>
    </row>
    <row r="120" spans="1:25" x14ac:dyDescent="0.35">
      <c r="A120" t="s">
        <v>25</v>
      </c>
      <c r="B120" t="s">
        <v>436</v>
      </c>
      <c r="C120" t="str">
        <f>VLOOKUP(B120,Tabelle3!A:C,2,FALSE)</f>
        <v>Nord</v>
      </c>
      <c r="D120" t="s">
        <v>27</v>
      </c>
      <c r="E120" t="s">
        <v>431</v>
      </c>
      <c r="F120" t="s">
        <v>437</v>
      </c>
      <c r="G120" t="s">
        <v>433</v>
      </c>
      <c r="H120" t="s">
        <v>434</v>
      </c>
      <c r="I120" t="s">
        <v>435</v>
      </c>
      <c r="J120" t="s">
        <v>132</v>
      </c>
      <c r="K120">
        <v>41780</v>
      </c>
      <c r="L120" t="s">
        <v>33</v>
      </c>
      <c r="M120" t="s">
        <v>34</v>
      </c>
      <c r="N120" t="s">
        <v>33</v>
      </c>
      <c r="O120" t="s">
        <v>25</v>
      </c>
      <c r="P120" t="s">
        <v>87</v>
      </c>
      <c r="Q120" t="s">
        <v>33</v>
      </c>
      <c r="R120" t="s">
        <v>46</v>
      </c>
      <c r="S120">
        <v>0.58499999999999996</v>
      </c>
      <c r="T120" t="s">
        <v>37</v>
      </c>
      <c r="U120">
        <v>15.45</v>
      </c>
      <c r="V120">
        <v>14.885</v>
      </c>
      <c r="W120">
        <v>12.949949999999999</v>
      </c>
      <c r="X120">
        <v>40.69</v>
      </c>
      <c r="Y120">
        <v>94.883504273504272</v>
      </c>
    </row>
    <row r="121" spans="1:25" x14ac:dyDescent="0.35">
      <c r="A121" t="s">
        <v>25</v>
      </c>
      <c r="B121" t="s">
        <v>438</v>
      </c>
      <c r="C121" t="str">
        <f>VLOOKUP(B121,Tabelle3!A:C,2,FALSE)</f>
        <v>Nord</v>
      </c>
      <c r="D121" t="s">
        <v>27</v>
      </c>
      <c r="E121" t="s">
        <v>439</v>
      </c>
      <c r="F121" t="s">
        <v>440</v>
      </c>
      <c r="G121" t="s">
        <v>441</v>
      </c>
      <c r="H121" t="s">
        <v>442</v>
      </c>
      <c r="I121" t="s">
        <v>443</v>
      </c>
      <c r="J121" t="s">
        <v>119</v>
      </c>
      <c r="K121">
        <v>34698</v>
      </c>
      <c r="L121" t="s">
        <v>33</v>
      </c>
      <c r="M121" t="s">
        <v>70</v>
      </c>
      <c r="N121" t="s">
        <v>33</v>
      </c>
      <c r="O121" t="s">
        <v>25</v>
      </c>
      <c r="P121" t="s">
        <v>50</v>
      </c>
      <c r="Q121" t="s">
        <v>33</v>
      </c>
      <c r="R121" t="s">
        <v>46</v>
      </c>
      <c r="S121">
        <v>0.495</v>
      </c>
      <c r="T121" t="s">
        <v>37</v>
      </c>
      <c r="U121">
        <v>21.7</v>
      </c>
      <c r="V121">
        <v>21.7</v>
      </c>
      <c r="W121">
        <v>18.878999999999998</v>
      </c>
      <c r="X121">
        <v>40.69</v>
      </c>
      <c r="Y121">
        <v>111.86232323232322</v>
      </c>
    </row>
    <row r="122" spans="1:25" x14ac:dyDescent="0.35">
      <c r="A122" t="s">
        <v>25</v>
      </c>
      <c r="B122" t="s">
        <v>444</v>
      </c>
      <c r="C122" t="str">
        <f>VLOOKUP(B122,Tabelle3!A:C,2,FALSE)</f>
        <v>Nord</v>
      </c>
      <c r="D122" t="s">
        <v>27</v>
      </c>
      <c r="E122" t="s">
        <v>439</v>
      </c>
      <c r="F122" t="s">
        <v>445</v>
      </c>
      <c r="G122" t="s">
        <v>441</v>
      </c>
      <c r="H122" t="s">
        <v>442</v>
      </c>
      <c r="I122" t="s">
        <v>446</v>
      </c>
      <c r="J122" t="s">
        <v>119</v>
      </c>
      <c r="K122">
        <v>40164</v>
      </c>
      <c r="L122" t="s">
        <v>69</v>
      </c>
      <c r="M122" t="s">
        <v>70</v>
      </c>
      <c r="N122" t="s">
        <v>69</v>
      </c>
      <c r="O122" t="s">
        <v>44</v>
      </c>
      <c r="P122" t="s">
        <v>82</v>
      </c>
      <c r="Q122" t="s">
        <v>71</v>
      </c>
      <c r="R122" t="s">
        <v>71</v>
      </c>
      <c r="S122">
        <v>0.33</v>
      </c>
      <c r="T122" t="s">
        <v>47</v>
      </c>
      <c r="U122">
        <v>40.49</v>
      </c>
      <c r="V122">
        <v>30</v>
      </c>
      <c r="W122">
        <v>25.5</v>
      </c>
      <c r="X122">
        <v>95.59</v>
      </c>
      <c r="Y122">
        <v>335.6390909090909</v>
      </c>
    </row>
    <row r="123" spans="1:25" x14ac:dyDescent="0.35">
      <c r="A123" t="s">
        <v>25</v>
      </c>
      <c r="B123" t="s">
        <v>447</v>
      </c>
      <c r="C123" t="str">
        <f>VLOOKUP(B123,Tabelle3!A:C,2,FALSE)</f>
        <v>Nord</v>
      </c>
      <c r="D123" t="s">
        <v>27</v>
      </c>
      <c r="E123" t="s">
        <v>439</v>
      </c>
      <c r="F123" t="s">
        <v>448</v>
      </c>
      <c r="G123" t="s">
        <v>441</v>
      </c>
      <c r="H123" t="s">
        <v>442</v>
      </c>
      <c r="I123" t="s">
        <v>443</v>
      </c>
      <c r="J123" t="s">
        <v>119</v>
      </c>
      <c r="K123">
        <v>43815</v>
      </c>
      <c r="L123" t="s">
        <v>33</v>
      </c>
      <c r="M123" t="s">
        <v>34</v>
      </c>
      <c r="N123" t="s">
        <v>33</v>
      </c>
      <c r="O123" t="s">
        <v>25</v>
      </c>
      <c r="P123" t="s">
        <v>35</v>
      </c>
      <c r="Q123" t="s">
        <v>33</v>
      </c>
      <c r="R123" t="s">
        <v>36</v>
      </c>
      <c r="S123">
        <v>0.63</v>
      </c>
      <c r="T123" t="s">
        <v>47</v>
      </c>
      <c r="U123">
        <v>63.5</v>
      </c>
      <c r="V123">
        <v>58.5</v>
      </c>
      <c r="W123">
        <v>50.895000000000003</v>
      </c>
      <c r="X123">
        <v>40.69</v>
      </c>
      <c r="Y123">
        <v>87.713253968253966</v>
      </c>
    </row>
    <row r="124" spans="1:25" x14ac:dyDescent="0.35">
      <c r="A124" t="s">
        <v>25</v>
      </c>
      <c r="B124" t="s">
        <v>449</v>
      </c>
      <c r="C124" t="str">
        <f>VLOOKUP(B124,Tabelle3!A:C,2,FALSE)</f>
        <v>Nord</v>
      </c>
      <c r="D124" t="s">
        <v>27</v>
      </c>
      <c r="E124" t="s">
        <v>439</v>
      </c>
      <c r="F124" t="s">
        <v>450</v>
      </c>
      <c r="G124" t="s">
        <v>441</v>
      </c>
      <c r="H124" t="s">
        <v>442</v>
      </c>
      <c r="I124" t="s">
        <v>451</v>
      </c>
      <c r="J124" t="s">
        <v>119</v>
      </c>
      <c r="K124">
        <v>44100</v>
      </c>
      <c r="L124" t="s">
        <v>33</v>
      </c>
      <c r="M124" t="s">
        <v>34</v>
      </c>
      <c r="N124" t="s">
        <v>33</v>
      </c>
      <c r="O124" t="s">
        <v>25</v>
      </c>
      <c r="P124" t="s">
        <v>35</v>
      </c>
      <c r="Q124" t="s">
        <v>33</v>
      </c>
      <c r="R124" t="s">
        <v>36</v>
      </c>
      <c r="S124">
        <v>0.63</v>
      </c>
      <c r="T124" t="s">
        <v>47</v>
      </c>
      <c r="U124">
        <v>63.5</v>
      </c>
      <c r="V124">
        <v>63.5</v>
      </c>
      <c r="W124">
        <v>55.244999999999997</v>
      </c>
      <c r="X124">
        <v>40.69</v>
      </c>
      <c r="Y124">
        <v>87.713253968253966</v>
      </c>
    </row>
    <row r="125" spans="1:25" x14ac:dyDescent="0.35">
      <c r="A125" t="s">
        <v>25</v>
      </c>
      <c r="B125" t="s">
        <v>452</v>
      </c>
      <c r="C125" t="str">
        <f>VLOOKUP(B125,Tabelle3!A:C,2,FALSE)</f>
        <v>Nord</v>
      </c>
      <c r="D125" t="s">
        <v>27</v>
      </c>
      <c r="E125" t="s">
        <v>453</v>
      </c>
      <c r="F125" t="s">
        <v>454</v>
      </c>
      <c r="G125" t="s">
        <v>455</v>
      </c>
      <c r="H125" t="s">
        <v>456</v>
      </c>
      <c r="I125" t="s">
        <v>457</v>
      </c>
      <c r="J125" t="s">
        <v>32</v>
      </c>
      <c r="K125">
        <v>41255</v>
      </c>
      <c r="L125" t="s">
        <v>171</v>
      </c>
      <c r="M125" t="s">
        <v>293</v>
      </c>
      <c r="N125" t="s">
        <v>173</v>
      </c>
      <c r="O125" t="s">
        <v>25</v>
      </c>
      <c r="P125" t="s">
        <v>82</v>
      </c>
      <c r="Q125" t="s">
        <v>173</v>
      </c>
      <c r="R125" t="s">
        <v>173</v>
      </c>
      <c r="S125">
        <v>0.33</v>
      </c>
      <c r="T125" t="s">
        <v>47</v>
      </c>
      <c r="U125">
        <v>22.707000000000001</v>
      </c>
      <c r="V125">
        <v>17.5</v>
      </c>
      <c r="W125">
        <v>14.875</v>
      </c>
      <c r="X125">
        <v>0</v>
      </c>
      <c r="Y125">
        <v>1</v>
      </c>
    </row>
    <row r="126" spans="1:25" x14ac:dyDescent="0.35">
      <c r="A126" t="s">
        <v>25</v>
      </c>
      <c r="B126" t="s">
        <v>458</v>
      </c>
      <c r="C126" t="str">
        <f>VLOOKUP(B126,Tabelle3!A:C,2,FALSE)</f>
        <v>Nord</v>
      </c>
      <c r="D126" t="s">
        <v>27</v>
      </c>
      <c r="E126" t="s">
        <v>459</v>
      </c>
      <c r="F126" t="s">
        <v>460</v>
      </c>
      <c r="G126">
        <v>39576</v>
      </c>
      <c r="H126" t="s">
        <v>461</v>
      </c>
      <c r="I126" t="s">
        <v>462</v>
      </c>
      <c r="J126" t="s">
        <v>119</v>
      </c>
      <c r="K126">
        <v>43442</v>
      </c>
      <c r="L126" t="s">
        <v>33</v>
      </c>
      <c r="M126" t="s">
        <v>34</v>
      </c>
      <c r="N126" t="s">
        <v>33</v>
      </c>
      <c r="O126" t="s">
        <v>25</v>
      </c>
      <c r="P126" t="s">
        <v>137</v>
      </c>
      <c r="Q126" t="s">
        <v>33</v>
      </c>
      <c r="R126" t="s">
        <v>46</v>
      </c>
      <c r="S126">
        <v>0.37840000000000001</v>
      </c>
      <c r="T126" t="s">
        <v>47</v>
      </c>
      <c r="U126">
        <v>13.45</v>
      </c>
      <c r="V126">
        <v>13.21</v>
      </c>
      <c r="W126">
        <v>11.492700000000001</v>
      </c>
      <c r="X126">
        <v>40.69</v>
      </c>
      <c r="Y126">
        <v>145.86931818181816</v>
      </c>
    </row>
    <row r="127" spans="1:25" x14ac:dyDescent="0.35">
      <c r="A127" t="s">
        <v>25</v>
      </c>
      <c r="B127" t="s">
        <v>463</v>
      </c>
      <c r="C127" t="str">
        <f>VLOOKUP(B127,Tabelle3!A:C,2,FALSE)</f>
        <v>Nord</v>
      </c>
      <c r="D127" t="s">
        <v>27</v>
      </c>
      <c r="E127" t="s">
        <v>464</v>
      </c>
      <c r="F127" t="s">
        <v>465</v>
      </c>
      <c r="G127" t="s">
        <v>466</v>
      </c>
      <c r="H127" t="s">
        <v>467</v>
      </c>
      <c r="I127" t="s">
        <v>468</v>
      </c>
      <c r="J127" t="s">
        <v>32</v>
      </c>
      <c r="K127">
        <v>36242</v>
      </c>
      <c r="L127" t="s">
        <v>33</v>
      </c>
      <c r="M127" t="s">
        <v>34</v>
      </c>
      <c r="N127" t="s">
        <v>33</v>
      </c>
      <c r="O127" t="s">
        <v>25</v>
      </c>
      <c r="P127" t="s">
        <v>82</v>
      </c>
      <c r="Q127" t="s">
        <v>33</v>
      </c>
      <c r="R127" t="s">
        <v>46</v>
      </c>
      <c r="S127">
        <v>0.4</v>
      </c>
      <c r="T127" t="s">
        <v>47</v>
      </c>
      <c r="U127">
        <v>48.9</v>
      </c>
      <c r="V127">
        <v>45</v>
      </c>
      <c r="W127">
        <v>39.15</v>
      </c>
      <c r="X127">
        <v>40.69</v>
      </c>
      <c r="Y127">
        <v>138.073375</v>
      </c>
    </row>
    <row r="128" spans="1:25" x14ac:dyDescent="0.35">
      <c r="A128" t="s">
        <v>25</v>
      </c>
      <c r="B128" t="s">
        <v>469</v>
      </c>
      <c r="C128" t="str">
        <f>VLOOKUP(B128,Tabelle3!A:C,2,FALSE)</f>
        <v>Nord</v>
      </c>
      <c r="D128" t="s">
        <v>27</v>
      </c>
      <c r="E128" t="s">
        <v>464</v>
      </c>
      <c r="F128" t="s">
        <v>470</v>
      </c>
      <c r="G128" t="s">
        <v>466</v>
      </c>
      <c r="H128" t="s">
        <v>467</v>
      </c>
      <c r="I128" t="s">
        <v>468</v>
      </c>
      <c r="J128" t="s">
        <v>32</v>
      </c>
      <c r="K128">
        <v>44819</v>
      </c>
      <c r="L128" t="s">
        <v>33</v>
      </c>
      <c r="M128" t="s">
        <v>34</v>
      </c>
      <c r="N128" t="s">
        <v>33</v>
      </c>
      <c r="O128" t="s">
        <v>25</v>
      </c>
      <c r="P128" t="s">
        <v>137</v>
      </c>
      <c r="Q128" t="s">
        <v>33</v>
      </c>
      <c r="R128" t="s">
        <v>46</v>
      </c>
      <c r="S128">
        <v>0.63</v>
      </c>
      <c r="T128" t="s">
        <v>37</v>
      </c>
      <c r="U128">
        <v>53.915999999999997</v>
      </c>
      <c r="V128">
        <v>53.481000000000002</v>
      </c>
      <c r="W128">
        <v>46.528469999999999</v>
      </c>
      <c r="X128">
        <v>40.69</v>
      </c>
      <c r="Y128">
        <v>88.213253968253966</v>
      </c>
    </row>
    <row r="129" spans="1:25" x14ac:dyDescent="0.35">
      <c r="A129" t="s">
        <v>25</v>
      </c>
      <c r="B129" t="s">
        <v>471</v>
      </c>
      <c r="C129" t="str">
        <f>VLOOKUP(B129,Tabelle3!A:C,2,FALSE)</f>
        <v>Nord</v>
      </c>
      <c r="D129" t="s">
        <v>27</v>
      </c>
      <c r="E129" t="s">
        <v>472</v>
      </c>
      <c r="F129" t="s">
        <v>473</v>
      </c>
      <c r="G129">
        <v>15236</v>
      </c>
      <c r="H129" t="s">
        <v>474</v>
      </c>
      <c r="I129" t="s">
        <v>475</v>
      </c>
      <c r="J129" t="s">
        <v>32</v>
      </c>
      <c r="K129">
        <v>44652</v>
      </c>
      <c r="L129" t="s">
        <v>33</v>
      </c>
      <c r="M129" t="s">
        <v>34</v>
      </c>
      <c r="N129" t="s">
        <v>33</v>
      </c>
      <c r="O129" t="s">
        <v>25</v>
      </c>
      <c r="P129" t="s">
        <v>137</v>
      </c>
      <c r="Q129" t="s">
        <v>33</v>
      </c>
      <c r="R129" t="s">
        <v>46</v>
      </c>
      <c r="S129">
        <v>0.48</v>
      </c>
      <c r="T129" t="s">
        <v>476</v>
      </c>
      <c r="U129">
        <v>10.423</v>
      </c>
      <c r="V129">
        <v>10.3584</v>
      </c>
      <c r="W129">
        <v>9.0118080000000003</v>
      </c>
      <c r="X129">
        <v>40.69</v>
      </c>
      <c r="Y129">
        <v>115.31114583333333</v>
      </c>
    </row>
    <row r="130" spans="1:25" x14ac:dyDescent="0.35">
      <c r="A130" t="s">
        <v>25</v>
      </c>
      <c r="B130" t="s">
        <v>477</v>
      </c>
      <c r="C130" t="str">
        <f>VLOOKUP(B130,Tabelle3!A:C,2,FALSE)</f>
        <v>Nord</v>
      </c>
      <c r="D130" t="s">
        <v>27</v>
      </c>
      <c r="E130" t="s">
        <v>472</v>
      </c>
      <c r="F130" t="s">
        <v>478</v>
      </c>
      <c r="G130">
        <v>15236</v>
      </c>
      <c r="H130" t="s">
        <v>474</v>
      </c>
      <c r="I130" t="s">
        <v>475</v>
      </c>
      <c r="J130" t="s">
        <v>32</v>
      </c>
      <c r="K130">
        <v>44652</v>
      </c>
      <c r="L130" t="s">
        <v>33</v>
      </c>
      <c r="M130" t="s">
        <v>34</v>
      </c>
      <c r="N130" t="s">
        <v>33</v>
      </c>
      <c r="O130" t="s">
        <v>25</v>
      </c>
      <c r="P130" t="s">
        <v>137</v>
      </c>
      <c r="Q130" t="s">
        <v>33</v>
      </c>
      <c r="R130" t="s">
        <v>46</v>
      </c>
      <c r="S130">
        <v>0.48</v>
      </c>
      <c r="T130" t="s">
        <v>476</v>
      </c>
      <c r="U130">
        <v>10.423</v>
      </c>
      <c r="V130">
        <v>10.3584</v>
      </c>
      <c r="W130">
        <v>9.0118080000000003</v>
      </c>
      <c r="X130">
        <v>40.69</v>
      </c>
      <c r="Y130">
        <v>115.31114583333333</v>
      </c>
    </row>
    <row r="131" spans="1:25" x14ac:dyDescent="0.35">
      <c r="A131" t="s">
        <v>25</v>
      </c>
      <c r="B131" t="s">
        <v>479</v>
      </c>
      <c r="C131" t="str">
        <f>VLOOKUP(B131,Tabelle3!A:C,2,FALSE)</f>
        <v>Nord</v>
      </c>
      <c r="D131" t="s">
        <v>27</v>
      </c>
      <c r="E131" t="s">
        <v>472</v>
      </c>
      <c r="F131" t="s">
        <v>480</v>
      </c>
      <c r="G131">
        <v>15236</v>
      </c>
      <c r="H131" t="s">
        <v>474</v>
      </c>
      <c r="I131" t="s">
        <v>475</v>
      </c>
      <c r="J131" t="s">
        <v>32</v>
      </c>
      <c r="K131">
        <v>44652</v>
      </c>
      <c r="L131" t="s">
        <v>33</v>
      </c>
      <c r="M131" t="s">
        <v>34</v>
      </c>
      <c r="N131" t="s">
        <v>33</v>
      </c>
      <c r="O131" t="s">
        <v>25</v>
      </c>
      <c r="P131" t="s">
        <v>137</v>
      </c>
      <c r="Q131" t="s">
        <v>33</v>
      </c>
      <c r="R131" t="s">
        <v>46</v>
      </c>
      <c r="S131">
        <v>0.48</v>
      </c>
      <c r="T131" t="s">
        <v>481</v>
      </c>
      <c r="U131">
        <v>10.423</v>
      </c>
      <c r="V131">
        <v>10.3584</v>
      </c>
      <c r="W131">
        <v>9.0118080000000003</v>
      </c>
      <c r="X131">
        <v>40.69</v>
      </c>
      <c r="Y131">
        <v>115.31114583333333</v>
      </c>
    </row>
    <row r="132" spans="1:25" x14ac:dyDescent="0.35">
      <c r="A132" t="s">
        <v>25</v>
      </c>
      <c r="B132" t="s">
        <v>482</v>
      </c>
      <c r="C132" t="str">
        <f>VLOOKUP(B132,Tabelle3!A:C,2,FALSE)</f>
        <v>Nord</v>
      </c>
      <c r="D132" t="s">
        <v>27</v>
      </c>
      <c r="E132" t="s">
        <v>472</v>
      </c>
      <c r="F132" t="s">
        <v>483</v>
      </c>
      <c r="G132">
        <v>15236</v>
      </c>
      <c r="H132" t="s">
        <v>474</v>
      </c>
      <c r="I132" t="s">
        <v>475</v>
      </c>
      <c r="J132" t="s">
        <v>32</v>
      </c>
      <c r="K132">
        <v>44652</v>
      </c>
      <c r="L132" t="s">
        <v>33</v>
      </c>
      <c r="M132" t="s">
        <v>34</v>
      </c>
      <c r="N132" t="s">
        <v>33</v>
      </c>
      <c r="O132" t="s">
        <v>25</v>
      </c>
      <c r="P132" t="s">
        <v>137</v>
      </c>
      <c r="Q132" t="s">
        <v>33</v>
      </c>
      <c r="R132" t="s">
        <v>46</v>
      </c>
      <c r="S132">
        <v>0.48</v>
      </c>
      <c r="T132" t="s">
        <v>481</v>
      </c>
      <c r="U132">
        <v>10.423</v>
      </c>
      <c r="V132">
        <v>10.3584</v>
      </c>
      <c r="W132">
        <v>9.0118080000000003</v>
      </c>
      <c r="X132">
        <v>40.69</v>
      </c>
      <c r="Y132">
        <v>115.31114583333333</v>
      </c>
    </row>
    <row r="133" spans="1:25" x14ac:dyDescent="0.35">
      <c r="A133" t="s">
        <v>25</v>
      </c>
      <c r="B133" t="s">
        <v>484</v>
      </c>
      <c r="C133" t="str">
        <f>VLOOKUP(B133,Tabelle3!A:C,2,FALSE)</f>
        <v>Nord</v>
      </c>
      <c r="D133" t="s">
        <v>27</v>
      </c>
      <c r="E133" t="s">
        <v>472</v>
      </c>
      <c r="F133" t="s">
        <v>485</v>
      </c>
      <c r="G133">
        <v>15236</v>
      </c>
      <c r="H133" t="s">
        <v>474</v>
      </c>
      <c r="I133" t="s">
        <v>475</v>
      </c>
      <c r="J133" t="s">
        <v>32</v>
      </c>
      <c r="K133">
        <v>44652</v>
      </c>
      <c r="L133" t="s">
        <v>33</v>
      </c>
      <c r="M133" t="s">
        <v>34</v>
      </c>
      <c r="N133" t="s">
        <v>33</v>
      </c>
      <c r="O133" t="s">
        <v>25</v>
      </c>
      <c r="P133" t="s">
        <v>137</v>
      </c>
      <c r="Q133" t="s">
        <v>33</v>
      </c>
      <c r="R133" t="s">
        <v>46</v>
      </c>
      <c r="S133">
        <v>0.48</v>
      </c>
      <c r="T133" t="s">
        <v>476</v>
      </c>
      <c r="U133">
        <v>10.423</v>
      </c>
      <c r="V133">
        <v>10.3584</v>
      </c>
      <c r="W133">
        <v>9.0118080000000003</v>
      </c>
      <c r="X133">
        <v>40.69</v>
      </c>
      <c r="Y133">
        <v>115.31114583333333</v>
      </c>
    </row>
    <row r="134" spans="1:25" x14ac:dyDescent="0.35">
      <c r="A134" t="s">
        <v>25</v>
      </c>
      <c r="B134" t="s">
        <v>486</v>
      </c>
      <c r="C134" t="str">
        <f>VLOOKUP(B134,Tabelle3!A:C,2,FALSE)</f>
        <v>Nord</v>
      </c>
      <c r="D134" t="s">
        <v>27</v>
      </c>
      <c r="E134" t="s">
        <v>487</v>
      </c>
      <c r="F134" t="s">
        <v>488</v>
      </c>
      <c r="G134" t="s">
        <v>489</v>
      </c>
      <c r="H134" t="s">
        <v>490</v>
      </c>
      <c r="I134" t="s">
        <v>491</v>
      </c>
      <c r="J134" t="s">
        <v>132</v>
      </c>
      <c r="K134">
        <v>44713</v>
      </c>
      <c r="L134" t="s">
        <v>33</v>
      </c>
      <c r="M134" t="s">
        <v>34</v>
      </c>
      <c r="N134" t="s">
        <v>33</v>
      </c>
      <c r="O134" t="s">
        <v>25</v>
      </c>
      <c r="P134" t="s">
        <v>50</v>
      </c>
      <c r="Q134" t="s">
        <v>33</v>
      </c>
      <c r="R134" t="s">
        <v>46</v>
      </c>
      <c r="S134">
        <v>0.42</v>
      </c>
      <c r="T134" t="s">
        <v>492</v>
      </c>
      <c r="U134">
        <v>25.742999999999999</v>
      </c>
      <c r="V134">
        <v>25.248999999999999</v>
      </c>
      <c r="W134">
        <v>21.966629999999999</v>
      </c>
      <c r="X134">
        <v>40.69</v>
      </c>
      <c r="Y134">
        <v>131.56988095238094</v>
      </c>
    </row>
    <row r="135" spans="1:25" x14ac:dyDescent="0.35">
      <c r="A135" t="s">
        <v>25</v>
      </c>
      <c r="B135" t="s">
        <v>493</v>
      </c>
      <c r="C135" t="str">
        <f>VLOOKUP(B135,Tabelle3!A:C,2,FALSE)</f>
        <v>Nord</v>
      </c>
      <c r="D135" t="s">
        <v>27</v>
      </c>
      <c r="E135" t="s">
        <v>487</v>
      </c>
      <c r="F135" t="s">
        <v>494</v>
      </c>
      <c r="G135" t="s">
        <v>489</v>
      </c>
      <c r="H135" t="s">
        <v>490</v>
      </c>
      <c r="I135" t="s">
        <v>491</v>
      </c>
      <c r="J135" t="s">
        <v>132</v>
      </c>
      <c r="K135">
        <v>44713</v>
      </c>
      <c r="L135" t="s">
        <v>33</v>
      </c>
      <c r="M135" t="s">
        <v>34</v>
      </c>
      <c r="N135" t="s">
        <v>33</v>
      </c>
      <c r="O135" t="s">
        <v>25</v>
      </c>
      <c r="P135" t="s">
        <v>50</v>
      </c>
      <c r="Q135" t="s">
        <v>33</v>
      </c>
      <c r="R135" t="s">
        <v>46</v>
      </c>
      <c r="S135">
        <v>0.42</v>
      </c>
      <c r="T135" t="s">
        <v>492</v>
      </c>
      <c r="U135">
        <v>26.11</v>
      </c>
      <c r="V135">
        <v>25.609000000000002</v>
      </c>
      <c r="W135">
        <v>22.27983</v>
      </c>
      <c r="X135">
        <v>40.69</v>
      </c>
      <c r="Y135">
        <v>131.56988095238094</v>
      </c>
    </row>
    <row r="136" spans="1:25" x14ac:dyDescent="0.35">
      <c r="A136" t="s">
        <v>25</v>
      </c>
      <c r="B136" t="s">
        <v>495</v>
      </c>
      <c r="C136" t="str">
        <f>VLOOKUP(B136,Tabelle3!A:C,2,FALSE)</f>
        <v>Nord</v>
      </c>
      <c r="D136" t="s">
        <v>27</v>
      </c>
      <c r="E136" t="s">
        <v>487</v>
      </c>
      <c r="F136" t="s">
        <v>496</v>
      </c>
      <c r="G136" t="s">
        <v>489</v>
      </c>
      <c r="H136" t="s">
        <v>490</v>
      </c>
      <c r="I136" t="s">
        <v>497</v>
      </c>
      <c r="J136" t="s">
        <v>132</v>
      </c>
      <c r="K136">
        <v>35100</v>
      </c>
      <c r="L136" t="s">
        <v>33</v>
      </c>
      <c r="N136" t="s">
        <v>33</v>
      </c>
      <c r="O136" t="s">
        <v>25</v>
      </c>
      <c r="P136" t="s">
        <v>35</v>
      </c>
      <c r="Q136" t="s">
        <v>33</v>
      </c>
      <c r="R136" t="s">
        <v>36</v>
      </c>
      <c r="S136">
        <v>0.58499999999999996</v>
      </c>
      <c r="T136" t="s">
        <v>47</v>
      </c>
      <c r="U136">
        <v>64.783000000000001</v>
      </c>
      <c r="V136">
        <v>63.54</v>
      </c>
      <c r="W136">
        <v>55.279800000000002</v>
      </c>
      <c r="X136">
        <v>40.69</v>
      </c>
      <c r="Y136">
        <v>94.383504273504272</v>
      </c>
    </row>
    <row r="137" spans="1:25" x14ac:dyDescent="0.35">
      <c r="A137" t="s">
        <v>25</v>
      </c>
      <c r="B137" t="s">
        <v>498</v>
      </c>
      <c r="C137" t="str">
        <f>VLOOKUP(B137,Tabelle3!A:C,2,FALSE)</f>
        <v>Nord</v>
      </c>
      <c r="D137" t="s">
        <v>27</v>
      </c>
      <c r="E137" t="s">
        <v>487</v>
      </c>
      <c r="F137" t="s">
        <v>499</v>
      </c>
      <c r="G137" t="s">
        <v>489</v>
      </c>
      <c r="H137" t="s">
        <v>490</v>
      </c>
      <c r="I137" t="s">
        <v>491</v>
      </c>
      <c r="J137" t="s">
        <v>132</v>
      </c>
      <c r="K137">
        <v>40179</v>
      </c>
      <c r="L137" t="s">
        <v>33</v>
      </c>
      <c r="N137" t="s">
        <v>33</v>
      </c>
      <c r="O137" t="s">
        <v>25</v>
      </c>
      <c r="P137" t="s">
        <v>35</v>
      </c>
      <c r="Q137" t="s">
        <v>33</v>
      </c>
      <c r="R137" t="s">
        <v>36</v>
      </c>
      <c r="S137">
        <v>0.58499999999999996</v>
      </c>
      <c r="T137" t="s">
        <v>47</v>
      </c>
      <c r="U137">
        <v>65.867000000000004</v>
      </c>
      <c r="V137">
        <v>64.602999999999994</v>
      </c>
      <c r="W137">
        <v>56.204609999999995</v>
      </c>
      <c r="X137">
        <v>40.69</v>
      </c>
      <c r="Y137">
        <v>94.383504273504272</v>
      </c>
    </row>
    <row r="138" spans="1:25" x14ac:dyDescent="0.35">
      <c r="A138" t="s">
        <v>25</v>
      </c>
      <c r="B138" t="s">
        <v>500</v>
      </c>
      <c r="C138" t="str">
        <f>VLOOKUP(B138,Tabelle3!A:C,2,FALSE)</f>
        <v>Nord</v>
      </c>
      <c r="D138" t="s">
        <v>27</v>
      </c>
      <c r="E138" t="s">
        <v>487</v>
      </c>
      <c r="F138" t="s">
        <v>501</v>
      </c>
      <c r="G138" t="s">
        <v>502</v>
      </c>
      <c r="H138" t="s">
        <v>490</v>
      </c>
      <c r="I138" t="s">
        <v>503</v>
      </c>
      <c r="J138" t="s">
        <v>132</v>
      </c>
      <c r="K138">
        <v>44868</v>
      </c>
      <c r="L138" t="s">
        <v>33</v>
      </c>
      <c r="M138" t="s">
        <v>34</v>
      </c>
      <c r="N138" t="s">
        <v>33</v>
      </c>
      <c r="O138" t="s">
        <v>25</v>
      </c>
      <c r="P138" t="s">
        <v>87</v>
      </c>
      <c r="Q138" t="s">
        <v>33</v>
      </c>
      <c r="R138" t="s">
        <v>46</v>
      </c>
      <c r="S138">
        <v>0.432</v>
      </c>
      <c r="T138" t="s">
        <v>37</v>
      </c>
      <c r="U138">
        <v>66.465000000000003</v>
      </c>
      <c r="V138">
        <v>66.02</v>
      </c>
      <c r="W138">
        <v>57.437399999999997</v>
      </c>
      <c r="X138">
        <v>40.69</v>
      </c>
      <c r="Y138">
        <v>127.95682870370371</v>
      </c>
    </row>
    <row r="139" spans="1:25" x14ac:dyDescent="0.35">
      <c r="A139" t="s">
        <v>25</v>
      </c>
      <c r="B139" t="s">
        <v>504</v>
      </c>
      <c r="C139" t="str">
        <f>VLOOKUP(B139,Tabelle3!A:C,2,FALSE)</f>
        <v>Nord</v>
      </c>
      <c r="D139" t="s">
        <v>27</v>
      </c>
      <c r="E139" t="s">
        <v>487</v>
      </c>
      <c r="F139" t="s">
        <v>505</v>
      </c>
      <c r="G139" t="s">
        <v>502</v>
      </c>
      <c r="H139" t="s">
        <v>490</v>
      </c>
      <c r="I139" t="s">
        <v>503</v>
      </c>
      <c r="J139" t="s">
        <v>132</v>
      </c>
      <c r="K139">
        <v>44868</v>
      </c>
      <c r="L139" t="s">
        <v>33</v>
      </c>
      <c r="M139" t="s">
        <v>34</v>
      </c>
      <c r="N139" t="s">
        <v>33</v>
      </c>
      <c r="O139" t="s">
        <v>25</v>
      </c>
      <c r="P139" t="s">
        <v>87</v>
      </c>
      <c r="Q139" t="s">
        <v>33</v>
      </c>
      <c r="R139" t="s">
        <v>46</v>
      </c>
      <c r="S139">
        <v>0.432</v>
      </c>
      <c r="T139" t="s">
        <v>37</v>
      </c>
      <c r="U139">
        <v>66.766000000000005</v>
      </c>
      <c r="V139">
        <v>66.320999999999998</v>
      </c>
      <c r="W139">
        <v>57.699269999999999</v>
      </c>
      <c r="X139">
        <v>40.69</v>
      </c>
      <c r="Y139">
        <v>127.95682870370371</v>
      </c>
    </row>
    <row r="140" spans="1:25" x14ac:dyDescent="0.35">
      <c r="A140" t="s">
        <v>25</v>
      </c>
      <c r="B140" t="s">
        <v>506</v>
      </c>
      <c r="C140" t="str">
        <f>VLOOKUP(B140,Tabelle3!A:C,2,FALSE)</f>
        <v>Nord</v>
      </c>
      <c r="D140" t="s">
        <v>27</v>
      </c>
      <c r="E140" t="s">
        <v>507</v>
      </c>
      <c r="F140" t="s">
        <v>508</v>
      </c>
      <c r="G140">
        <v>18069</v>
      </c>
      <c r="H140" t="s">
        <v>509</v>
      </c>
      <c r="I140" t="s">
        <v>510</v>
      </c>
      <c r="J140" t="s">
        <v>125</v>
      </c>
      <c r="K140">
        <v>35229</v>
      </c>
      <c r="L140" t="s">
        <v>33</v>
      </c>
      <c r="M140" t="s">
        <v>34</v>
      </c>
      <c r="N140" t="s">
        <v>33</v>
      </c>
      <c r="O140" t="s">
        <v>25</v>
      </c>
      <c r="P140" t="s">
        <v>35</v>
      </c>
      <c r="Q140" t="s">
        <v>33</v>
      </c>
      <c r="R140" t="s">
        <v>36</v>
      </c>
      <c r="S140">
        <v>0.52200000000000002</v>
      </c>
      <c r="T140" t="s">
        <v>47</v>
      </c>
      <c r="U140">
        <v>37</v>
      </c>
      <c r="V140">
        <v>36</v>
      </c>
      <c r="W140">
        <v>31.32</v>
      </c>
      <c r="X140">
        <v>40.69</v>
      </c>
      <c r="Y140">
        <v>105.65392720306512</v>
      </c>
    </row>
    <row r="141" spans="1:25" x14ac:dyDescent="0.35">
      <c r="A141" t="s">
        <v>25</v>
      </c>
      <c r="B141" t="s">
        <v>511</v>
      </c>
      <c r="C141" t="str">
        <f>VLOOKUP(B141,Tabelle3!A:C,2,FALSE)</f>
        <v>Nord</v>
      </c>
      <c r="D141" t="s">
        <v>27</v>
      </c>
      <c r="E141" t="s">
        <v>507</v>
      </c>
      <c r="F141" t="s">
        <v>512</v>
      </c>
      <c r="G141">
        <v>18069</v>
      </c>
      <c r="H141" t="s">
        <v>509</v>
      </c>
      <c r="I141" t="s">
        <v>510</v>
      </c>
      <c r="J141" t="s">
        <v>125</v>
      </c>
      <c r="K141">
        <v>35292</v>
      </c>
      <c r="L141" t="s">
        <v>33</v>
      </c>
      <c r="M141" t="s">
        <v>34</v>
      </c>
      <c r="N141" t="s">
        <v>33</v>
      </c>
      <c r="O141" t="s">
        <v>25</v>
      </c>
      <c r="P141" t="s">
        <v>35</v>
      </c>
      <c r="Q141" t="s">
        <v>33</v>
      </c>
      <c r="R141" t="s">
        <v>36</v>
      </c>
      <c r="S141">
        <v>0.52200000000000002</v>
      </c>
      <c r="T141" t="s">
        <v>47</v>
      </c>
      <c r="U141">
        <v>37</v>
      </c>
      <c r="V141">
        <v>36</v>
      </c>
      <c r="W141">
        <v>31.32</v>
      </c>
      <c r="X141">
        <v>40.69</v>
      </c>
      <c r="Y141">
        <v>105.65392720306512</v>
      </c>
    </row>
    <row r="142" spans="1:25" x14ac:dyDescent="0.35">
      <c r="A142" t="s">
        <v>25</v>
      </c>
      <c r="B142" t="s">
        <v>513</v>
      </c>
      <c r="C142" t="str">
        <f>VLOOKUP(B142,Tabelle3!A:C,2,FALSE)</f>
        <v>Nord</v>
      </c>
      <c r="D142" t="s">
        <v>27</v>
      </c>
      <c r="E142" t="s">
        <v>507</v>
      </c>
      <c r="F142" t="s">
        <v>514</v>
      </c>
      <c r="G142">
        <v>18069</v>
      </c>
      <c r="H142" t="s">
        <v>509</v>
      </c>
      <c r="I142" t="s">
        <v>510</v>
      </c>
      <c r="J142" t="s">
        <v>125</v>
      </c>
      <c r="K142">
        <v>35339</v>
      </c>
      <c r="L142" t="s">
        <v>33</v>
      </c>
      <c r="M142" t="s">
        <v>34</v>
      </c>
      <c r="N142" t="s">
        <v>33</v>
      </c>
      <c r="O142" t="s">
        <v>25</v>
      </c>
      <c r="P142" t="s">
        <v>35</v>
      </c>
      <c r="Q142" t="s">
        <v>33</v>
      </c>
      <c r="R142" t="s">
        <v>36</v>
      </c>
      <c r="S142">
        <v>0.52200000000000002</v>
      </c>
      <c r="T142" t="s">
        <v>47</v>
      </c>
      <c r="U142">
        <v>37</v>
      </c>
      <c r="V142">
        <v>36</v>
      </c>
      <c r="W142">
        <v>31.32</v>
      </c>
      <c r="X142">
        <v>40.69</v>
      </c>
      <c r="Y142">
        <v>105.65392720306512</v>
      </c>
    </row>
    <row r="143" spans="1:25" x14ac:dyDescent="0.35">
      <c r="A143" t="s">
        <v>25</v>
      </c>
      <c r="B143" t="s">
        <v>515</v>
      </c>
      <c r="C143" t="str">
        <f>VLOOKUP(B143,Tabelle3!A:C,2,FALSE)</f>
        <v>Nord</v>
      </c>
      <c r="D143" t="s">
        <v>27</v>
      </c>
      <c r="E143" t="s">
        <v>516</v>
      </c>
      <c r="F143" t="s">
        <v>517</v>
      </c>
      <c r="G143">
        <v>14772</v>
      </c>
      <c r="H143" t="s">
        <v>32</v>
      </c>
      <c r="I143" t="s">
        <v>518</v>
      </c>
      <c r="J143" t="s">
        <v>32</v>
      </c>
      <c r="K143">
        <v>35667</v>
      </c>
      <c r="L143" t="s">
        <v>33</v>
      </c>
      <c r="M143" t="s">
        <v>34</v>
      </c>
      <c r="N143" t="s">
        <v>33</v>
      </c>
      <c r="O143" t="s">
        <v>25</v>
      </c>
      <c r="P143" t="s">
        <v>87</v>
      </c>
      <c r="Q143" t="s">
        <v>33</v>
      </c>
      <c r="R143" t="s">
        <v>46</v>
      </c>
      <c r="S143">
        <v>0.38169999999999998</v>
      </c>
      <c r="T143" t="s">
        <v>47</v>
      </c>
      <c r="U143">
        <v>36.96</v>
      </c>
      <c r="V143">
        <v>36.799999999999997</v>
      </c>
      <c r="W143">
        <v>32.015999999999998</v>
      </c>
      <c r="X143">
        <v>40.69</v>
      </c>
      <c r="Y143">
        <v>144.62116845690332</v>
      </c>
    </row>
    <row r="144" spans="1:25" x14ac:dyDescent="0.35">
      <c r="A144" t="s">
        <v>25</v>
      </c>
      <c r="B144" t="s">
        <v>519</v>
      </c>
      <c r="C144" t="str">
        <f>VLOOKUP(B144,Tabelle3!A:C,2,FALSE)</f>
        <v>Nord</v>
      </c>
      <c r="D144" t="s">
        <v>27</v>
      </c>
      <c r="E144" t="s">
        <v>520</v>
      </c>
      <c r="F144" t="s">
        <v>521</v>
      </c>
      <c r="G144">
        <v>99087</v>
      </c>
      <c r="H144" t="s">
        <v>522</v>
      </c>
      <c r="I144" t="s">
        <v>523</v>
      </c>
      <c r="J144" t="s">
        <v>319</v>
      </c>
      <c r="K144">
        <v>44562</v>
      </c>
      <c r="L144" t="s">
        <v>33</v>
      </c>
      <c r="M144" t="s">
        <v>34</v>
      </c>
      <c r="N144" t="s">
        <v>33</v>
      </c>
      <c r="O144" t="s">
        <v>25</v>
      </c>
      <c r="P144" t="s">
        <v>50</v>
      </c>
      <c r="Q144" t="s">
        <v>33</v>
      </c>
      <c r="R144" t="s">
        <v>46</v>
      </c>
      <c r="S144">
        <v>0.63</v>
      </c>
      <c r="T144" t="s">
        <v>37</v>
      </c>
      <c r="U144">
        <v>10.5</v>
      </c>
      <c r="V144">
        <v>10.5</v>
      </c>
      <c r="W144">
        <v>9.1349999999999998</v>
      </c>
      <c r="X144">
        <v>40.69</v>
      </c>
      <c r="Y144">
        <v>88.213253968253966</v>
      </c>
    </row>
    <row r="145" spans="1:25" x14ac:dyDescent="0.35">
      <c r="A145" t="s">
        <v>25</v>
      </c>
      <c r="B145" t="s">
        <v>524</v>
      </c>
      <c r="C145" t="str">
        <f>VLOOKUP(B145,Tabelle3!A:C,2,FALSE)</f>
        <v>Nord</v>
      </c>
      <c r="D145" t="s">
        <v>27</v>
      </c>
      <c r="E145" t="s">
        <v>520</v>
      </c>
      <c r="F145" t="s">
        <v>525</v>
      </c>
      <c r="G145">
        <v>99087</v>
      </c>
      <c r="H145" t="s">
        <v>522</v>
      </c>
      <c r="I145" t="s">
        <v>523</v>
      </c>
      <c r="J145" t="s">
        <v>319</v>
      </c>
      <c r="K145">
        <v>36511</v>
      </c>
      <c r="L145" t="s">
        <v>33</v>
      </c>
      <c r="M145" t="s">
        <v>34</v>
      </c>
      <c r="N145" t="s">
        <v>33</v>
      </c>
      <c r="O145" t="s">
        <v>25</v>
      </c>
      <c r="P145" t="s">
        <v>35</v>
      </c>
      <c r="Q145" t="s">
        <v>33</v>
      </c>
      <c r="R145" t="s">
        <v>36</v>
      </c>
      <c r="S145">
        <v>0.54</v>
      </c>
      <c r="T145" t="s">
        <v>37</v>
      </c>
      <c r="U145">
        <v>23.914000000000001</v>
      </c>
      <c r="V145">
        <v>23</v>
      </c>
      <c r="W145">
        <v>20.010000000000002</v>
      </c>
      <c r="X145">
        <v>40.69</v>
      </c>
      <c r="Y145">
        <v>102.16546296296296</v>
      </c>
    </row>
    <row r="146" spans="1:25" x14ac:dyDescent="0.35">
      <c r="A146" t="s">
        <v>25</v>
      </c>
      <c r="B146" t="s">
        <v>526</v>
      </c>
      <c r="C146" t="str">
        <f>VLOOKUP(B146,Tabelle3!A:C,2,FALSE)</f>
        <v>Nord</v>
      </c>
      <c r="D146" t="s">
        <v>27</v>
      </c>
      <c r="E146" t="s">
        <v>520</v>
      </c>
      <c r="F146" t="s">
        <v>527</v>
      </c>
      <c r="G146">
        <v>99087</v>
      </c>
      <c r="H146" t="s">
        <v>522</v>
      </c>
      <c r="I146" t="s">
        <v>523</v>
      </c>
      <c r="J146" t="s">
        <v>319</v>
      </c>
      <c r="K146">
        <v>36511</v>
      </c>
      <c r="L146" t="s">
        <v>33</v>
      </c>
      <c r="M146" t="s">
        <v>34</v>
      </c>
      <c r="N146" t="s">
        <v>33</v>
      </c>
      <c r="O146" t="s">
        <v>25</v>
      </c>
      <c r="P146" t="s">
        <v>35</v>
      </c>
      <c r="Q146" t="s">
        <v>33</v>
      </c>
      <c r="R146" t="s">
        <v>36</v>
      </c>
      <c r="S146">
        <v>0.54</v>
      </c>
      <c r="T146" t="s">
        <v>37</v>
      </c>
      <c r="U146">
        <v>23.914000000000001</v>
      </c>
      <c r="V146">
        <v>23</v>
      </c>
      <c r="W146">
        <v>20.010000000000002</v>
      </c>
      <c r="X146">
        <v>40.69</v>
      </c>
      <c r="Y146">
        <v>102.16546296296296</v>
      </c>
    </row>
    <row r="147" spans="1:25" x14ac:dyDescent="0.35">
      <c r="A147" t="s">
        <v>25</v>
      </c>
      <c r="B147" t="s">
        <v>528</v>
      </c>
      <c r="C147" t="str">
        <f>VLOOKUP(B147,Tabelle3!A:C,2,FALSE)</f>
        <v>Nord</v>
      </c>
      <c r="D147" t="s">
        <v>27</v>
      </c>
      <c r="E147" t="s">
        <v>520</v>
      </c>
      <c r="F147" t="s">
        <v>529</v>
      </c>
      <c r="G147">
        <v>99087</v>
      </c>
      <c r="H147" t="s">
        <v>522</v>
      </c>
      <c r="I147" t="s">
        <v>523</v>
      </c>
      <c r="J147" t="s">
        <v>319</v>
      </c>
      <c r="K147">
        <v>41908</v>
      </c>
      <c r="L147" t="s">
        <v>33</v>
      </c>
      <c r="M147" t="s">
        <v>34</v>
      </c>
      <c r="N147" t="s">
        <v>33</v>
      </c>
      <c r="O147" t="s">
        <v>25</v>
      </c>
      <c r="P147" t="s">
        <v>35</v>
      </c>
      <c r="Q147" t="s">
        <v>33</v>
      </c>
      <c r="R147" t="s">
        <v>36</v>
      </c>
      <c r="S147">
        <v>0.36399999999999999</v>
      </c>
      <c r="T147" t="s">
        <v>47</v>
      </c>
      <c r="U147">
        <v>33.770000000000003</v>
      </c>
      <c r="V147">
        <v>33</v>
      </c>
      <c r="W147">
        <v>28.71</v>
      </c>
      <c r="X147">
        <v>40.69</v>
      </c>
      <c r="Y147">
        <v>151.08063186813186</v>
      </c>
    </row>
    <row r="148" spans="1:25" x14ac:dyDescent="0.35">
      <c r="A148" t="s">
        <v>25</v>
      </c>
      <c r="B148" t="s">
        <v>530</v>
      </c>
      <c r="C148" t="str">
        <f>VLOOKUP(B148,Tabelle3!A:C,2,FALSE)</f>
        <v>Nord</v>
      </c>
      <c r="D148" t="s">
        <v>27</v>
      </c>
      <c r="E148" t="s">
        <v>520</v>
      </c>
      <c r="F148" t="s">
        <v>159</v>
      </c>
      <c r="G148">
        <v>99087</v>
      </c>
      <c r="H148" t="s">
        <v>522</v>
      </c>
      <c r="I148" t="s">
        <v>523</v>
      </c>
      <c r="J148" t="s">
        <v>319</v>
      </c>
      <c r="K148">
        <v>36511</v>
      </c>
      <c r="L148" t="s">
        <v>33</v>
      </c>
      <c r="M148" t="s">
        <v>34</v>
      </c>
      <c r="N148" t="s">
        <v>33</v>
      </c>
      <c r="O148" t="s">
        <v>25</v>
      </c>
      <c r="P148" t="s">
        <v>50</v>
      </c>
      <c r="Q148" t="s">
        <v>33</v>
      </c>
      <c r="R148" t="s">
        <v>46</v>
      </c>
      <c r="S148">
        <v>0.4</v>
      </c>
      <c r="T148" t="s">
        <v>108</v>
      </c>
      <c r="U148">
        <v>34</v>
      </c>
      <c r="V148">
        <v>34</v>
      </c>
      <c r="W148">
        <v>29.58</v>
      </c>
      <c r="X148">
        <v>40.69</v>
      </c>
      <c r="Y148">
        <v>138.073375</v>
      </c>
    </row>
    <row r="149" spans="1:25" x14ac:dyDescent="0.35">
      <c r="A149" t="s">
        <v>25</v>
      </c>
      <c r="B149" t="s">
        <v>531</v>
      </c>
      <c r="C149" t="str">
        <f>VLOOKUP(B149,Tabelle3!A:C,2,FALSE)</f>
        <v>Nord</v>
      </c>
      <c r="D149" t="s">
        <v>27</v>
      </c>
      <c r="E149" t="s">
        <v>532</v>
      </c>
      <c r="F149" t="s">
        <v>533</v>
      </c>
      <c r="G149">
        <v>36433</v>
      </c>
      <c r="H149" t="s">
        <v>534</v>
      </c>
      <c r="I149" t="s">
        <v>535</v>
      </c>
      <c r="J149" t="s">
        <v>319</v>
      </c>
      <c r="K149">
        <v>43438</v>
      </c>
      <c r="L149" t="s">
        <v>33</v>
      </c>
      <c r="M149" t="s">
        <v>34</v>
      </c>
      <c r="N149" t="s">
        <v>33</v>
      </c>
      <c r="O149" t="s">
        <v>25</v>
      </c>
      <c r="P149" t="s">
        <v>137</v>
      </c>
      <c r="Q149" t="s">
        <v>33</v>
      </c>
      <c r="R149" t="s">
        <v>46</v>
      </c>
      <c r="S149">
        <v>0.40479999999999999</v>
      </c>
      <c r="T149" t="s">
        <v>47</v>
      </c>
      <c r="U149">
        <v>10.051</v>
      </c>
      <c r="V149">
        <v>10.003</v>
      </c>
      <c r="W149">
        <v>8.70261</v>
      </c>
      <c r="X149">
        <v>40.69</v>
      </c>
      <c r="Y149">
        <v>136.45392786561266</v>
      </c>
    </row>
    <row r="150" spans="1:25" x14ac:dyDescent="0.35">
      <c r="A150" t="s">
        <v>25</v>
      </c>
      <c r="B150" t="s">
        <v>536</v>
      </c>
      <c r="C150" t="str">
        <f>VLOOKUP(B150,Tabelle3!A:C,2,FALSE)</f>
        <v>Nord</v>
      </c>
      <c r="D150" t="s">
        <v>27</v>
      </c>
      <c r="E150" t="s">
        <v>532</v>
      </c>
      <c r="F150" t="s">
        <v>537</v>
      </c>
      <c r="G150" t="s">
        <v>538</v>
      </c>
      <c r="H150" t="s">
        <v>539</v>
      </c>
      <c r="I150" t="s">
        <v>540</v>
      </c>
      <c r="J150" t="s">
        <v>319</v>
      </c>
      <c r="K150">
        <v>44869</v>
      </c>
      <c r="L150" t="s">
        <v>33</v>
      </c>
      <c r="M150" t="s">
        <v>34</v>
      </c>
      <c r="N150" t="s">
        <v>33</v>
      </c>
      <c r="O150" t="s">
        <v>25</v>
      </c>
      <c r="P150" t="s">
        <v>137</v>
      </c>
      <c r="Q150" t="s">
        <v>33</v>
      </c>
      <c r="R150" t="s">
        <v>46</v>
      </c>
      <c r="S150">
        <v>0.63</v>
      </c>
      <c r="T150" t="s">
        <v>37</v>
      </c>
      <c r="U150">
        <v>12.616</v>
      </c>
      <c r="V150">
        <v>12.175000000000001</v>
      </c>
      <c r="W150">
        <v>10.59225</v>
      </c>
      <c r="X150">
        <v>40.69</v>
      </c>
      <c r="Y150">
        <v>88.213253968253966</v>
      </c>
    </row>
    <row r="151" spans="1:25" x14ac:dyDescent="0.35">
      <c r="A151" t="s">
        <v>25</v>
      </c>
      <c r="B151" t="s">
        <v>541</v>
      </c>
      <c r="C151" t="str">
        <f>VLOOKUP(B151,Tabelle3!A:C,2,FALSE)</f>
        <v>Nord</v>
      </c>
      <c r="D151" t="s">
        <v>27</v>
      </c>
      <c r="E151" t="s">
        <v>532</v>
      </c>
      <c r="F151" t="s">
        <v>542</v>
      </c>
      <c r="G151" t="s">
        <v>538</v>
      </c>
      <c r="H151" t="s">
        <v>539</v>
      </c>
      <c r="I151" t="s">
        <v>540</v>
      </c>
      <c r="J151" t="s">
        <v>319</v>
      </c>
      <c r="K151">
        <v>44876</v>
      </c>
      <c r="L151" t="s">
        <v>33</v>
      </c>
      <c r="M151" t="s">
        <v>34</v>
      </c>
      <c r="N151" t="s">
        <v>33</v>
      </c>
      <c r="O151" t="s">
        <v>25</v>
      </c>
      <c r="P151" t="s">
        <v>137</v>
      </c>
      <c r="Q151" t="s">
        <v>33</v>
      </c>
      <c r="R151" t="s">
        <v>46</v>
      </c>
      <c r="S151">
        <v>0.63</v>
      </c>
      <c r="T151" t="s">
        <v>37</v>
      </c>
      <c r="U151">
        <v>12.616</v>
      </c>
      <c r="V151">
        <v>12.175000000000001</v>
      </c>
      <c r="W151">
        <v>10.59225</v>
      </c>
      <c r="X151">
        <v>40.69</v>
      </c>
      <c r="Y151">
        <v>88.213253968253966</v>
      </c>
    </row>
    <row r="152" spans="1:25" x14ac:dyDescent="0.35">
      <c r="A152" t="s">
        <v>25</v>
      </c>
      <c r="B152" t="s">
        <v>543</v>
      </c>
      <c r="C152" t="str">
        <f>VLOOKUP(B152,Tabelle3!A:C,2,FALSE)</f>
        <v>Nord</v>
      </c>
      <c r="D152" t="s">
        <v>27</v>
      </c>
      <c r="E152" t="s">
        <v>532</v>
      </c>
      <c r="F152" t="s">
        <v>544</v>
      </c>
      <c r="G152" t="s">
        <v>538</v>
      </c>
      <c r="H152" t="s">
        <v>539</v>
      </c>
      <c r="I152" t="s">
        <v>540</v>
      </c>
      <c r="J152" t="s">
        <v>319</v>
      </c>
      <c r="K152">
        <v>44869</v>
      </c>
      <c r="L152" t="s">
        <v>33</v>
      </c>
      <c r="M152" t="s">
        <v>34</v>
      </c>
      <c r="N152" t="s">
        <v>33</v>
      </c>
      <c r="O152" t="s">
        <v>25</v>
      </c>
      <c r="P152" t="s">
        <v>137</v>
      </c>
      <c r="Q152" t="s">
        <v>33</v>
      </c>
      <c r="R152" t="s">
        <v>46</v>
      </c>
      <c r="S152">
        <v>0.63</v>
      </c>
      <c r="T152" t="s">
        <v>37</v>
      </c>
      <c r="U152">
        <v>12.616</v>
      </c>
      <c r="V152">
        <v>12.175000000000001</v>
      </c>
      <c r="W152">
        <v>10.59225</v>
      </c>
      <c r="X152">
        <v>40.69</v>
      </c>
      <c r="Y152">
        <v>88.213253968253966</v>
      </c>
    </row>
    <row r="153" spans="1:25" x14ac:dyDescent="0.35">
      <c r="A153" t="s">
        <v>25</v>
      </c>
      <c r="B153" t="s">
        <v>545</v>
      </c>
      <c r="C153" t="str">
        <f>VLOOKUP(B153,Tabelle3!A:C,2,FALSE)</f>
        <v>Nord</v>
      </c>
      <c r="D153" t="s">
        <v>27</v>
      </c>
      <c r="E153" t="s">
        <v>532</v>
      </c>
      <c r="F153" t="s">
        <v>546</v>
      </c>
      <c r="G153" t="s">
        <v>538</v>
      </c>
      <c r="H153" t="s">
        <v>539</v>
      </c>
      <c r="I153" t="s">
        <v>540</v>
      </c>
      <c r="J153" t="s">
        <v>319</v>
      </c>
      <c r="K153">
        <v>44869</v>
      </c>
      <c r="L153" t="s">
        <v>33</v>
      </c>
      <c r="M153" t="s">
        <v>34</v>
      </c>
      <c r="N153" t="s">
        <v>33</v>
      </c>
      <c r="O153" t="s">
        <v>25</v>
      </c>
      <c r="P153" t="s">
        <v>137</v>
      </c>
      <c r="Q153" t="s">
        <v>33</v>
      </c>
      <c r="R153" t="s">
        <v>46</v>
      </c>
      <c r="S153">
        <v>0.63</v>
      </c>
      <c r="T153" t="s">
        <v>37</v>
      </c>
      <c r="U153">
        <v>12.616</v>
      </c>
      <c r="V153">
        <v>12.175000000000001</v>
      </c>
      <c r="W153">
        <v>10.59225</v>
      </c>
      <c r="X153">
        <v>40.69</v>
      </c>
      <c r="Y153">
        <v>88.213253968253966</v>
      </c>
    </row>
    <row r="154" spans="1:25" x14ac:dyDescent="0.35">
      <c r="A154" t="s">
        <v>25</v>
      </c>
      <c r="B154" t="s">
        <v>547</v>
      </c>
      <c r="C154" t="str">
        <f>VLOOKUP(B154,Tabelle3!A:C,2,FALSE)</f>
        <v>Nord</v>
      </c>
      <c r="D154" t="s">
        <v>27</v>
      </c>
      <c r="E154" t="s">
        <v>532</v>
      </c>
      <c r="F154" t="s">
        <v>548</v>
      </c>
      <c r="G154" t="s">
        <v>538</v>
      </c>
      <c r="H154" t="s">
        <v>539</v>
      </c>
      <c r="I154" t="s">
        <v>540</v>
      </c>
      <c r="J154" t="s">
        <v>319</v>
      </c>
      <c r="K154">
        <v>44876</v>
      </c>
      <c r="L154" t="s">
        <v>33</v>
      </c>
      <c r="M154" t="s">
        <v>34</v>
      </c>
      <c r="N154" t="s">
        <v>33</v>
      </c>
      <c r="O154" t="s">
        <v>25</v>
      </c>
      <c r="P154" t="s">
        <v>137</v>
      </c>
      <c r="Q154" t="s">
        <v>33</v>
      </c>
      <c r="R154" t="s">
        <v>46</v>
      </c>
      <c r="S154">
        <v>0.63</v>
      </c>
      <c r="T154" t="s">
        <v>37</v>
      </c>
      <c r="U154">
        <v>12.616</v>
      </c>
      <c r="V154">
        <v>12.175000000000001</v>
      </c>
      <c r="W154">
        <v>10.59225</v>
      </c>
      <c r="X154">
        <v>40.69</v>
      </c>
      <c r="Y154">
        <v>88.213253968253966</v>
      </c>
    </row>
    <row r="155" spans="1:25" x14ac:dyDescent="0.35">
      <c r="A155" t="s">
        <v>25</v>
      </c>
      <c r="B155" t="s">
        <v>549</v>
      </c>
      <c r="C155" t="str">
        <f>VLOOKUP(B155,Tabelle3!A:C,2,FALSE)</f>
        <v>Nord</v>
      </c>
      <c r="D155" t="s">
        <v>27</v>
      </c>
      <c r="E155" t="s">
        <v>532</v>
      </c>
      <c r="F155" t="s">
        <v>550</v>
      </c>
      <c r="G155" t="s">
        <v>538</v>
      </c>
      <c r="H155" t="s">
        <v>539</v>
      </c>
      <c r="I155" t="s">
        <v>540</v>
      </c>
      <c r="J155" t="s">
        <v>319</v>
      </c>
      <c r="K155">
        <v>35334</v>
      </c>
      <c r="L155" t="s">
        <v>33</v>
      </c>
      <c r="M155" t="s">
        <v>34</v>
      </c>
      <c r="N155" t="s">
        <v>33</v>
      </c>
      <c r="O155" t="s">
        <v>25</v>
      </c>
      <c r="P155" t="s">
        <v>50</v>
      </c>
      <c r="Q155" t="s">
        <v>33</v>
      </c>
      <c r="R155" t="s">
        <v>46</v>
      </c>
      <c r="S155">
        <v>0.52200000000000002</v>
      </c>
      <c r="T155" t="s">
        <v>47</v>
      </c>
      <c r="U155">
        <v>26</v>
      </c>
      <c r="V155">
        <v>25</v>
      </c>
      <c r="W155">
        <v>21.75</v>
      </c>
      <c r="X155">
        <v>40.69</v>
      </c>
      <c r="Y155">
        <v>106.15392720306512</v>
      </c>
    </row>
    <row r="156" spans="1:25" x14ac:dyDescent="0.35">
      <c r="A156" t="s">
        <v>25</v>
      </c>
      <c r="B156" t="s">
        <v>551</v>
      </c>
      <c r="C156" t="str">
        <f>VLOOKUP(B156,Tabelle3!A:C,2,FALSE)</f>
        <v>Nord</v>
      </c>
      <c r="D156" t="s">
        <v>27</v>
      </c>
      <c r="E156" t="s">
        <v>532</v>
      </c>
      <c r="F156" t="s">
        <v>552</v>
      </c>
      <c r="G156" t="s">
        <v>538</v>
      </c>
      <c r="H156" t="s">
        <v>539</v>
      </c>
      <c r="I156" t="s">
        <v>540</v>
      </c>
      <c r="J156" t="s">
        <v>319</v>
      </c>
      <c r="K156">
        <v>35334</v>
      </c>
      <c r="L156" t="s">
        <v>33</v>
      </c>
      <c r="M156" t="s">
        <v>34</v>
      </c>
      <c r="N156" t="s">
        <v>33</v>
      </c>
      <c r="O156" t="s">
        <v>25</v>
      </c>
      <c r="P156" t="s">
        <v>87</v>
      </c>
      <c r="Q156" t="s">
        <v>33</v>
      </c>
      <c r="R156" t="s">
        <v>46</v>
      </c>
      <c r="S156">
        <v>0.52200000000000002</v>
      </c>
      <c r="T156" t="s">
        <v>47</v>
      </c>
      <c r="U156">
        <v>40</v>
      </c>
      <c r="V156">
        <v>39</v>
      </c>
      <c r="W156">
        <v>33.93</v>
      </c>
      <c r="X156">
        <v>40.69</v>
      </c>
      <c r="Y156">
        <v>106.15392720306512</v>
      </c>
    </row>
    <row r="157" spans="1:25" x14ac:dyDescent="0.35">
      <c r="A157" t="s">
        <v>25</v>
      </c>
      <c r="B157" t="s">
        <v>553</v>
      </c>
      <c r="C157" t="str">
        <f>VLOOKUP(B157,Tabelle3!A:C,2,FALSE)</f>
        <v>Nord</v>
      </c>
      <c r="D157" t="s">
        <v>27</v>
      </c>
      <c r="E157" t="s">
        <v>532</v>
      </c>
      <c r="F157" t="s">
        <v>554</v>
      </c>
      <c r="G157" t="s">
        <v>538</v>
      </c>
      <c r="H157" t="s">
        <v>539</v>
      </c>
      <c r="I157" t="s">
        <v>540</v>
      </c>
      <c r="J157" t="s">
        <v>319</v>
      </c>
      <c r="K157">
        <v>35334</v>
      </c>
      <c r="L157" t="s">
        <v>33</v>
      </c>
      <c r="M157" t="s">
        <v>34</v>
      </c>
      <c r="N157" t="s">
        <v>33</v>
      </c>
      <c r="O157" t="s">
        <v>25</v>
      </c>
      <c r="P157" t="s">
        <v>87</v>
      </c>
      <c r="Q157" t="s">
        <v>33</v>
      </c>
      <c r="R157" t="s">
        <v>46</v>
      </c>
      <c r="S157">
        <v>0.52200000000000002</v>
      </c>
      <c r="T157" t="s">
        <v>47</v>
      </c>
      <c r="U157">
        <v>40</v>
      </c>
      <c r="V157">
        <v>39</v>
      </c>
      <c r="W157">
        <v>33.93</v>
      </c>
      <c r="X157">
        <v>40.69</v>
      </c>
      <c r="Y157">
        <v>106.15392720306512</v>
      </c>
    </row>
    <row r="158" spans="1:25" x14ac:dyDescent="0.35">
      <c r="A158" t="s">
        <v>25</v>
      </c>
      <c r="B158" t="s">
        <v>555</v>
      </c>
      <c r="C158" t="str">
        <f>VLOOKUP(B158,Tabelle3!A:C,2,FALSE)</f>
        <v>Nord</v>
      </c>
      <c r="D158" t="s">
        <v>27</v>
      </c>
      <c r="E158" t="s">
        <v>532</v>
      </c>
      <c r="F158" t="s">
        <v>556</v>
      </c>
      <c r="G158" t="s">
        <v>538</v>
      </c>
      <c r="H158" t="s">
        <v>539</v>
      </c>
      <c r="I158" t="s">
        <v>540</v>
      </c>
      <c r="J158" t="s">
        <v>319</v>
      </c>
      <c r="K158">
        <v>35334</v>
      </c>
      <c r="L158" t="s">
        <v>33</v>
      </c>
      <c r="M158" t="s">
        <v>34</v>
      </c>
      <c r="N158" t="s">
        <v>33</v>
      </c>
      <c r="O158" t="s">
        <v>25</v>
      </c>
      <c r="P158" t="s">
        <v>87</v>
      </c>
      <c r="Q158" t="s">
        <v>33</v>
      </c>
      <c r="R158" t="s">
        <v>46</v>
      </c>
      <c r="S158">
        <v>0.52200000000000002</v>
      </c>
      <c r="T158" t="s">
        <v>47</v>
      </c>
      <c r="U158">
        <v>40</v>
      </c>
      <c r="V158">
        <v>39</v>
      </c>
      <c r="W158">
        <v>33.93</v>
      </c>
      <c r="X158">
        <v>40.69</v>
      </c>
      <c r="Y158">
        <v>106.15392720306512</v>
      </c>
    </row>
    <row r="159" spans="1:25" x14ac:dyDescent="0.35">
      <c r="A159" t="s">
        <v>25</v>
      </c>
      <c r="B159" t="s">
        <v>557</v>
      </c>
      <c r="C159" t="str">
        <f>VLOOKUP(B159,Tabelle3!A:C,2,FALSE)</f>
        <v>Nord</v>
      </c>
      <c r="D159" t="s">
        <v>27</v>
      </c>
      <c r="E159" t="s">
        <v>532</v>
      </c>
      <c r="F159" t="s">
        <v>558</v>
      </c>
      <c r="G159" t="s">
        <v>538</v>
      </c>
      <c r="H159" t="s">
        <v>539</v>
      </c>
      <c r="I159" t="s">
        <v>540</v>
      </c>
      <c r="J159" t="s">
        <v>319</v>
      </c>
      <c r="K159">
        <v>35334</v>
      </c>
      <c r="L159" t="s">
        <v>33</v>
      </c>
      <c r="M159" t="s">
        <v>34</v>
      </c>
      <c r="N159" t="s">
        <v>33</v>
      </c>
      <c r="O159" t="s">
        <v>25</v>
      </c>
      <c r="P159" t="s">
        <v>82</v>
      </c>
      <c r="Q159" t="s">
        <v>33</v>
      </c>
      <c r="R159" t="s">
        <v>46</v>
      </c>
      <c r="S159">
        <v>0.52200000000000002</v>
      </c>
      <c r="T159" t="s">
        <v>47</v>
      </c>
      <c r="U159">
        <v>40</v>
      </c>
      <c r="V159">
        <v>39</v>
      </c>
      <c r="W159">
        <v>33.93</v>
      </c>
      <c r="X159">
        <v>40.69</v>
      </c>
      <c r="Y159">
        <v>106.15392720306512</v>
      </c>
    </row>
    <row r="160" spans="1:25" x14ac:dyDescent="0.35">
      <c r="A160" t="s">
        <v>25</v>
      </c>
      <c r="B160" t="s">
        <v>559</v>
      </c>
      <c r="C160" t="str">
        <f>VLOOKUP(B160,Tabelle3!A:C,2,FALSE)</f>
        <v>Nord</v>
      </c>
      <c r="D160" t="s">
        <v>27</v>
      </c>
      <c r="E160" t="s">
        <v>560</v>
      </c>
      <c r="F160" t="s">
        <v>561</v>
      </c>
      <c r="G160" t="s">
        <v>562</v>
      </c>
      <c r="H160" t="s">
        <v>563</v>
      </c>
      <c r="I160" t="s">
        <v>564</v>
      </c>
      <c r="J160" t="s">
        <v>132</v>
      </c>
      <c r="K160">
        <v>38189</v>
      </c>
      <c r="L160" t="s">
        <v>171</v>
      </c>
      <c r="M160" t="s">
        <v>172</v>
      </c>
      <c r="N160" t="s">
        <v>173</v>
      </c>
      <c r="O160" t="s">
        <v>25</v>
      </c>
      <c r="P160" t="s">
        <v>82</v>
      </c>
      <c r="Q160" t="s">
        <v>173</v>
      </c>
      <c r="R160" t="s">
        <v>173</v>
      </c>
      <c r="S160">
        <v>0.33</v>
      </c>
      <c r="T160" t="s">
        <v>47</v>
      </c>
      <c r="U160">
        <v>21</v>
      </c>
      <c r="V160">
        <v>15.7</v>
      </c>
      <c r="W160">
        <v>13.344999999999999</v>
      </c>
      <c r="X160">
        <v>0</v>
      </c>
      <c r="Y160">
        <v>1</v>
      </c>
    </row>
    <row r="161" spans="1:25" x14ac:dyDescent="0.35">
      <c r="A161" t="s">
        <v>25</v>
      </c>
      <c r="B161" t="s">
        <v>565</v>
      </c>
      <c r="C161" t="str">
        <f>VLOOKUP(B161,Tabelle3!A:C,2,FALSE)</f>
        <v>Nord</v>
      </c>
      <c r="D161" t="s">
        <v>27</v>
      </c>
      <c r="E161" t="s">
        <v>566</v>
      </c>
      <c r="F161" t="s">
        <v>567</v>
      </c>
      <c r="G161" t="s">
        <v>301</v>
      </c>
      <c r="H161" t="s">
        <v>302</v>
      </c>
      <c r="I161" t="s">
        <v>303</v>
      </c>
      <c r="J161" t="s">
        <v>119</v>
      </c>
      <c r="K161">
        <v>34516</v>
      </c>
      <c r="L161" t="s">
        <v>33</v>
      </c>
      <c r="M161" t="s">
        <v>34</v>
      </c>
      <c r="N161" t="s">
        <v>33</v>
      </c>
      <c r="O161" t="s">
        <v>25</v>
      </c>
      <c r="P161" t="s">
        <v>87</v>
      </c>
      <c r="Q161" t="s">
        <v>33</v>
      </c>
      <c r="R161" t="s">
        <v>46</v>
      </c>
      <c r="S161">
        <v>0.51300000000000001</v>
      </c>
      <c r="T161" t="s">
        <v>47</v>
      </c>
      <c r="U161">
        <v>37.6</v>
      </c>
      <c r="V161">
        <v>37</v>
      </c>
      <c r="W161">
        <v>32.19</v>
      </c>
      <c r="X161">
        <v>40.69</v>
      </c>
      <c r="Y161">
        <v>107.98996101364521</v>
      </c>
    </row>
    <row r="162" spans="1:25" x14ac:dyDescent="0.35">
      <c r="A162" t="s">
        <v>25</v>
      </c>
      <c r="B162" t="s">
        <v>568</v>
      </c>
      <c r="C162" t="str">
        <f>VLOOKUP(B162,Tabelle3!A:C,2,FALSE)</f>
        <v>Nord</v>
      </c>
      <c r="D162" t="s">
        <v>27</v>
      </c>
      <c r="E162" t="s">
        <v>569</v>
      </c>
      <c r="F162" t="s">
        <v>570</v>
      </c>
      <c r="G162">
        <v>14774</v>
      </c>
      <c r="H162" t="s">
        <v>32</v>
      </c>
      <c r="I162" t="s">
        <v>571</v>
      </c>
      <c r="J162" t="s">
        <v>32</v>
      </c>
      <c r="K162">
        <v>34335</v>
      </c>
      <c r="L162" t="s">
        <v>33</v>
      </c>
      <c r="M162" t="s">
        <v>34</v>
      </c>
      <c r="N162" t="s">
        <v>33</v>
      </c>
      <c r="O162" t="s">
        <v>44</v>
      </c>
      <c r="P162" t="s">
        <v>45</v>
      </c>
      <c r="Q162" t="s">
        <v>33</v>
      </c>
      <c r="R162" t="s">
        <v>46</v>
      </c>
      <c r="S162">
        <v>0.51300000000000001</v>
      </c>
      <c r="T162" t="s">
        <v>47</v>
      </c>
      <c r="U162">
        <v>58</v>
      </c>
      <c r="V162">
        <v>56</v>
      </c>
      <c r="W162">
        <v>48.72</v>
      </c>
      <c r="X162">
        <v>40.69</v>
      </c>
      <c r="Y162">
        <v>107.98996101364521</v>
      </c>
    </row>
    <row r="163" spans="1:25" x14ac:dyDescent="0.35">
      <c r="A163" t="s">
        <v>25</v>
      </c>
      <c r="B163" t="s">
        <v>572</v>
      </c>
      <c r="C163" t="str">
        <f>VLOOKUP(B163,Tabelle3!A:C,2,FALSE)</f>
        <v>Nord</v>
      </c>
      <c r="D163" t="s">
        <v>27</v>
      </c>
      <c r="E163" t="s">
        <v>569</v>
      </c>
      <c r="F163" t="s">
        <v>573</v>
      </c>
      <c r="G163">
        <v>14774</v>
      </c>
      <c r="H163" t="s">
        <v>32</v>
      </c>
      <c r="I163" t="s">
        <v>571</v>
      </c>
      <c r="J163" t="s">
        <v>32</v>
      </c>
      <c r="K163">
        <v>34335</v>
      </c>
      <c r="L163" t="s">
        <v>33</v>
      </c>
      <c r="M163" t="s">
        <v>34</v>
      </c>
      <c r="N163" t="s">
        <v>33</v>
      </c>
      <c r="O163" t="s">
        <v>44</v>
      </c>
      <c r="P163" t="s">
        <v>35</v>
      </c>
      <c r="Q163" t="s">
        <v>33</v>
      </c>
      <c r="R163" t="s">
        <v>36</v>
      </c>
      <c r="S163">
        <v>0.51300000000000001</v>
      </c>
      <c r="T163" t="s">
        <v>47</v>
      </c>
      <c r="U163">
        <v>63</v>
      </c>
      <c r="V163">
        <v>60</v>
      </c>
      <c r="W163">
        <v>52.2</v>
      </c>
      <c r="X163">
        <v>40.69</v>
      </c>
      <c r="Y163">
        <v>107.48996101364521</v>
      </c>
    </row>
    <row r="164" spans="1:25" x14ac:dyDescent="0.35">
      <c r="A164" t="s">
        <v>25</v>
      </c>
      <c r="B164" t="s">
        <v>574</v>
      </c>
      <c r="C164" t="str">
        <f>VLOOKUP(B164,Tabelle3!A:C,2,FALSE)</f>
        <v>Nord</v>
      </c>
      <c r="D164" t="s">
        <v>27</v>
      </c>
      <c r="E164" t="s">
        <v>569</v>
      </c>
      <c r="F164" t="s">
        <v>575</v>
      </c>
      <c r="G164">
        <v>14774</v>
      </c>
      <c r="H164" t="s">
        <v>32</v>
      </c>
      <c r="I164" t="s">
        <v>571</v>
      </c>
      <c r="J164" t="s">
        <v>32</v>
      </c>
      <c r="K164">
        <v>34335</v>
      </c>
      <c r="L164" t="s">
        <v>33</v>
      </c>
      <c r="M164" t="s">
        <v>34</v>
      </c>
      <c r="N164" t="s">
        <v>33</v>
      </c>
      <c r="O164" t="s">
        <v>44</v>
      </c>
      <c r="P164" t="s">
        <v>35</v>
      </c>
      <c r="Q164" t="s">
        <v>33</v>
      </c>
      <c r="R164" t="s">
        <v>36</v>
      </c>
      <c r="S164">
        <v>0.51300000000000001</v>
      </c>
      <c r="T164" t="s">
        <v>47</v>
      </c>
      <c r="U164">
        <v>63</v>
      </c>
      <c r="V164">
        <v>60</v>
      </c>
      <c r="W164">
        <v>52.2</v>
      </c>
      <c r="X164">
        <v>40.69</v>
      </c>
      <c r="Y164">
        <v>107.48996101364521</v>
      </c>
    </row>
    <row r="165" spans="1:25" x14ac:dyDescent="0.35">
      <c r="A165" t="s">
        <v>25</v>
      </c>
      <c r="B165" t="s">
        <v>576</v>
      </c>
      <c r="C165" t="str">
        <f>VLOOKUP(B165,Tabelle3!A:C,2,FALSE)</f>
        <v>Nord</v>
      </c>
      <c r="D165" t="s">
        <v>27</v>
      </c>
      <c r="E165" t="s">
        <v>577</v>
      </c>
      <c r="F165" t="s">
        <v>578</v>
      </c>
      <c r="G165">
        <v>18147</v>
      </c>
      <c r="H165" t="s">
        <v>509</v>
      </c>
      <c r="I165" t="s">
        <v>579</v>
      </c>
      <c r="J165" t="s">
        <v>125</v>
      </c>
      <c r="K165">
        <v>40268</v>
      </c>
      <c r="L165" t="s">
        <v>171</v>
      </c>
      <c r="M165" t="s">
        <v>172</v>
      </c>
      <c r="N165" t="s">
        <v>173</v>
      </c>
      <c r="O165" t="s">
        <v>25</v>
      </c>
      <c r="P165" t="s">
        <v>82</v>
      </c>
      <c r="Q165" t="s">
        <v>173</v>
      </c>
      <c r="R165" t="s">
        <v>173</v>
      </c>
      <c r="S165">
        <v>0.33</v>
      </c>
      <c r="T165" t="s">
        <v>47</v>
      </c>
      <c r="U165">
        <v>21</v>
      </c>
      <c r="V165">
        <v>18.5</v>
      </c>
      <c r="W165">
        <v>15.725</v>
      </c>
      <c r="X165">
        <v>0</v>
      </c>
      <c r="Y165">
        <v>1</v>
      </c>
    </row>
    <row r="166" spans="1:25" x14ac:dyDescent="0.35">
      <c r="A166" t="s">
        <v>25</v>
      </c>
      <c r="B166" t="s">
        <v>580</v>
      </c>
      <c r="C166" t="str">
        <f>VLOOKUP(B166,Tabelle3!A:C,2,FALSE)</f>
        <v>Nord</v>
      </c>
      <c r="D166" t="s">
        <v>27</v>
      </c>
      <c r="E166" t="s">
        <v>581</v>
      </c>
      <c r="F166" t="s">
        <v>582</v>
      </c>
      <c r="G166" t="s">
        <v>583</v>
      </c>
      <c r="H166" t="s">
        <v>584</v>
      </c>
      <c r="I166" t="s">
        <v>585</v>
      </c>
      <c r="J166" t="s">
        <v>132</v>
      </c>
      <c r="K166">
        <v>41683</v>
      </c>
      <c r="L166" t="s">
        <v>33</v>
      </c>
      <c r="M166" t="s">
        <v>34</v>
      </c>
      <c r="N166" t="s">
        <v>33</v>
      </c>
      <c r="O166" t="s">
        <v>25</v>
      </c>
      <c r="P166" t="s">
        <v>137</v>
      </c>
      <c r="Q166" t="s">
        <v>33</v>
      </c>
      <c r="R166" t="s">
        <v>46</v>
      </c>
      <c r="S166">
        <v>0.58499999999999996</v>
      </c>
      <c r="T166" t="s">
        <v>37</v>
      </c>
      <c r="U166">
        <v>12.9</v>
      </c>
      <c r="V166">
        <v>12.747</v>
      </c>
      <c r="W166">
        <v>11.08989</v>
      </c>
      <c r="X166">
        <v>40.69</v>
      </c>
      <c r="Y166">
        <v>94.883504273504272</v>
      </c>
    </row>
    <row r="167" spans="1:25" x14ac:dyDescent="0.35">
      <c r="A167" t="s">
        <v>25</v>
      </c>
      <c r="B167" t="s">
        <v>586</v>
      </c>
      <c r="C167" t="str">
        <f>VLOOKUP(B167,Tabelle3!A:C,2,FALSE)</f>
        <v>Nord</v>
      </c>
      <c r="D167" t="s">
        <v>27</v>
      </c>
      <c r="E167" t="s">
        <v>587</v>
      </c>
      <c r="F167" t="s">
        <v>588</v>
      </c>
      <c r="G167">
        <v>98544</v>
      </c>
      <c r="H167" t="s">
        <v>589</v>
      </c>
      <c r="I167" t="s">
        <v>590</v>
      </c>
      <c r="J167" t="s">
        <v>319</v>
      </c>
      <c r="K167">
        <v>39370</v>
      </c>
      <c r="L167" t="s">
        <v>171</v>
      </c>
      <c r="M167" t="s">
        <v>172</v>
      </c>
      <c r="N167" t="s">
        <v>173</v>
      </c>
      <c r="O167" t="s">
        <v>25</v>
      </c>
      <c r="P167" t="s">
        <v>82</v>
      </c>
      <c r="Q167" t="s">
        <v>173</v>
      </c>
      <c r="R167" t="s">
        <v>173</v>
      </c>
      <c r="S167">
        <v>0.33</v>
      </c>
      <c r="T167" t="s">
        <v>47</v>
      </c>
      <c r="U167">
        <v>13.7</v>
      </c>
      <c r="V167">
        <v>12.1</v>
      </c>
      <c r="W167">
        <v>10.285</v>
      </c>
      <c r="X167">
        <v>0</v>
      </c>
      <c r="Y167">
        <v>1</v>
      </c>
    </row>
    <row r="168" spans="1:25" x14ac:dyDescent="0.35">
      <c r="A168" t="s">
        <v>25</v>
      </c>
      <c r="B168" t="s">
        <v>591</v>
      </c>
      <c r="C168" t="s">
        <v>4080</v>
      </c>
      <c r="D168" t="s">
        <v>27</v>
      </c>
      <c r="E168" t="s">
        <v>28</v>
      </c>
      <c r="F168" t="s">
        <v>592</v>
      </c>
      <c r="G168">
        <v>15890</v>
      </c>
      <c r="H168" t="s">
        <v>30</v>
      </c>
      <c r="I168" t="s">
        <v>31</v>
      </c>
      <c r="J168" t="s">
        <v>32</v>
      </c>
      <c r="K168">
        <v>36082</v>
      </c>
      <c r="L168" t="s">
        <v>593</v>
      </c>
      <c r="M168" t="s">
        <v>594</v>
      </c>
      <c r="N168" t="s">
        <v>595</v>
      </c>
      <c r="O168" t="s">
        <v>25</v>
      </c>
      <c r="P168" t="s">
        <v>82</v>
      </c>
      <c r="Q168" t="s">
        <v>71</v>
      </c>
      <c r="R168" t="s">
        <v>71</v>
      </c>
      <c r="S168">
        <v>0.54</v>
      </c>
      <c r="T168" t="s">
        <v>37</v>
      </c>
      <c r="U168">
        <v>36</v>
      </c>
      <c r="V168">
        <v>34.700000000000003</v>
      </c>
      <c r="W168">
        <v>29.495000000000001</v>
      </c>
      <c r="X168">
        <v>95.59</v>
      </c>
      <c r="Y168">
        <v>205.50166666666664</v>
      </c>
    </row>
    <row r="169" spans="1:25" x14ac:dyDescent="0.35">
      <c r="A169" t="s">
        <v>25</v>
      </c>
      <c r="B169" t="s">
        <v>596</v>
      </c>
      <c r="C169" t="s">
        <v>4080</v>
      </c>
      <c r="D169" t="s">
        <v>27</v>
      </c>
      <c r="E169" t="s">
        <v>28</v>
      </c>
      <c r="F169" t="s">
        <v>597</v>
      </c>
      <c r="G169">
        <v>15890</v>
      </c>
      <c r="H169" t="s">
        <v>30</v>
      </c>
      <c r="I169" t="s">
        <v>31</v>
      </c>
      <c r="J169" t="s">
        <v>32</v>
      </c>
      <c r="K169">
        <v>41402</v>
      </c>
      <c r="L169" t="s">
        <v>593</v>
      </c>
      <c r="M169" t="s">
        <v>594</v>
      </c>
      <c r="N169" t="s">
        <v>595</v>
      </c>
      <c r="O169" t="s">
        <v>25</v>
      </c>
      <c r="P169" t="s">
        <v>82</v>
      </c>
      <c r="Q169" t="s">
        <v>71</v>
      </c>
      <c r="R169" t="s">
        <v>71</v>
      </c>
      <c r="S169">
        <v>0.58499999999999996</v>
      </c>
      <c r="T169" t="s">
        <v>37</v>
      </c>
      <c r="U169">
        <v>56</v>
      </c>
      <c r="V169">
        <v>53.9</v>
      </c>
      <c r="W169">
        <v>45.814999999999998</v>
      </c>
      <c r="X169">
        <v>95.59</v>
      </c>
      <c r="Y169">
        <v>189.77076923076925</v>
      </c>
    </row>
    <row r="170" spans="1:25" x14ac:dyDescent="0.35">
      <c r="A170" t="s">
        <v>25</v>
      </c>
      <c r="B170" t="s">
        <v>598</v>
      </c>
      <c r="C170" t="s">
        <v>4080</v>
      </c>
      <c r="D170" t="s">
        <v>27</v>
      </c>
      <c r="E170" t="s">
        <v>599</v>
      </c>
      <c r="F170" t="s">
        <v>600</v>
      </c>
      <c r="G170" t="s">
        <v>601</v>
      </c>
      <c r="H170" t="s">
        <v>602</v>
      </c>
      <c r="I170" t="s">
        <v>603</v>
      </c>
      <c r="J170" t="s">
        <v>119</v>
      </c>
      <c r="K170">
        <v>37987</v>
      </c>
      <c r="L170" t="s">
        <v>33</v>
      </c>
      <c r="M170" t="s">
        <v>70</v>
      </c>
      <c r="N170" t="s">
        <v>33</v>
      </c>
      <c r="O170" t="s">
        <v>25</v>
      </c>
      <c r="P170" t="s">
        <v>266</v>
      </c>
      <c r="Q170" t="s">
        <v>33</v>
      </c>
      <c r="R170" t="s">
        <v>46</v>
      </c>
      <c r="S170">
        <v>0.40699999999999997</v>
      </c>
      <c r="T170" t="s">
        <v>37</v>
      </c>
      <c r="U170">
        <v>20.273</v>
      </c>
      <c r="V170">
        <v>17.773</v>
      </c>
      <c r="W170">
        <v>15.46251</v>
      </c>
      <c r="X170">
        <v>40.69</v>
      </c>
      <c r="Y170">
        <v>135.72444717444716</v>
      </c>
    </row>
    <row r="171" spans="1:25" x14ac:dyDescent="0.35">
      <c r="A171" t="s">
        <v>25</v>
      </c>
      <c r="B171" t="s">
        <v>604</v>
      </c>
      <c r="C171" t="s">
        <v>4080</v>
      </c>
      <c r="D171" t="s">
        <v>27</v>
      </c>
      <c r="E171" t="s">
        <v>230</v>
      </c>
      <c r="F171" t="s">
        <v>605</v>
      </c>
      <c r="G171" t="s">
        <v>606</v>
      </c>
      <c r="H171" t="s">
        <v>607</v>
      </c>
      <c r="I171" t="s">
        <v>608</v>
      </c>
      <c r="J171" t="s">
        <v>119</v>
      </c>
      <c r="K171">
        <v>34351</v>
      </c>
      <c r="L171" t="s">
        <v>60</v>
      </c>
      <c r="M171" t="s">
        <v>61</v>
      </c>
      <c r="N171" t="s">
        <v>60</v>
      </c>
      <c r="O171" t="s">
        <v>44</v>
      </c>
      <c r="P171" t="s">
        <v>62</v>
      </c>
      <c r="Q171" t="s">
        <v>63</v>
      </c>
      <c r="R171" t="s">
        <v>63</v>
      </c>
      <c r="S171">
        <v>0.3644</v>
      </c>
      <c r="T171" t="s">
        <v>47</v>
      </c>
      <c r="U171">
        <v>45.625</v>
      </c>
      <c r="V171">
        <v>45.625</v>
      </c>
      <c r="W171">
        <v>38.78125</v>
      </c>
      <c r="X171">
        <v>95.89</v>
      </c>
      <c r="Y171">
        <v>317.4324917672887</v>
      </c>
    </row>
    <row r="172" spans="1:25" x14ac:dyDescent="0.35">
      <c r="A172" t="s">
        <v>25</v>
      </c>
      <c r="B172" t="s">
        <v>609</v>
      </c>
      <c r="C172" t="s">
        <v>4080</v>
      </c>
      <c r="D172" t="s">
        <v>27</v>
      </c>
      <c r="E172" t="s">
        <v>230</v>
      </c>
      <c r="F172" t="s">
        <v>610</v>
      </c>
      <c r="G172" t="s">
        <v>606</v>
      </c>
      <c r="H172" t="s">
        <v>607</v>
      </c>
      <c r="I172" t="s">
        <v>608</v>
      </c>
      <c r="J172" t="s">
        <v>119</v>
      </c>
      <c r="K172">
        <v>34351</v>
      </c>
      <c r="L172" t="s">
        <v>60</v>
      </c>
      <c r="M172" t="s">
        <v>61</v>
      </c>
      <c r="N172" t="s">
        <v>60</v>
      </c>
      <c r="O172" t="s">
        <v>44</v>
      </c>
      <c r="P172" t="s">
        <v>62</v>
      </c>
      <c r="Q172" t="s">
        <v>63</v>
      </c>
      <c r="R172" t="s">
        <v>63</v>
      </c>
      <c r="S172">
        <v>0.3644</v>
      </c>
      <c r="T172" t="s">
        <v>47</v>
      </c>
      <c r="U172">
        <v>45.625</v>
      </c>
      <c r="V172">
        <v>45.625</v>
      </c>
      <c r="W172">
        <v>38.78125</v>
      </c>
      <c r="X172">
        <v>95.89</v>
      </c>
      <c r="Y172">
        <v>317.4324917672887</v>
      </c>
    </row>
    <row r="173" spans="1:25" x14ac:dyDescent="0.35">
      <c r="A173" t="s">
        <v>25</v>
      </c>
      <c r="B173" t="s">
        <v>611</v>
      </c>
      <c r="C173" t="s">
        <v>4080</v>
      </c>
      <c r="D173" t="s">
        <v>27</v>
      </c>
      <c r="E173" t="s">
        <v>230</v>
      </c>
      <c r="F173" t="s">
        <v>612</v>
      </c>
      <c r="G173" t="s">
        <v>606</v>
      </c>
      <c r="H173" t="s">
        <v>607</v>
      </c>
      <c r="I173" t="s">
        <v>608</v>
      </c>
      <c r="J173" t="s">
        <v>119</v>
      </c>
      <c r="K173">
        <v>34351</v>
      </c>
      <c r="L173" t="s">
        <v>60</v>
      </c>
      <c r="M173" t="s">
        <v>61</v>
      </c>
      <c r="N173" t="s">
        <v>60</v>
      </c>
      <c r="O173" t="s">
        <v>44</v>
      </c>
      <c r="P173" t="s">
        <v>62</v>
      </c>
      <c r="Q173" t="s">
        <v>63</v>
      </c>
      <c r="R173" t="s">
        <v>63</v>
      </c>
      <c r="S173">
        <v>0.3644</v>
      </c>
      <c r="T173" t="s">
        <v>47</v>
      </c>
      <c r="U173">
        <v>45.625</v>
      </c>
      <c r="V173">
        <v>45.625</v>
      </c>
      <c r="W173">
        <v>38.78125</v>
      </c>
      <c r="X173">
        <v>95.89</v>
      </c>
      <c r="Y173">
        <v>317.4324917672887</v>
      </c>
    </row>
    <row r="174" spans="1:25" x14ac:dyDescent="0.35">
      <c r="A174" t="s">
        <v>25</v>
      </c>
      <c r="B174" t="s">
        <v>613</v>
      </c>
      <c r="C174" t="s">
        <v>4080</v>
      </c>
      <c r="D174" t="s">
        <v>27</v>
      </c>
      <c r="E174" t="s">
        <v>330</v>
      </c>
      <c r="F174" t="s">
        <v>614</v>
      </c>
      <c r="G174" t="s">
        <v>615</v>
      </c>
      <c r="H174" t="s">
        <v>616</v>
      </c>
      <c r="I174" t="s">
        <v>617</v>
      </c>
      <c r="J174" t="s">
        <v>132</v>
      </c>
      <c r="K174">
        <v>28856</v>
      </c>
      <c r="L174" t="s">
        <v>360</v>
      </c>
      <c r="M174" t="s">
        <v>361</v>
      </c>
      <c r="N174" t="s">
        <v>360</v>
      </c>
      <c r="O174" t="s">
        <v>25</v>
      </c>
      <c r="P174" t="s">
        <v>82</v>
      </c>
      <c r="Q174" t="s">
        <v>360</v>
      </c>
      <c r="R174" t="s">
        <v>360</v>
      </c>
      <c r="S174">
        <v>0.35</v>
      </c>
      <c r="T174" t="s">
        <v>47</v>
      </c>
      <c r="U174">
        <v>540</v>
      </c>
      <c r="V174">
        <v>500</v>
      </c>
      <c r="W174">
        <v>435</v>
      </c>
      <c r="X174">
        <v>3.1</v>
      </c>
      <c r="Y174">
        <v>90.606857142857152</v>
      </c>
    </row>
    <row r="175" spans="1:25" x14ac:dyDescent="0.35">
      <c r="A175" t="s">
        <v>25</v>
      </c>
      <c r="B175" t="s">
        <v>618</v>
      </c>
      <c r="C175" t="s">
        <v>4080</v>
      </c>
      <c r="D175" t="s">
        <v>27</v>
      </c>
      <c r="E175" t="s">
        <v>330</v>
      </c>
      <c r="F175" t="s">
        <v>619</v>
      </c>
      <c r="G175" t="s">
        <v>615</v>
      </c>
      <c r="H175" t="s">
        <v>616</v>
      </c>
      <c r="I175" t="s">
        <v>617</v>
      </c>
      <c r="J175" t="s">
        <v>132</v>
      </c>
      <c r="K175">
        <v>29403</v>
      </c>
      <c r="L175" t="s">
        <v>360</v>
      </c>
      <c r="M175" t="s">
        <v>361</v>
      </c>
      <c r="N175" t="s">
        <v>360</v>
      </c>
      <c r="O175" t="s">
        <v>25</v>
      </c>
      <c r="P175" t="s">
        <v>82</v>
      </c>
      <c r="Q175" t="s">
        <v>360</v>
      </c>
      <c r="R175" t="s">
        <v>360</v>
      </c>
      <c r="S175">
        <v>0.35</v>
      </c>
      <c r="T175" t="s">
        <v>47</v>
      </c>
      <c r="U175">
        <v>540</v>
      </c>
      <c r="V175">
        <v>500</v>
      </c>
      <c r="W175">
        <v>435</v>
      </c>
      <c r="X175">
        <v>3.1</v>
      </c>
      <c r="Y175">
        <v>90.606857142857152</v>
      </c>
    </row>
    <row r="176" spans="1:25" x14ac:dyDescent="0.35">
      <c r="A176" t="s">
        <v>25</v>
      </c>
      <c r="B176" t="s">
        <v>620</v>
      </c>
      <c r="C176" t="s">
        <v>4080</v>
      </c>
      <c r="D176" t="s">
        <v>27</v>
      </c>
      <c r="E176" t="s">
        <v>330</v>
      </c>
      <c r="F176" t="s">
        <v>621</v>
      </c>
      <c r="G176" t="s">
        <v>615</v>
      </c>
      <c r="H176" t="s">
        <v>616</v>
      </c>
      <c r="I176" t="s">
        <v>617</v>
      </c>
      <c r="J176" t="s">
        <v>132</v>
      </c>
      <c r="K176">
        <v>41219</v>
      </c>
      <c r="L176" t="s">
        <v>360</v>
      </c>
      <c r="M176" t="s">
        <v>361</v>
      </c>
      <c r="N176" t="s">
        <v>360</v>
      </c>
      <c r="O176" t="s">
        <v>44</v>
      </c>
      <c r="P176" t="s">
        <v>82</v>
      </c>
      <c r="Q176" t="s">
        <v>360</v>
      </c>
      <c r="R176" t="s">
        <v>360</v>
      </c>
      <c r="S176">
        <v>0.437</v>
      </c>
      <c r="T176" t="s">
        <v>47</v>
      </c>
      <c r="U176">
        <v>666</v>
      </c>
      <c r="V176">
        <v>630</v>
      </c>
      <c r="W176">
        <v>548.1</v>
      </c>
      <c r="X176">
        <v>3.1</v>
      </c>
      <c r="Y176">
        <v>72.906864988558354</v>
      </c>
    </row>
    <row r="177" spans="1:25" x14ac:dyDescent="0.35">
      <c r="A177" t="s">
        <v>25</v>
      </c>
      <c r="B177" t="s">
        <v>622</v>
      </c>
      <c r="C177" t="s">
        <v>4080</v>
      </c>
      <c r="D177" t="s">
        <v>27</v>
      </c>
      <c r="E177" t="s">
        <v>330</v>
      </c>
      <c r="F177" t="s">
        <v>623</v>
      </c>
      <c r="G177" t="s">
        <v>455</v>
      </c>
      <c r="H177" t="s">
        <v>456</v>
      </c>
      <c r="I177" t="s">
        <v>624</v>
      </c>
      <c r="J177" t="s">
        <v>32</v>
      </c>
      <c r="K177">
        <v>35779</v>
      </c>
      <c r="L177" t="s">
        <v>360</v>
      </c>
      <c r="M177" t="s">
        <v>361</v>
      </c>
      <c r="N177" t="s">
        <v>360</v>
      </c>
      <c r="O177" t="s">
        <v>25</v>
      </c>
      <c r="P177" t="s">
        <v>82</v>
      </c>
      <c r="Q177" t="s">
        <v>360</v>
      </c>
      <c r="R177" t="s">
        <v>360</v>
      </c>
      <c r="S177">
        <v>0.41</v>
      </c>
      <c r="T177" t="s">
        <v>47</v>
      </c>
      <c r="U177">
        <v>803</v>
      </c>
      <c r="V177">
        <v>755</v>
      </c>
      <c r="W177">
        <v>656.85</v>
      </c>
      <c r="X177">
        <v>3.1</v>
      </c>
      <c r="Y177">
        <v>77.596097560975622</v>
      </c>
    </row>
    <row r="178" spans="1:25" x14ac:dyDescent="0.35">
      <c r="A178" t="s">
        <v>25</v>
      </c>
      <c r="B178" t="s">
        <v>625</v>
      </c>
      <c r="C178" t="s">
        <v>4080</v>
      </c>
      <c r="D178" t="s">
        <v>27</v>
      </c>
      <c r="E178" t="s">
        <v>330</v>
      </c>
      <c r="F178" t="s">
        <v>626</v>
      </c>
      <c r="G178" t="s">
        <v>455</v>
      </c>
      <c r="H178" t="s">
        <v>456</v>
      </c>
      <c r="I178" t="s">
        <v>624</v>
      </c>
      <c r="J178" t="s">
        <v>32</v>
      </c>
      <c r="K178">
        <v>35940</v>
      </c>
      <c r="L178" t="s">
        <v>360</v>
      </c>
      <c r="M178" t="s">
        <v>361</v>
      </c>
      <c r="N178" t="s">
        <v>360</v>
      </c>
      <c r="O178" t="s">
        <v>25</v>
      </c>
      <c r="P178" t="s">
        <v>82</v>
      </c>
      <c r="Q178" t="s">
        <v>360</v>
      </c>
      <c r="R178" t="s">
        <v>360</v>
      </c>
      <c r="S178">
        <v>0.41</v>
      </c>
      <c r="T178" t="s">
        <v>47</v>
      </c>
      <c r="U178">
        <v>803</v>
      </c>
      <c r="V178">
        <v>755</v>
      </c>
      <c r="W178">
        <v>656.85</v>
      </c>
      <c r="X178">
        <v>3.1</v>
      </c>
      <c r="Y178">
        <v>77.596097560975622</v>
      </c>
    </row>
    <row r="179" spans="1:25" x14ac:dyDescent="0.35">
      <c r="A179" t="s">
        <v>25</v>
      </c>
      <c r="B179" t="s">
        <v>627</v>
      </c>
      <c r="C179" t="s">
        <v>4080</v>
      </c>
      <c r="D179" t="s">
        <v>27</v>
      </c>
      <c r="E179" t="s">
        <v>330</v>
      </c>
      <c r="F179" t="s">
        <v>628</v>
      </c>
      <c r="G179" t="s">
        <v>615</v>
      </c>
      <c r="H179" t="s">
        <v>616</v>
      </c>
      <c r="I179" t="s">
        <v>617</v>
      </c>
      <c r="J179" t="s">
        <v>132</v>
      </c>
      <c r="K179">
        <v>36800</v>
      </c>
      <c r="L179" t="s">
        <v>360</v>
      </c>
      <c r="M179" t="s">
        <v>361</v>
      </c>
      <c r="N179" t="s">
        <v>360</v>
      </c>
      <c r="O179" t="s">
        <v>25</v>
      </c>
      <c r="P179" t="s">
        <v>82</v>
      </c>
      <c r="Q179" t="s">
        <v>360</v>
      </c>
      <c r="R179" t="s">
        <v>360</v>
      </c>
      <c r="S179">
        <v>0.42299999999999999</v>
      </c>
      <c r="T179" t="s">
        <v>47</v>
      </c>
      <c r="U179">
        <v>893</v>
      </c>
      <c r="V179">
        <v>840</v>
      </c>
      <c r="W179">
        <v>730.8</v>
      </c>
      <c r="X179">
        <v>3.1</v>
      </c>
      <c r="Y179">
        <v>75.263593380614665</v>
      </c>
    </row>
    <row r="180" spans="1:25" x14ac:dyDescent="0.35">
      <c r="A180" t="s">
        <v>25</v>
      </c>
      <c r="B180" t="s">
        <v>629</v>
      </c>
      <c r="C180" t="s">
        <v>4080</v>
      </c>
      <c r="D180" t="s">
        <v>27</v>
      </c>
      <c r="E180" t="s">
        <v>330</v>
      </c>
      <c r="F180" t="s">
        <v>630</v>
      </c>
      <c r="G180" t="s">
        <v>631</v>
      </c>
      <c r="H180" t="s">
        <v>632</v>
      </c>
      <c r="I180" t="s">
        <v>633</v>
      </c>
      <c r="J180" t="s">
        <v>132</v>
      </c>
      <c r="K180">
        <v>36697</v>
      </c>
      <c r="L180" t="s">
        <v>360</v>
      </c>
      <c r="M180" t="s">
        <v>361</v>
      </c>
      <c r="N180" t="s">
        <v>360</v>
      </c>
      <c r="O180" t="s">
        <v>25</v>
      </c>
      <c r="P180" t="s">
        <v>82</v>
      </c>
      <c r="Q180" t="s">
        <v>360</v>
      </c>
      <c r="R180" t="s">
        <v>360</v>
      </c>
      <c r="S180">
        <v>0.41</v>
      </c>
      <c r="T180" t="s">
        <v>47</v>
      </c>
      <c r="U180">
        <v>942</v>
      </c>
      <c r="V180">
        <v>891</v>
      </c>
      <c r="W180">
        <v>775.17</v>
      </c>
      <c r="X180">
        <v>3.1</v>
      </c>
      <c r="Y180">
        <v>77.596097560975622</v>
      </c>
    </row>
    <row r="181" spans="1:25" x14ac:dyDescent="0.35">
      <c r="A181" t="s">
        <v>25</v>
      </c>
      <c r="B181" t="s">
        <v>634</v>
      </c>
      <c r="C181" t="s">
        <v>4080</v>
      </c>
      <c r="D181" t="s">
        <v>27</v>
      </c>
      <c r="E181" t="s">
        <v>635</v>
      </c>
      <c r="F181" t="s">
        <v>636</v>
      </c>
      <c r="G181" t="s">
        <v>637</v>
      </c>
      <c r="H181" t="s">
        <v>638</v>
      </c>
      <c r="I181" t="s">
        <v>639</v>
      </c>
      <c r="J181" t="s">
        <v>119</v>
      </c>
      <c r="K181">
        <v>34571</v>
      </c>
      <c r="L181" t="s">
        <v>360</v>
      </c>
      <c r="M181" t="s">
        <v>361</v>
      </c>
      <c r="N181" t="s">
        <v>360</v>
      </c>
      <c r="O181" t="s">
        <v>25</v>
      </c>
      <c r="P181" t="s">
        <v>50</v>
      </c>
      <c r="Q181" t="s">
        <v>360</v>
      </c>
      <c r="R181" t="s">
        <v>360</v>
      </c>
      <c r="S181">
        <v>0.38500000000000001</v>
      </c>
      <c r="T181" t="s">
        <v>47</v>
      </c>
      <c r="U181">
        <v>35</v>
      </c>
      <c r="V181">
        <v>31</v>
      </c>
      <c r="W181">
        <v>26.97</v>
      </c>
      <c r="X181">
        <v>3.1</v>
      </c>
      <c r="Y181">
        <v>82.524415584415593</v>
      </c>
    </row>
    <row r="182" spans="1:25" x14ac:dyDescent="0.35">
      <c r="A182" t="s">
        <v>25</v>
      </c>
      <c r="B182" t="s">
        <v>640</v>
      </c>
      <c r="C182" t="s">
        <v>4080</v>
      </c>
      <c r="D182" t="s">
        <v>27</v>
      </c>
      <c r="E182" t="s">
        <v>641</v>
      </c>
      <c r="F182" t="s">
        <v>642</v>
      </c>
      <c r="G182">
        <v>16303</v>
      </c>
      <c r="H182" t="s">
        <v>371</v>
      </c>
      <c r="I182" t="s">
        <v>643</v>
      </c>
      <c r="J182" t="s">
        <v>32</v>
      </c>
      <c r="K182">
        <v>26325</v>
      </c>
      <c r="L182" t="s">
        <v>60</v>
      </c>
      <c r="M182" t="s">
        <v>644</v>
      </c>
      <c r="N182" t="s">
        <v>60</v>
      </c>
      <c r="O182" t="s">
        <v>25</v>
      </c>
      <c r="P182" t="s">
        <v>50</v>
      </c>
      <c r="Q182" t="s">
        <v>63</v>
      </c>
      <c r="R182" t="s">
        <v>63</v>
      </c>
      <c r="S182">
        <v>0.35420000000000001</v>
      </c>
      <c r="T182" t="s">
        <v>47</v>
      </c>
      <c r="U182">
        <v>30</v>
      </c>
      <c r="V182">
        <v>28</v>
      </c>
      <c r="W182">
        <v>23.8</v>
      </c>
      <c r="X182">
        <v>95.89</v>
      </c>
      <c r="Y182">
        <v>326.54488989271596</v>
      </c>
    </row>
    <row r="183" spans="1:25" x14ac:dyDescent="0.35">
      <c r="A183" t="s">
        <v>25</v>
      </c>
      <c r="B183" t="s">
        <v>645</v>
      </c>
      <c r="C183" t="s">
        <v>4080</v>
      </c>
      <c r="D183" t="s">
        <v>27</v>
      </c>
      <c r="E183" t="s">
        <v>641</v>
      </c>
      <c r="F183" t="s">
        <v>646</v>
      </c>
      <c r="G183">
        <v>16303</v>
      </c>
      <c r="H183" t="s">
        <v>371</v>
      </c>
      <c r="I183" t="s">
        <v>643</v>
      </c>
      <c r="J183" t="s">
        <v>32</v>
      </c>
      <c r="K183">
        <v>34344</v>
      </c>
      <c r="L183" t="s">
        <v>60</v>
      </c>
      <c r="M183" t="s">
        <v>644</v>
      </c>
      <c r="N183" t="s">
        <v>60</v>
      </c>
      <c r="O183" t="s">
        <v>44</v>
      </c>
      <c r="P183" t="s">
        <v>45</v>
      </c>
      <c r="Q183" t="s">
        <v>63</v>
      </c>
      <c r="R183" t="s">
        <v>63</v>
      </c>
      <c r="S183">
        <v>0.37840000000000001</v>
      </c>
      <c r="T183" t="s">
        <v>47</v>
      </c>
      <c r="U183">
        <v>36</v>
      </c>
      <c r="V183">
        <v>34.5</v>
      </c>
      <c r="W183">
        <v>29.324999999999999</v>
      </c>
      <c r="X183">
        <v>95.89</v>
      </c>
      <c r="Y183">
        <v>305.72515856236788</v>
      </c>
    </row>
    <row r="184" spans="1:25" x14ac:dyDescent="0.35">
      <c r="A184" t="s">
        <v>25</v>
      </c>
      <c r="B184" t="s">
        <v>647</v>
      </c>
      <c r="C184" t="s">
        <v>4080</v>
      </c>
      <c r="D184" t="s">
        <v>27</v>
      </c>
      <c r="E184" t="s">
        <v>641</v>
      </c>
      <c r="F184" t="s">
        <v>648</v>
      </c>
      <c r="G184">
        <v>16303</v>
      </c>
      <c r="H184" t="s">
        <v>371</v>
      </c>
      <c r="I184" t="s">
        <v>643</v>
      </c>
      <c r="J184" t="s">
        <v>32</v>
      </c>
      <c r="K184">
        <v>40790</v>
      </c>
      <c r="L184" t="s">
        <v>60</v>
      </c>
      <c r="M184" t="s">
        <v>644</v>
      </c>
      <c r="N184" t="s">
        <v>60</v>
      </c>
      <c r="O184" t="s">
        <v>44</v>
      </c>
      <c r="P184" t="s">
        <v>45</v>
      </c>
      <c r="Q184" t="s">
        <v>63</v>
      </c>
      <c r="R184" t="s">
        <v>63</v>
      </c>
      <c r="S184">
        <v>0.39710000000000001</v>
      </c>
      <c r="T184" t="s">
        <v>47</v>
      </c>
      <c r="U184">
        <v>63</v>
      </c>
      <c r="V184">
        <v>59</v>
      </c>
      <c r="W184">
        <v>50.15</v>
      </c>
      <c r="X184">
        <v>95.89</v>
      </c>
      <c r="Y184">
        <v>291.37522034751953</v>
      </c>
    </row>
    <row r="185" spans="1:25" x14ac:dyDescent="0.35">
      <c r="A185" t="s">
        <v>25</v>
      </c>
      <c r="B185" t="s">
        <v>649</v>
      </c>
      <c r="C185" t="s">
        <v>4080</v>
      </c>
      <c r="D185" t="s">
        <v>27</v>
      </c>
      <c r="E185" t="s">
        <v>641</v>
      </c>
      <c r="F185" t="s">
        <v>650</v>
      </c>
      <c r="G185">
        <v>16303</v>
      </c>
      <c r="H185" t="s">
        <v>371</v>
      </c>
      <c r="I185" t="s">
        <v>643</v>
      </c>
      <c r="J185" t="s">
        <v>32</v>
      </c>
      <c r="K185">
        <v>35950</v>
      </c>
      <c r="L185" t="s">
        <v>60</v>
      </c>
      <c r="M185" t="s">
        <v>644</v>
      </c>
      <c r="N185" t="s">
        <v>60</v>
      </c>
      <c r="O185" t="s">
        <v>25</v>
      </c>
      <c r="P185" t="s">
        <v>82</v>
      </c>
      <c r="Q185" t="s">
        <v>63</v>
      </c>
      <c r="R185" t="s">
        <v>63</v>
      </c>
      <c r="S185">
        <v>0.38279999999999997</v>
      </c>
      <c r="T185" t="s">
        <v>47</v>
      </c>
      <c r="U185">
        <v>117</v>
      </c>
      <c r="V185">
        <v>106</v>
      </c>
      <c r="W185">
        <v>90.1</v>
      </c>
      <c r="X185">
        <v>95.89</v>
      </c>
      <c r="Y185">
        <v>302.22257053291537</v>
      </c>
    </row>
    <row r="186" spans="1:25" x14ac:dyDescent="0.35">
      <c r="A186" t="s">
        <v>25</v>
      </c>
      <c r="B186" t="s">
        <v>651</v>
      </c>
      <c r="C186" t="s">
        <v>4080</v>
      </c>
      <c r="D186" t="s">
        <v>27</v>
      </c>
      <c r="E186" t="s">
        <v>641</v>
      </c>
      <c r="F186" t="s">
        <v>652</v>
      </c>
      <c r="G186">
        <v>16303</v>
      </c>
      <c r="H186" t="s">
        <v>371</v>
      </c>
      <c r="I186" t="s">
        <v>643</v>
      </c>
      <c r="J186" t="s">
        <v>32</v>
      </c>
      <c r="K186">
        <v>35950</v>
      </c>
      <c r="L186" t="s">
        <v>60</v>
      </c>
      <c r="M186" t="s">
        <v>644</v>
      </c>
      <c r="N186" t="s">
        <v>60</v>
      </c>
      <c r="O186" t="s">
        <v>25</v>
      </c>
      <c r="P186" t="s">
        <v>82</v>
      </c>
      <c r="Q186" t="s">
        <v>63</v>
      </c>
      <c r="R186" t="s">
        <v>63</v>
      </c>
      <c r="S186">
        <v>0.38279999999999997</v>
      </c>
      <c r="T186" t="s">
        <v>47</v>
      </c>
      <c r="U186">
        <v>117</v>
      </c>
      <c r="V186">
        <v>106</v>
      </c>
      <c r="W186">
        <v>90.1</v>
      </c>
      <c r="X186">
        <v>95.89</v>
      </c>
      <c r="Y186">
        <v>302.22257053291537</v>
      </c>
    </row>
    <row r="187" spans="1:25" x14ac:dyDescent="0.35">
      <c r="A187" t="s">
        <v>25</v>
      </c>
      <c r="B187" t="s">
        <v>653</v>
      </c>
      <c r="C187" t="s">
        <v>4080</v>
      </c>
      <c r="D187" t="s">
        <v>27</v>
      </c>
      <c r="E187" t="s">
        <v>654</v>
      </c>
      <c r="F187" t="s">
        <v>655</v>
      </c>
      <c r="G187" t="s">
        <v>656</v>
      </c>
      <c r="H187" t="s">
        <v>657</v>
      </c>
      <c r="I187" t="s">
        <v>658</v>
      </c>
      <c r="J187" t="s">
        <v>119</v>
      </c>
      <c r="K187">
        <v>22007</v>
      </c>
      <c r="L187" t="s">
        <v>360</v>
      </c>
      <c r="M187" t="s">
        <v>659</v>
      </c>
      <c r="N187" t="s">
        <v>360</v>
      </c>
      <c r="O187" t="s">
        <v>25</v>
      </c>
      <c r="P187" t="s">
        <v>50</v>
      </c>
      <c r="Q187" t="s">
        <v>360</v>
      </c>
      <c r="R187" t="s">
        <v>360</v>
      </c>
      <c r="S187">
        <v>0.34960000000000002</v>
      </c>
      <c r="T187" t="s">
        <v>47</v>
      </c>
      <c r="U187">
        <v>45.189</v>
      </c>
      <c r="V187">
        <v>45.189</v>
      </c>
      <c r="W187">
        <v>39.314430000000002</v>
      </c>
      <c r="X187">
        <v>3.1</v>
      </c>
      <c r="Y187">
        <v>90.708581235697935</v>
      </c>
    </row>
    <row r="188" spans="1:25" x14ac:dyDescent="0.35">
      <c r="A188" t="s">
        <v>25</v>
      </c>
      <c r="B188" t="s">
        <v>660</v>
      </c>
      <c r="C188" t="s">
        <v>4080</v>
      </c>
      <c r="D188" t="s">
        <v>27</v>
      </c>
      <c r="E188" t="s">
        <v>661</v>
      </c>
      <c r="F188" t="s">
        <v>662</v>
      </c>
      <c r="G188" t="s">
        <v>663</v>
      </c>
      <c r="H188" t="s">
        <v>664</v>
      </c>
      <c r="I188" t="s">
        <v>665</v>
      </c>
      <c r="J188" t="s">
        <v>119</v>
      </c>
      <c r="K188">
        <v>35065</v>
      </c>
      <c r="L188" t="s">
        <v>69</v>
      </c>
      <c r="N188" t="s">
        <v>69</v>
      </c>
      <c r="O188" t="s">
        <v>44</v>
      </c>
      <c r="P188" t="s">
        <v>45</v>
      </c>
      <c r="Q188" t="s">
        <v>71</v>
      </c>
      <c r="R188" t="s">
        <v>71</v>
      </c>
      <c r="S188">
        <v>0.4</v>
      </c>
      <c r="T188" t="s">
        <v>37</v>
      </c>
      <c r="U188">
        <v>112</v>
      </c>
      <c r="V188">
        <v>110</v>
      </c>
      <c r="W188">
        <v>93.5</v>
      </c>
      <c r="X188">
        <v>95.59</v>
      </c>
      <c r="Y188">
        <v>277.07724999999999</v>
      </c>
    </row>
    <row r="189" spans="1:25" x14ac:dyDescent="0.35">
      <c r="A189" t="s">
        <v>25</v>
      </c>
      <c r="B189" t="s">
        <v>666</v>
      </c>
      <c r="C189" t="s">
        <v>4080</v>
      </c>
      <c r="D189" t="s">
        <v>27</v>
      </c>
      <c r="E189" t="s">
        <v>661</v>
      </c>
      <c r="F189" t="s">
        <v>667</v>
      </c>
      <c r="G189" t="s">
        <v>663</v>
      </c>
      <c r="H189" t="s">
        <v>664</v>
      </c>
      <c r="I189" t="s">
        <v>665</v>
      </c>
      <c r="J189" t="s">
        <v>119</v>
      </c>
      <c r="K189">
        <v>34700</v>
      </c>
      <c r="L189" t="s">
        <v>360</v>
      </c>
      <c r="M189" t="s">
        <v>361</v>
      </c>
      <c r="N189" t="s">
        <v>360</v>
      </c>
      <c r="O189" t="s">
        <v>25</v>
      </c>
      <c r="P189" t="s">
        <v>82</v>
      </c>
      <c r="Q189" t="s">
        <v>360</v>
      </c>
      <c r="R189" t="s">
        <v>360</v>
      </c>
      <c r="S189">
        <v>0.4</v>
      </c>
      <c r="T189" t="s">
        <v>47</v>
      </c>
      <c r="U189">
        <v>500</v>
      </c>
      <c r="V189">
        <v>450</v>
      </c>
      <c r="W189">
        <v>391.5</v>
      </c>
      <c r="X189">
        <v>3.1</v>
      </c>
      <c r="Y189">
        <v>79.493499999999997</v>
      </c>
    </row>
    <row r="190" spans="1:25" x14ac:dyDescent="0.35">
      <c r="A190" t="s">
        <v>25</v>
      </c>
      <c r="B190" t="s">
        <v>668</v>
      </c>
      <c r="C190" t="s">
        <v>4080</v>
      </c>
      <c r="D190" t="s">
        <v>27</v>
      </c>
      <c r="E190" t="s">
        <v>661</v>
      </c>
      <c r="F190" t="s">
        <v>669</v>
      </c>
      <c r="G190" t="s">
        <v>663</v>
      </c>
      <c r="H190" t="s">
        <v>664</v>
      </c>
      <c r="I190" t="s">
        <v>665</v>
      </c>
      <c r="J190" t="s">
        <v>119</v>
      </c>
      <c r="K190">
        <v>35065</v>
      </c>
      <c r="L190" t="s">
        <v>360</v>
      </c>
      <c r="M190" t="s">
        <v>361</v>
      </c>
      <c r="N190" t="s">
        <v>360</v>
      </c>
      <c r="O190" t="s">
        <v>25</v>
      </c>
      <c r="P190" t="s">
        <v>82</v>
      </c>
      <c r="Q190" t="s">
        <v>360</v>
      </c>
      <c r="R190" t="s">
        <v>360</v>
      </c>
      <c r="S190">
        <v>0.4</v>
      </c>
      <c r="T190" t="s">
        <v>47</v>
      </c>
      <c r="U190">
        <v>500</v>
      </c>
      <c r="V190">
        <v>450</v>
      </c>
      <c r="W190">
        <v>391.5</v>
      </c>
      <c r="X190">
        <v>3.1</v>
      </c>
      <c r="Y190">
        <v>79.493499999999997</v>
      </c>
    </row>
    <row r="191" spans="1:25" x14ac:dyDescent="0.35">
      <c r="A191" t="s">
        <v>25</v>
      </c>
      <c r="B191" t="s">
        <v>670</v>
      </c>
      <c r="C191" t="s">
        <v>4080</v>
      </c>
      <c r="D191" t="s">
        <v>27</v>
      </c>
      <c r="E191" t="s">
        <v>472</v>
      </c>
      <c r="F191" t="s">
        <v>671</v>
      </c>
      <c r="G191">
        <v>15236</v>
      </c>
      <c r="H191" t="s">
        <v>474</v>
      </c>
      <c r="I191" t="s">
        <v>475</v>
      </c>
      <c r="J191" t="s">
        <v>32</v>
      </c>
      <c r="K191">
        <v>35712</v>
      </c>
      <c r="L191" t="s">
        <v>360</v>
      </c>
      <c r="M191" t="s">
        <v>659</v>
      </c>
      <c r="N191" t="s">
        <v>360</v>
      </c>
      <c r="O191" t="s">
        <v>25</v>
      </c>
      <c r="P191" t="s">
        <v>406</v>
      </c>
      <c r="Q191" t="s">
        <v>360</v>
      </c>
      <c r="R191" t="s">
        <v>360</v>
      </c>
      <c r="S191">
        <v>0.376</v>
      </c>
      <c r="T191" t="s">
        <v>37</v>
      </c>
      <c r="U191">
        <v>17.5</v>
      </c>
      <c r="V191">
        <v>16.957999999999998</v>
      </c>
      <c r="W191">
        <v>14.753459999999999</v>
      </c>
      <c r="X191">
        <v>3.1</v>
      </c>
      <c r="Y191">
        <v>84.459042553191495</v>
      </c>
    </row>
    <row r="192" spans="1:25" x14ac:dyDescent="0.35">
      <c r="A192" t="s">
        <v>25</v>
      </c>
      <c r="B192" t="s">
        <v>672</v>
      </c>
      <c r="C192" t="s">
        <v>4080</v>
      </c>
      <c r="D192" t="s">
        <v>27</v>
      </c>
      <c r="E192" t="s">
        <v>673</v>
      </c>
      <c r="F192" t="s">
        <v>674</v>
      </c>
      <c r="G192" t="s">
        <v>601</v>
      </c>
      <c r="H192" t="s">
        <v>602</v>
      </c>
      <c r="I192" t="s">
        <v>603</v>
      </c>
      <c r="J192" t="s">
        <v>119</v>
      </c>
      <c r="K192">
        <v>34182</v>
      </c>
      <c r="L192" t="s">
        <v>69</v>
      </c>
      <c r="M192" t="s">
        <v>70</v>
      </c>
      <c r="N192" t="s">
        <v>69</v>
      </c>
      <c r="O192" t="s">
        <v>25</v>
      </c>
      <c r="P192" t="s">
        <v>50</v>
      </c>
      <c r="Q192" t="s">
        <v>71</v>
      </c>
      <c r="R192" t="s">
        <v>71</v>
      </c>
      <c r="S192">
        <v>0.38319999999999999</v>
      </c>
      <c r="T192" t="s">
        <v>47</v>
      </c>
      <c r="U192">
        <v>19.350000000000001</v>
      </c>
      <c r="V192">
        <v>16.850000000000001</v>
      </c>
      <c r="W192">
        <v>14.322500000000002</v>
      </c>
      <c r="X192">
        <v>95.59</v>
      </c>
      <c r="Y192">
        <v>289.18084551148229</v>
      </c>
    </row>
    <row r="193" spans="1:25" x14ac:dyDescent="0.35">
      <c r="A193" t="s">
        <v>25</v>
      </c>
      <c r="B193" t="s">
        <v>675</v>
      </c>
      <c r="C193" t="s">
        <v>4080</v>
      </c>
      <c r="D193" t="s">
        <v>27</v>
      </c>
      <c r="E193" t="s">
        <v>566</v>
      </c>
      <c r="F193" t="s">
        <v>676</v>
      </c>
      <c r="G193" t="s">
        <v>301</v>
      </c>
      <c r="H193" t="s">
        <v>302</v>
      </c>
      <c r="I193" t="s">
        <v>677</v>
      </c>
      <c r="J193" t="s">
        <v>119</v>
      </c>
      <c r="K193">
        <v>35431</v>
      </c>
      <c r="L193" t="s">
        <v>60</v>
      </c>
      <c r="M193" t="s">
        <v>644</v>
      </c>
      <c r="N193" t="s">
        <v>60</v>
      </c>
      <c r="O193" t="s">
        <v>25</v>
      </c>
      <c r="P193" t="s">
        <v>266</v>
      </c>
      <c r="Q193" t="s">
        <v>63</v>
      </c>
      <c r="R193" t="s">
        <v>63</v>
      </c>
      <c r="S193">
        <v>0.38</v>
      </c>
      <c r="T193" t="s">
        <v>47</v>
      </c>
      <c r="U193">
        <v>33.6</v>
      </c>
      <c r="V193">
        <v>29.3</v>
      </c>
      <c r="W193">
        <v>24.905000000000001</v>
      </c>
      <c r="X193">
        <v>95.89</v>
      </c>
      <c r="Y193">
        <v>304.44210526315788</v>
      </c>
    </row>
    <row r="194" spans="1:25" x14ac:dyDescent="0.35">
      <c r="A194" t="s">
        <v>25</v>
      </c>
      <c r="B194" t="s">
        <v>678</v>
      </c>
      <c r="C194" t="s">
        <v>4080</v>
      </c>
      <c r="D194" t="s">
        <v>27</v>
      </c>
      <c r="E194" t="s">
        <v>566</v>
      </c>
      <c r="F194" t="s">
        <v>679</v>
      </c>
      <c r="G194" t="s">
        <v>301</v>
      </c>
      <c r="H194" t="s">
        <v>302</v>
      </c>
      <c r="I194" t="s">
        <v>677</v>
      </c>
      <c r="J194" t="s">
        <v>119</v>
      </c>
      <c r="K194">
        <v>35431</v>
      </c>
      <c r="L194" t="s">
        <v>60</v>
      </c>
      <c r="M194" t="s">
        <v>644</v>
      </c>
      <c r="N194" t="s">
        <v>60</v>
      </c>
      <c r="O194" t="s">
        <v>44</v>
      </c>
      <c r="P194" t="s">
        <v>45</v>
      </c>
      <c r="Q194" t="s">
        <v>63</v>
      </c>
      <c r="R194" t="s">
        <v>63</v>
      </c>
      <c r="S194">
        <v>0.38</v>
      </c>
      <c r="T194" t="s">
        <v>47</v>
      </c>
      <c r="U194">
        <v>34.200000000000003</v>
      </c>
      <c r="V194">
        <v>29.8</v>
      </c>
      <c r="W194">
        <v>25.33</v>
      </c>
      <c r="X194">
        <v>95.89</v>
      </c>
      <c r="Y194">
        <v>304.44210526315788</v>
      </c>
    </row>
    <row r="195" spans="1:25" x14ac:dyDescent="0.35">
      <c r="A195" t="s">
        <v>25</v>
      </c>
      <c r="B195" t="s">
        <v>680</v>
      </c>
      <c r="C195" t="s">
        <v>4080</v>
      </c>
      <c r="D195" t="s">
        <v>27</v>
      </c>
      <c r="E195" t="s">
        <v>566</v>
      </c>
      <c r="F195" t="s">
        <v>681</v>
      </c>
      <c r="G195" t="s">
        <v>301</v>
      </c>
      <c r="H195" t="s">
        <v>302</v>
      </c>
      <c r="I195" t="s">
        <v>677</v>
      </c>
      <c r="J195" t="s">
        <v>119</v>
      </c>
      <c r="K195">
        <v>35431</v>
      </c>
      <c r="L195" t="s">
        <v>60</v>
      </c>
      <c r="M195" t="s">
        <v>644</v>
      </c>
      <c r="N195" t="s">
        <v>60</v>
      </c>
      <c r="O195" t="s">
        <v>25</v>
      </c>
      <c r="P195" t="s">
        <v>50</v>
      </c>
      <c r="Q195" t="s">
        <v>63</v>
      </c>
      <c r="R195" t="s">
        <v>63</v>
      </c>
      <c r="S195">
        <v>0.38</v>
      </c>
      <c r="T195" t="s">
        <v>47</v>
      </c>
      <c r="U195">
        <v>38.299999999999997</v>
      </c>
      <c r="V195">
        <v>33.4</v>
      </c>
      <c r="W195">
        <v>28.389999999999997</v>
      </c>
      <c r="X195">
        <v>95.89</v>
      </c>
      <c r="Y195">
        <v>304.44210526315788</v>
      </c>
    </row>
    <row r="196" spans="1:25" x14ac:dyDescent="0.35">
      <c r="A196" t="s">
        <v>25</v>
      </c>
      <c r="B196" t="s">
        <v>682</v>
      </c>
      <c r="C196" t="s">
        <v>4080</v>
      </c>
      <c r="D196" t="s">
        <v>27</v>
      </c>
      <c r="E196" t="s">
        <v>683</v>
      </c>
      <c r="F196" t="s">
        <v>684</v>
      </c>
      <c r="G196">
        <v>18147</v>
      </c>
      <c r="H196" t="s">
        <v>509</v>
      </c>
      <c r="I196" t="s">
        <v>685</v>
      </c>
      <c r="J196" t="s">
        <v>125</v>
      </c>
      <c r="K196">
        <v>34608</v>
      </c>
      <c r="L196" t="s">
        <v>92</v>
      </c>
      <c r="M196" t="s">
        <v>93</v>
      </c>
      <c r="N196" t="s">
        <v>92</v>
      </c>
      <c r="O196" t="s">
        <v>25</v>
      </c>
      <c r="P196" t="s">
        <v>82</v>
      </c>
      <c r="Q196" t="s">
        <v>92</v>
      </c>
      <c r="R196" t="s">
        <v>92</v>
      </c>
      <c r="S196">
        <v>0.432</v>
      </c>
      <c r="T196" t="s">
        <v>47</v>
      </c>
      <c r="U196">
        <v>553</v>
      </c>
      <c r="V196">
        <v>514</v>
      </c>
      <c r="W196">
        <v>411.20000000000005</v>
      </c>
      <c r="X196">
        <v>15.55</v>
      </c>
      <c r="Y196">
        <v>91.394791666666677</v>
      </c>
    </row>
    <row r="197" spans="1:25" x14ac:dyDescent="0.35">
      <c r="A197" t="s">
        <v>25</v>
      </c>
      <c r="B197" t="s">
        <v>686</v>
      </c>
      <c r="C197" t="s">
        <v>4080</v>
      </c>
      <c r="D197" t="s">
        <v>27</v>
      </c>
      <c r="E197" t="s">
        <v>683</v>
      </c>
      <c r="F197" t="s">
        <v>687</v>
      </c>
      <c r="G197" t="s">
        <v>631</v>
      </c>
      <c r="H197" t="s">
        <v>632</v>
      </c>
      <c r="I197" t="s">
        <v>633</v>
      </c>
      <c r="J197" t="s">
        <v>132</v>
      </c>
      <c r="K197">
        <v>36495</v>
      </c>
      <c r="L197" t="s">
        <v>360</v>
      </c>
      <c r="M197" t="s">
        <v>361</v>
      </c>
      <c r="N197" t="s">
        <v>360</v>
      </c>
      <c r="O197" t="s">
        <v>25</v>
      </c>
      <c r="P197" t="s">
        <v>82</v>
      </c>
      <c r="Q197" t="s">
        <v>360</v>
      </c>
      <c r="R197" t="s">
        <v>360</v>
      </c>
      <c r="S197">
        <v>0.42</v>
      </c>
      <c r="T197" t="s">
        <v>47</v>
      </c>
      <c r="U197">
        <v>942</v>
      </c>
      <c r="V197">
        <v>891</v>
      </c>
      <c r="W197">
        <v>775.17</v>
      </c>
      <c r="X197">
        <v>3.1</v>
      </c>
      <c r="Y197">
        <v>75.789047619047622</v>
      </c>
    </row>
    <row r="198" spans="1:25" x14ac:dyDescent="0.35">
      <c r="A198" t="s">
        <v>25</v>
      </c>
      <c r="B198" t="s">
        <v>688</v>
      </c>
      <c r="C198" t="str">
        <f>VLOOKUP(B198,Tabelle3!A:C,2,FALSE)</f>
        <v>Süd</v>
      </c>
      <c r="D198" t="s">
        <v>27</v>
      </c>
      <c r="E198" t="s">
        <v>689</v>
      </c>
      <c r="F198" t="s">
        <v>690</v>
      </c>
      <c r="G198">
        <v>45699</v>
      </c>
      <c r="H198" t="s">
        <v>691</v>
      </c>
      <c r="I198" t="s">
        <v>692</v>
      </c>
      <c r="J198" t="s">
        <v>693</v>
      </c>
      <c r="K198">
        <v>29587</v>
      </c>
      <c r="L198" t="s">
        <v>171</v>
      </c>
      <c r="M198" t="s">
        <v>172</v>
      </c>
      <c r="N198" t="s">
        <v>173</v>
      </c>
      <c r="O198" t="s">
        <v>25</v>
      </c>
      <c r="P198" t="s">
        <v>82</v>
      </c>
      <c r="Q198" t="s">
        <v>173</v>
      </c>
      <c r="R198" t="s">
        <v>173</v>
      </c>
      <c r="S198">
        <v>0.33</v>
      </c>
      <c r="T198" t="s">
        <v>47</v>
      </c>
      <c r="U198">
        <v>14.9</v>
      </c>
      <c r="V198">
        <v>14.88</v>
      </c>
      <c r="W198">
        <v>12.648</v>
      </c>
      <c r="X198">
        <v>0</v>
      </c>
      <c r="Y198">
        <v>1</v>
      </c>
    </row>
    <row r="199" spans="1:25" x14ac:dyDescent="0.35">
      <c r="A199" t="s">
        <v>25</v>
      </c>
      <c r="B199" t="s">
        <v>694</v>
      </c>
      <c r="C199" t="str">
        <f>VLOOKUP(B199,Tabelle3!A:C,2,FALSE)</f>
        <v>Süd</v>
      </c>
      <c r="D199" t="s">
        <v>27</v>
      </c>
      <c r="E199" t="s">
        <v>689</v>
      </c>
      <c r="F199" t="s">
        <v>695</v>
      </c>
      <c r="G199">
        <v>45699</v>
      </c>
      <c r="H199" t="s">
        <v>691</v>
      </c>
      <c r="I199" t="s">
        <v>692</v>
      </c>
      <c r="J199" t="s">
        <v>693</v>
      </c>
      <c r="K199">
        <v>29587</v>
      </c>
      <c r="L199" t="s">
        <v>171</v>
      </c>
      <c r="M199" t="s">
        <v>172</v>
      </c>
      <c r="N199" t="s">
        <v>173</v>
      </c>
      <c r="O199" t="s">
        <v>25</v>
      </c>
      <c r="P199" t="s">
        <v>82</v>
      </c>
      <c r="Q199" t="s">
        <v>173</v>
      </c>
      <c r="R199" t="s">
        <v>173</v>
      </c>
      <c r="S199">
        <v>0.33</v>
      </c>
      <c r="T199" t="s">
        <v>47</v>
      </c>
      <c r="U199">
        <v>14.9</v>
      </c>
      <c r="V199">
        <v>14.88</v>
      </c>
      <c r="W199">
        <v>12.648</v>
      </c>
      <c r="X199">
        <v>0</v>
      </c>
      <c r="Y199">
        <v>1</v>
      </c>
    </row>
    <row r="200" spans="1:25" x14ac:dyDescent="0.35">
      <c r="A200" t="s">
        <v>25</v>
      </c>
      <c r="B200" t="s">
        <v>696</v>
      </c>
      <c r="C200" t="str">
        <f>VLOOKUP(B200,Tabelle3!A:C,2,FALSE)</f>
        <v>Süd</v>
      </c>
      <c r="D200" t="s">
        <v>27</v>
      </c>
      <c r="E200" t="s">
        <v>697</v>
      </c>
      <c r="F200" t="s">
        <v>698</v>
      </c>
      <c r="G200">
        <v>87448</v>
      </c>
      <c r="H200" t="s">
        <v>699</v>
      </c>
      <c r="I200" t="s">
        <v>700</v>
      </c>
      <c r="J200" t="s">
        <v>701</v>
      </c>
      <c r="K200">
        <v>32323</v>
      </c>
      <c r="L200" t="s">
        <v>33</v>
      </c>
      <c r="M200" t="s">
        <v>34</v>
      </c>
      <c r="N200" t="s">
        <v>33</v>
      </c>
      <c r="O200" t="s">
        <v>44</v>
      </c>
      <c r="P200" t="s">
        <v>62</v>
      </c>
      <c r="Q200" t="s">
        <v>33</v>
      </c>
      <c r="R200" t="s">
        <v>36</v>
      </c>
      <c r="S200">
        <v>0.3488</v>
      </c>
      <c r="T200" t="s">
        <v>47</v>
      </c>
      <c r="U200">
        <v>21.76</v>
      </c>
      <c r="V200">
        <v>20</v>
      </c>
      <c r="W200">
        <v>17.399999999999999</v>
      </c>
      <c r="X200">
        <v>40.69</v>
      </c>
      <c r="Y200">
        <v>157.62084288990826</v>
      </c>
    </row>
    <row r="201" spans="1:25" x14ac:dyDescent="0.35">
      <c r="A201" t="s">
        <v>25</v>
      </c>
      <c r="B201" t="s">
        <v>702</v>
      </c>
      <c r="C201" t="str">
        <f>VLOOKUP(B201,Tabelle3!A:C,2,FALSE)</f>
        <v>Süd</v>
      </c>
      <c r="D201" t="s">
        <v>27</v>
      </c>
      <c r="E201" t="s">
        <v>703</v>
      </c>
      <c r="F201" t="s">
        <v>704</v>
      </c>
      <c r="G201">
        <v>58636</v>
      </c>
      <c r="H201" t="s">
        <v>705</v>
      </c>
      <c r="I201" t="s">
        <v>706</v>
      </c>
      <c r="J201" t="s">
        <v>693</v>
      </c>
      <c r="K201">
        <v>35278</v>
      </c>
      <c r="L201" t="s">
        <v>171</v>
      </c>
      <c r="M201" t="s">
        <v>172</v>
      </c>
      <c r="N201" t="s">
        <v>173</v>
      </c>
      <c r="O201" t="s">
        <v>25</v>
      </c>
      <c r="P201" t="s">
        <v>82</v>
      </c>
      <c r="Q201" t="s">
        <v>173</v>
      </c>
      <c r="R201" t="s">
        <v>173</v>
      </c>
      <c r="S201">
        <v>0.33</v>
      </c>
      <c r="T201" t="s">
        <v>47</v>
      </c>
      <c r="U201">
        <v>13</v>
      </c>
      <c r="V201">
        <v>10.7</v>
      </c>
      <c r="W201">
        <v>9.0949999999999989</v>
      </c>
      <c r="X201">
        <v>0</v>
      </c>
      <c r="Y201">
        <v>1</v>
      </c>
    </row>
    <row r="202" spans="1:25" x14ac:dyDescent="0.35">
      <c r="A202" t="s">
        <v>25</v>
      </c>
      <c r="B202" t="s">
        <v>707</v>
      </c>
      <c r="C202" t="str">
        <f>VLOOKUP(B202,Tabelle3!A:C,2,FALSE)</f>
        <v>Süd</v>
      </c>
      <c r="D202" t="s">
        <v>27</v>
      </c>
      <c r="E202" t="s">
        <v>708</v>
      </c>
      <c r="F202" t="s">
        <v>709</v>
      </c>
      <c r="G202">
        <v>54597</v>
      </c>
      <c r="H202" t="s">
        <v>710</v>
      </c>
      <c r="I202" t="s">
        <v>711</v>
      </c>
      <c r="J202" t="s">
        <v>712</v>
      </c>
      <c r="K202">
        <v>44496</v>
      </c>
      <c r="L202" t="s">
        <v>33</v>
      </c>
      <c r="M202" t="s">
        <v>34</v>
      </c>
      <c r="N202" t="s">
        <v>33</v>
      </c>
      <c r="O202" t="s">
        <v>25</v>
      </c>
      <c r="P202" t="s">
        <v>87</v>
      </c>
      <c r="Q202" t="s">
        <v>33</v>
      </c>
      <c r="R202" t="s">
        <v>46</v>
      </c>
      <c r="S202">
        <v>0.63</v>
      </c>
      <c r="T202" t="s">
        <v>37</v>
      </c>
      <c r="U202">
        <v>12.981999999999999</v>
      </c>
      <c r="V202">
        <v>12.255000000000001</v>
      </c>
      <c r="W202">
        <v>10.661850000000001</v>
      </c>
      <c r="X202">
        <v>40.69</v>
      </c>
      <c r="Y202">
        <v>88.213253968253966</v>
      </c>
    </row>
    <row r="203" spans="1:25" x14ac:dyDescent="0.35">
      <c r="A203" t="s">
        <v>25</v>
      </c>
      <c r="B203" t="s">
        <v>713</v>
      </c>
      <c r="C203" t="str">
        <f>VLOOKUP(B203,Tabelle3!A:C,2,FALSE)</f>
        <v>Süd</v>
      </c>
      <c r="D203" t="s">
        <v>27</v>
      </c>
      <c r="E203" t="s">
        <v>714</v>
      </c>
      <c r="F203" t="s">
        <v>715</v>
      </c>
      <c r="G203">
        <v>51373</v>
      </c>
      <c r="H203" t="s">
        <v>716</v>
      </c>
      <c r="I203" t="s">
        <v>717</v>
      </c>
      <c r="J203" t="s">
        <v>693</v>
      </c>
      <c r="K203">
        <v>40399</v>
      </c>
      <c r="L203" t="s">
        <v>171</v>
      </c>
      <c r="M203" t="s">
        <v>172</v>
      </c>
      <c r="N203" t="s">
        <v>173</v>
      </c>
      <c r="O203" t="s">
        <v>25</v>
      </c>
      <c r="P203" t="s">
        <v>82</v>
      </c>
      <c r="Q203" t="s">
        <v>173</v>
      </c>
      <c r="R203" t="s">
        <v>173</v>
      </c>
      <c r="S203">
        <v>0.33</v>
      </c>
      <c r="T203" t="s">
        <v>47</v>
      </c>
      <c r="U203">
        <v>23.65</v>
      </c>
      <c r="V203">
        <v>18.649999999999999</v>
      </c>
      <c r="W203">
        <v>15.852499999999999</v>
      </c>
      <c r="X203">
        <v>0</v>
      </c>
      <c r="Y203">
        <v>1</v>
      </c>
    </row>
    <row r="204" spans="1:25" x14ac:dyDescent="0.35">
      <c r="A204" t="s">
        <v>25</v>
      </c>
      <c r="B204" t="s">
        <v>718</v>
      </c>
      <c r="C204" t="str">
        <f>VLOOKUP(B204,Tabelle3!A:C,2,FALSE)</f>
        <v>Süd</v>
      </c>
      <c r="D204" t="s">
        <v>27</v>
      </c>
      <c r="E204" t="s">
        <v>719</v>
      </c>
      <c r="F204" t="s">
        <v>720</v>
      </c>
      <c r="G204">
        <v>50735</v>
      </c>
      <c r="H204" t="s">
        <v>721</v>
      </c>
      <c r="I204" t="s">
        <v>722</v>
      </c>
      <c r="J204" t="s">
        <v>693</v>
      </c>
      <c r="K204">
        <v>42885</v>
      </c>
      <c r="L204" t="s">
        <v>171</v>
      </c>
      <c r="M204" t="s">
        <v>172</v>
      </c>
      <c r="N204" t="s">
        <v>173</v>
      </c>
      <c r="O204" t="s">
        <v>44</v>
      </c>
      <c r="P204" t="s">
        <v>45</v>
      </c>
      <c r="Q204" t="s">
        <v>173</v>
      </c>
      <c r="R204" t="s">
        <v>173</v>
      </c>
      <c r="S204">
        <v>0.33</v>
      </c>
      <c r="T204" t="s">
        <v>47</v>
      </c>
      <c r="U204">
        <v>31.76</v>
      </c>
      <c r="V204">
        <v>18</v>
      </c>
      <c r="W204">
        <v>15.299999999999999</v>
      </c>
      <c r="X204">
        <v>0</v>
      </c>
      <c r="Y204">
        <v>1</v>
      </c>
    </row>
    <row r="205" spans="1:25" x14ac:dyDescent="0.35">
      <c r="A205" t="s">
        <v>25</v>
      </c>
      <c r="B205" t="s">
        <v>723</v>
      </c>
      <c r="C205" t="str">
        <f>VLOOKUP(B205,Tabelle3!A:C,2,FALSE)</f>
        <v>Süd</v>
      </c>
      <c r="D205" t="s">
        <v>27</v>
      </c>
      <c r="E205" t="s">
        <v>719</v>
      </c>
      <c r="F205" t="s">
        <v>724</v>
      </c>
      <c r="G205">
        <v>50735</v>
      </c>
      <c r="H205" t="s">
        <v>721</v>
      </c>
      <c r="I205" t="s">
        <v>722</v>
      </c>
      <c r="J205" t="s">
        <v>693</v>
      </c>
      <c r="K205">
        <v>35828</v>
      </c>
      <c r="L205" t="s">
        <v>171</v>
      </c>
      <c r="M205" t="s">
        <v>172</v>
      </c>
      <c r="N205" t="s">
        <v>173</v>
      </c>
      <c r="O205" t="s">
        <v>25</v>
      </c>
      <c r="P205" t="s">
        <v>82</v>
      </c>
      <c r="Q205" t="s">
        <v>173</v>
      </c>
      <c r="R205" t="s">
        <v>173</v>
      </c>
      <c r="S205">
        <v>0.33</v>
      </c>
      <c r="T205" t="s">
        <v>47</v>
      </c>
      <c r="U205">
        <v>56</v>
      </c>
      <c r="V205">
        <v>46</v>
      </c>
      <c r="W205">
        <v>39.1</v>
      </c>
      <c r="X205">
        <v>0</v>
      </c>
      <c r="Y205">
        <v>1</v>
      </c>
    </row>
    <row r="206" spans="1:25" x14ac:dyDescent="0.35">
      <c r="A206" t="s">
        <v>25</v>
      </c>
      <c r="B206" t="s">
        <v>725</v>
      </c>
      <c r="C206" t="str">
        <f>VLOOKUP(B206,Tabelle3!A:C,2,FALSE)</f>
        <v>Süd</v>
      </c>
      <c r="D206" t="s">
        <v>27</v>
      </c>
      <c r="E206" t="s">
        <v>726</v>
      </c>
      <c r="F206" t="s">
        <v>727</v>
      </c>
      <c r="G206">
        <v>50389</v>
      </c>
      <c r="H206" t="s">
        <v>728</v>
      </c>
      <c r="I206" t="s">
        <v>729</v>
      </c>
      <c r="J206" t="s">
        <v>693</v>
      </c>
      <c r="K206">
        <v>35249</v>
      </c>
      <c r="L206" t="s">
        <v>33</v>
      </c>
      <c r="M206" t="s">
        <v>34</v>
      </c>
      <c r="N206" t="s">
        <v>33</v>
      </c>
      <c r="O206" t="s">
        <v>25</v>
      </c>
      <c r="P206" t="s">
        <v>87</v>
      </c>
      <c r="Q206" t="s">
        <v>33</v>
      </c>
      <c r="R206" t="s">
        <v>46</v>
      </c>
      <c r="S206">
        <v>0.36959999999999998</v>
      </c>
      <c r="T206" t="s">
        <v>47</v>
      </c>
      <c r="U206">
        <v>52</v>
      </c>
      <c r="V206">
        <v>51.9</v>
      </c>
      <c r="W206">
        <v>45.152999999999999</v>
      </c>
      <c r="X206">
        <v>40.69</v>
      </c>
      <c r="Y206">
        <v>149.30668290043292</v>
      </c>
    </row>
    <row r="207" spans="1:25" x14ac:dyDescent="0.35">
      <c r="A207" t="s">
        <v>25</v>
      </c>
      <c r="B207" t="s">
        <v>730</v>
      </c>
      <c r="C207" t="s">
        <v>4081</v>
      </c>
      <c r="D207" t="s">
        <v>27</v>
      </c>
      <c r="E207" t="s">
        <v>726</v>
      </c>
      <c r="F207" t="s">
        <v>731</v>
      </c>
      <c r="G207">
        <v>50389</v>
      </c>
      <c r="H207" t="s">
        <v>728</v>
      </c>
      <c r="I207" t="s">
        <v>729</v>
      </c>
      <c r="J207" t="s">
        <v>693</v>
      </c>
      <c r="K207">
        <v>22830</v>
      </c>
      <c r="L207" t="s">
        <v>60</v>
      </c>
      <c r="M207" t="s">
        <v>644</v>
      </c>
      <c r="N207" t="s">
        <v>60</v>
      </c>
      <c r="O207" t="s">
        <v>25</v>
      </c>
      <c r="P207" t="s">
        <v>71</v>
      </c>
      <c r="Q207" t="s">
        <v>63</v>
      </c>
      <c r="R207" t="s">
        <v>63</v>
      </c>
      <c r="S207">
        <v>0.34320000000000001</v>
      </c>
      <c r="T207" t="s">
        <v>47</v>
      </c>
      <c r="U207">
        <v>102</v>
      </c>
      <c r="V207">
        <v>90</v>
      </c>
      <c r="W207">
        <v>76.5</v>
      </c>
      <c r="X207">
        <v>95.89</v>
      </c>
      <c r="Y207">
        <v>336.97902097902102</v>
      </c>
    </row>
    <row r="208" spans="1:25" x14ac:dyDescent="0.35">
      <c r="A208" t="s">
        <v>25</v>
      </c>
      <c r="B208" t="s">
        <v>732</v>
      </c>
      <c r="C208" t="str">
        <f>VLOOKUP(B208,Tabelle3!A:C,2,FALSE)</f>
        <v>Süd</v>
      </c>
      <c r="D208" t="s">
        <v>27</v>
      </c>
      <c r="E208" t="s">
        <v>733</v>
      </c>
      <c r="F208" t="s">
        <v>734</v>
      </c>
      <c r="G208">
        <v>67063</v>
      </c>
      <c r="H208" t="s">
        <v>735</v>
      </c>
      <c r="I208" t="s">
        <v>736</v>
      </c>
      <c r="J208" t="s">
        <v>712</v>
      </c>
      <c r="K208">
        <v>33724</v>
      </c>
      <c r="L208" t="s">
        <v>69</v>
      </c>
      <c r="M208" t="s">
        <v>70</v>
      </c>
      <c r="N208" t="s">
        <v>69</v>
      </c>
      <c r="O208" t="s">
        <v>25</v>
      </c>
      <c r="P208" t="s">
        <v>50</v>
      </c>
      <c r="Q208" t="s">
        <v>71</v>
      </c>
      <c r="R208" t="s">
        <v>71</v>
      </c>
      <c r="S208">
        <v>0.33</v>
      </c>
      <c r="T208" t="s">
        <v>47</v>
      </c>
      <c r="U208">
        <v>12.5</v>
      </c>
      <c r="V208">
        <v>12</v>
      </c>
      <c r="W208">
        <v>10.199999999999999</v>
      </c>
      <c r="X208">
        <v>95.59</v>
      </c>
      <c r="Y208">
        <v>335.6390909090909</v>
      </c>
    </row>
    <row r="209" spans="1:25" x14ac:dyDescent="0.35">
      <c r="A209" t="s">
        <v>25</v>
      </c>
      <c r="B209" t="s">
        <v>737</v>
      </c>
      <c r="C209" t="s">
        <v>4081</v>
      </c>
      <c r="D209" t="s">
        <v>27</v>
      </c>
      <c r="E209" t="s">
        <v>733</v>
      </c>
      <c r="F209" t="s">
        <v>738</v>
      </c>
      <c r="G209">
        <v>67063</v>
      </c>
      <c r="H209" t="s">
        <v>735</v>
      </c>
      <c r="I209" t="s">
        <v>736</v>
      </c>
      <c r="J209" t="s">
        <v>712</v>
      </c>
      <c r="K209">
        <v>37216</v>
      </c>
      <c r="L209" t="s">
        <v>69</v>
      </c>
      <c r="M209" t="s">
        <v>70</v>
      </c>
      <c r="N209" t="s">
        <v>69</v>
      </c>
      <c r="O209" t="s">
        <v>25</v>
      </c>
      <c r="P209" t="s">
        <v>50</v>
      </c>
      <c r="Q209" t="s">
        <v>71</v>
      </c>
      <c r="R209" t="s">
        <v>71</v>
      </c>
      <c r="S209">
        <v>0.38500000000000001</v>
      </c>
      <c r="T209" t="s">
        <v>37</v>
      </c>
      <c r="U209">
        <v>24.5</v>
      </c>
      <c r="V209">
        <v>24</v>
      </c>
      <c r="W209">
        <v>20.399999999999999</v>
      </c>
      <c r="X209">
        <v>95.59</v>
      </c>
      <c r="Y209">
        <v>287.83350649350649</v>
      </c>
    </row>
    <row r="210" spans="1:25" x14ac:dyDescent="0.35">
      <c r="A210" t="s">
        <v>25</v>
      </c>
      <c r="B210" t="s">
        <v>739</v>
      </c>
      <c r="C210" t="s">
        <v>4081</v>
      </c>
      <c r="D210" t="s">
        <v>27</v>
      </c>
      <c r="E210" t="s">
        <v>733</v>
      </c>
      <c r="F210" t="s">
        <v>740</v>
      </c>
      <c r="G210">
        <v>67063</v>
      </c>
      <c r="H210" t="s">
        <v>735</v>
      </c>
      <c r="I210" t="s">
        <v>736</v>
      </c>
      <c r="J210" t="s">
        <v>712</v>
      </c>
      <c r="K210">
        <v>23508</v>
      </c>
      <c r="L210" t="s">
        <v>69</v>
      </c>
      <c r="M210" t="s">
        <v>70</v>
      </c>
      <c r="N210" t="s">
        <v>69</v>
      </c>
      <c r="O210" t="s">
        <v>25</v>
      </c>
      <c r="P210" t="s">
        <v>266</v>
      </c>
      <c r="Q210" t="s">
        <v>71</v>
      </c>
      <c r="R210" t="s">
        <v>71</v>
      </c>
      <c r="S210">
        <v>0.34499999999999997</v>
      </c>
      <c r="T210" t="s">
        <v>37</v>
      </c>
      <c r="U210">
        <v>28.5</v>
      </c>
      <c r="V210">
        <v>28</v>
      </c>
      <c r="W210">
        <v>23.8</v>
      </c>
      <c r="X210">
        <v>95.59</v>
      </c>
      <c r="Y210">
        <v>321.08956521739134</v>
      </c>
    </row>
    <row r="211" spans="1:25" x14ac:dyDescent="0.35">
      <c r="A211" t="s">
        <v>25</v>
      </c>
      <c r="B211" t="s">
        <v>741</v>
      </c>
      <c r="C211" t="s">
        <v>4081</v>
      </c>
      <c r="D211" t="s">
        <v>27</v>
      </c>
      <c r="E211" t="s">
        <v>733</v>
      </c>
      <c r="F211" t="s">
        <v>742</v>
      </c>
      <c r="G211">
        <v>67063</v>
      </c>
      <c r="H211" t="s">
        <v>735</v>
      </c>
      <c r="I211" t="s">
        <v>736</v>
      </c>
      <c r="J211" t="s">
        <v>712</v>
      </c>
      <c r="K211">
        <v>39568</v>
      </c>
      <c r="L211" t="s">
        <v>69</v>
      </c>
      <c r="M211" t="s">
        <v>70</v>
      </c>
      <c r="N211" t="s">
        <v>69</v>
      </c>
      <c r="O211" t="s">
        <v>44</v>
      </c>
      <c r="P211" t="s">
        <v>45</v>
      </c>
      <c r="Q211" t="s">
        <v>71</v>
      </c>
      <c r="R211" t="s">
        <v>71</v>
      </c>
      <c r="S211">
        <v>0.39600000000000002</v>
      </c>
      <c r="T211" t="s">
        <v>37</v>
      </c>
      <c r="U211">
        <v>45.75</v>
      </c>
      <c r="V211">
        <v>45.5</v>
      </c>
      <c r="W211">
        <v>38.674999999999997</v>
      </c>
      <c r="X211">
        <v>95.59</v>
      </c>
      <c r="Y211">
        <v>279.8659090909091</v>
      </c>
    </row>
    <row r="212" spans="1:25" x14ac:dyDescent="0.35">
      <c r="A212" t="s">
        <v>25</v>
      </c>
      <c r="B212" t="s">
        <v>743</v>
      </c>
      <c r="C212" t="str">
        <f>VLOOKUP(B212,Tabelle3!A:C,2,FALSE)</f>
        <v>Süd</v>
      </c>
      <c r="D212" t="s">
        <v>27</v>
      </c>
      <c r="E212" t="s">
        <v>733</v>
      </c>
      <c r="F212" t="s">
        <v>744</v>
      </c>
      <c r="G212">
        <v>67063</v>
      </c>
      <c r="H212" t="s">
        <v>735</v>
      </c>
      <c r="I212" t="s">
        <v>736</v>
      </c>
      <c r="J212" t="s">
        <v>712</v>
      </c>
      <c r="K212">
        <v>35625</v>
      </c>
      <c r="L212" t="s">
        <v>69</v>
      </c>
      <c r="M212" t="s">
        <v>70</v>
      </c>
      <c r="N212" t="s">
        <v>69</v>
      </c>
      <c r="O212" t="s">
        <v>25</v>
      </c>
      <c r="P212" t="s">
        <v>35</v>
      </c>
      <c r="Q212" t="s">
        <v>71</v>
      </c>
      <c r="R212" t="s">
        <v>71</v>
      </c>
      <c r="S212">
        <v>0.52649999999999997</v>
      </c>
      <c r="T212" t="s">
        <v>47</v>
      </c>
      <c r="U212">
        <v>72</v>
      </c>
      <c r="V212">
        <v>71.5</v>
      </c>
      <c r="W212">
        <v>60.774999999999999</v>
      </c>
      <c r="X212">
        <v>95.59</v>
      </c>
      <c r="Y212">
        <v>210.74529914529916</v>
      </c>
    </row>
    <row r="213" spans="1:25" x14ac:dyDescent="0.35">
      <c r="A213" t="s">
        <v>25</v>
      </c>
      <c r="B213" t="s">
        <v>745</v>
      </c>
      <c r="C213" t="str">
        <f>VLOOKUP(B213,Tabelle3!A:C,2,FALSE)</f>
        <v>Süd</v>
      </c>
      <c r="D213" t="s">
        <v>27</v>
      </c>
      <c r="E213" t="s">
        <v>733</v>
      </c>
      <c r="F213" t="s">
        <v>746</v>
      </c>
      <c r="G213">
        <v>67063</v>
      </c>
      <c r="H213" t="s">
        <v>735</v>
      </c>
      <c r="I213" t="s">
        <v>736</v>
      </c>
      <c r="J213" t="s">
        <v>712</v>
      </c>
      <c r="K213">
        <v>38484</v>
      </c>
      <c r="L213" t="s">
        <v>69</v>
      </c>
      <c r="M213" t="s">
        <v>70</v>
      </c>
      <c r="N213" t="s">
        <v>69</v>
      </c>
      <c r="O213" t="s">
        <v>25</v>
      </c>
      <c r="P213" t="s">
        <v>35</v>
      </c>
      <c r="Q213" t="s">
        <v>71</v>
      </c>
      <c r="R213" t="s">
        <v>71</v>
      </c>
      <c r="S213">
        <v>0.43</v>
      </c>
      <c r="T213" t="s">
        <v>47</v>
      </c>
      <c r="U213">
        <v>90.5</v>
      </c>
      <c r="V213">
        <v>89.5</v>
      </c>
      <c r="W213">
        <v>76.075000000000003</v>
      </c>
      <c r="X213">
        <v>95.59</v>
      </c>
      <c r="Y213">
        <v>257.81604651162792</v>
      </c>
    </row>
    <row r="214" spans="1:25" x14ac:dyDescent="0.35">
      <c r="A214" t="s">
        <v>25</v>
      </c>
      <c r="B214" t="s">
        <v>747</v>
      </c>
      <c r="C214" t="str">
        <f>VLOOKUP(B214,Tabelle3!A:C,2,FALSE)</f>
        <v>Süd</v>
      </c>
      <c r="D214" t="s">
        <v>27</v>
      </c>
      <c r="E214" t="s">
        <v>733</v>
      </c>
      <c r="F214" t="s">
        <v>748</v>
      </c>
      <c r="G214">
        <v>67063</v>
      </c>
      <c r="H214" t="s">
        <v>735</v>
      </c>
      <c r="I214" t="s">
        <v>736</v>
      </c>
      <c r="J214" t="s">
        <v>712</v>
      </c>
      <c r="K214">
        <v>35625</v>
      </c>
      <c r="L214" t="s">
        <v>33</v>
      </c>
      <c r="M214" t="s">
        <v>34</v>
      </c>
      <c r="N214" t="s">
        <v>33</v>
      </c>
      <c r="O214" t="s">
        <v>25</v>
      </c>
      <c r="P214" t="s">
        <v>35</v>
      </c>
      <c r="Q214" t="s">
        <v>33</v>
      </c>
      <c r="R214" t="s">
        <v>36</v>
      </c>
      <c r="S214">
        <v>0.52649999999999997</v>
      </c>
      <c r="T214" t="s">
        <v>47</v>
      </c>
      <c r="U214">
        <v>167.5</v>
      </c>
      <c r="V214">
        <v>165.5</v>
      </c>
      <c r="W214">
        <v>143.98499999999999</v>
      </c>
      <c r="X214">
        <v>40.69</v>
      </c>
      <c r="Y214">
        <v>104.75944919278253</v>
      </c>
    </row>
    <row r="215" spans="1:25" x14ac:dyDescent="0.35">
      <c r="A215" t="s">
        <v>25</v>
      </c>
      <c r="B215" t="s">
        <v>749</v>
      </c>
      <c r="C215" t="str">
        <f>VLOOKUP(B215,Tabelle3!A:C,2,FALSE)</f>
        <v>Süd</v>
      </c>
      <c r="D215" t="s">
        <v>27</v>
      </c>
      <c r="E215" t="s">
        <v>733</v>
      </c>
      <c r="F215" t="s">
        <v>750</v>
      </c>
      <c r="G215">
        <v>67063</v>
      </c>
      <c r="H215" t="s">
        <v>735</v>
      </c>
      <c r="I215" t="s">
        <v>736</v>
      </c>
      <c r="J215" t="s">
        <v>712</v>
      </c>
      <c r="K215">
        <v>35625</v>
      </c>
      <c r="L215" t="s">
        <v>33</v>
      </c>
      <c r="M215" t="s">
        <v>34</v>
      </c>
      <c r="N215" t="s">
        <v>33</v>
      </c>
      <c r="O215" t="s">
        <v>25</v>
      </c>
      <c r="P215" t="s">
        <v>35</v>
      </c>
      <c r="Q215" t="s">
        <v>33</v>
      </c>
      <c r="R215" t="s">
        <v>36</v>
      </c>
      <c r="S215">
        <v>0.52649999999999997</v>
      </c>
      <c r="T215" t="s">
        <v>47</v>
      </c>
      <c r="U215">
        <v>175</v>
      </c>
      <c r="V215">
        <v>173</v>
      </c>
      <c r="W215">
        <v>150.51</v>
      </c>
      <c r="X215">
        <v>40.69</v>
      </c>
      <c r="Y215">
        <v>104.75944919278253</v>
      </c>
    </row>
    <row r="216" spans="1:25" x14ac:dyDescent="0.35">
      <c r="A216" t="s">
        <v>25</v>
      </c>
      <c r="B216" t="s">
        <v>751</v>
      </c>
      <c r="C216" t="str">
        <f>VLOOKUP(B216,Tabelle3!A:C,2,FALSE)</f>
        <v>Süd</v>
      </c>
      <c r="D216" t="s">
        <v>27</v>
      </c>
      <c r="E216" t="s">
        <v>733</v>
      </c>
      <c r="F216" t="s">
        <v>752</v>
      </c>
      <c r="G216">
        <v>67063</v>
      </c>
      <c r="H216" t="s">
        <v>735</v>
      </c>
      <c r="I216" t="s">
        <v>736</v>
      </c>
      <c r="J216" t="s">
        <v>712</v>
      </c>
      <c r="K216">
        <v>38484</v>
      </c>
      <c r="L216" t="s">
        <v>33</v>
      </c>
      <c r="M216" t="s">
        <v>34</v>
      </c>
      <c r="N216" t="s">
        <v>33</v>
      </c>
      <c r="O216" t="s">
        <v>25</v>
      </c>
      <c r="P216" t="s">
        <v>35</v>
      </c>
      <c r="Q216" t="s">
        <v>33</v>
      </c>
      <c r="R216" t="s">
        <v>36</v>
      </c>
      <c r="S216">
        <v>0.43</v>
      </c>
      <c r="T216" t="s">
        <v>47</v>
      </c>
      <c r="U216">
        <v>206</v>
      </c>
      <c r="V216">
        <v>204</v>
      </c>
      <c r="W216">
        <v>177.48</v>
      </c>
      <c r="X216">
        <v>40.69</v>
      </c>
      <c r="Y216">
        <v>128.04500000000002</v>
      </c>
    </row>
    <row r="217" spans="1:25" x14ac:dyDescent="0.35">
      <c r="A217" t="s">
        <v>25</v>
      </c>
      <c r="B217" t="s">
        <v>753</v>
      </c>
      <c r="C217" t="str">
        <f>VLOOKUP(B217,Tabelle3!A:C,2,FALSE)</f>
        <v>Süd</v>
      </c>
      <c r="D217" t="s">
        <v>27</v>
      </c>
      <c r="E217" t="s">
        <v>733</v>
      </c>
      <c r="F217" t="s">
        <v>754</v>
      </c>
      <c r="G217">
        <v>67063</v>
      </c>
      <c r="H217" t="s">
        <v>735</v>
      </c>
      <c r="I217" t="s">
        <v>736</v>
      </c>
      <c r="J217" t="s">
        <v>712</v>
      </c>
      <c r="K217">
        <v>38484</v>
      </c>
      <c r="L217" t="s">
        <v>33</v>
      </c>
      <c r="M217" t="s">
        <v>34</v>
      </c>
      <c r="N217" t="s">
        <v>33</v>
      </c>
      <c r="O217" t="s">
        <v>25</v>
      </c>
      <c r="P217" t="s">
        <v>35</v>
      </c>
      <c r="Q217" t="s">
        <v>33</v>
      </c>
      <c r="R217" t="s">
        <v>36</v>
      </c>
      <c r="S217">
        <v>0.43</v>
      </c>
      <c r="T217" t="s">
        <v>47</v>
      </c>
      <c r="U217">
        <v>206</v>
      </c>
      <c r="V217">
        <v>204</v>
      </c>
      <c r="W217">
        <v>177.48</v>
      </c>
      <c r="X217">
        <v>40.69</v>
      </c>
      <c r="Y217">
        <v>128.04500000000002</v>
      </c>
    </row>
    <row r="218" spans="1:25" x14ac:dyDescent="0.35">
      <c r="A218" t="s">
        <v>25</v>
      </c>
      <c r="B218" t="s">
        <v>755</v>
      </c>
      <c r="C218" t="str">
        <f>VLOOKUP(B218,Tabelle3!A:C,2,FALSE)</f>
        <v>Süd</v>
      </c>
      <c r="D218" t="s">
        <v>27</v>
      </c>
      <c r="E218" t="s">
        <v>756</v>
      </c>
      <c r="F218" t="s">
        <v>757</v>
      </c>
      <c r="G218">
        <v>55218</v>
      </c>
      <c r="H218" t="s">
        <v>758</v>
      </c>
      <c r="I218" t="s">
        <v>759</v>
      </c>
      <c r="J218" t="s">
        <v>712</v>
      </c>
      <c r="K218">
        <v>45419</v>
      </c>
      <c r="L218" t="s">
        <v>171</v>
      </c>
      <c r="M218" t="s">
        <v>293</v>
      </c>
      <c r="N218" t="s">
        <v>173</v>
      </c>
      <c r="O218" t="s">
        <v>25</v>
      </c>
      <c r="P218" t="s">
        <v>50</v>
      </c>
      <c r="Q218" t="s">
        <v>173</v>
      </c>
      <c r="R218" t="s">
        <v>173</v>
      </c>
      <c r="S218">
        <v>0.33</v>
      </c>
      <c r="T218" t="s">
        <v>47</v>
      </c>
      <c r="U218">
        <v>12</v>
      </c>
      <c r="V218">
        <v>12</v>
      </c>
      <c r="W218">
        <v>10.199999999999999</v>
      </c>
      <c r="X218">
        <v>0</v>
      </c>
      <c r="Y218">
        <v>1</v>
      </c>
    </row>
    <row r="219" spans="1:25" x14ac:dyDescent="0.35">
      <c r="A219" t="s">
        <v>25</v>
      </c>
      <c r="B219" t="s">
        <v>760</v>
      </c>
      <c r="C219" t="str">
        <f>VLOOKUP(B219,Tabelle3!A:C,2,FALSE)</f>
        <v>Süd</v>
      </c>
      <c r="D219" t="s">
        <v>27</v>
      </c>
      <c r="E219" t="s">
        <v>761</v>
      </c>
      <c r="F219" t="s">
        <v>762</v>
      </c>
      <c r="G219">
        <v>49808</v>
      </c>
      <c r="H219" t="s">
        <v>763</v>
      </c>
      <c r="I219" t="s">
        <v>764</v>
      </c>
      <c r="J219" t="s">
        <v>765</v>
      </c>
      <c r="K219">
        <v>35405</v>
      </c>
      <c r="L219" t="s">
        <v>33</v>
      </c>
      <c r="M219" t="s">
        <v>34</v>
      </c>
      <c r="N219" t="s">
        <v>33</v>
      </c>
      <c r="O219" t="s">
        <v>25</v>
      </c>
      <c r="P219" t="s">
        <v>266</v>
      </c>
      <c r="Q219" t="s">
        <v>33</v>
      </c>
      <c r="R219" t="s">
        <v>46</v>
      </c>
      <c r="S219">
        <v>0.38059999999999999</v>
      </c>
      <c r="T219" t="s">
        <v>47</v>
      </c>
      <c r="U219">
        <v>10.1</v>
      </c>
      <c r="V219">
        <v>10.1</v>
      </c>
      <c r="W219">
        <v>8.786999999999999</v>
      </c>
      <c r="X219">
        <v>40.69</v>
      </c>
      <c r="Y219">
        <v>145.0348134524435</v>
      </c>
    </row>
    <row r="220" spans="1:25" x14ac:dyDescent="0.35">
      <c r="A220" t="s">
        <v>25</v>
      </c>
      <c r="B220" t="s">
        <v>766</v>
      </c>
      <c r="C220" t="str">
        <f>VLOOKUP(B220,Tabelle3!A:C,2,FALSE)</f>
        <v>Süd</v>
      </c>
      <c r="D220" t="s">
        <v>27</v>
      </c>
      <c r="E220" t="s">
        <v>761</v>
      </c>
      <c r="F220" t="s">
        <v>767</v>
      </c>
      <c r="G220">
        <v>49808</v>
      </c>
      <c r="H220" t="s">
        <v>763</v>
      </c>
      <c r="I220" t="s">
        <v>768</v>
      </c>
      <c r="J220" t="s">
        <v>765</v>
      </c>
      <c r="K220">
        <v>35405</v>
      </c>
      <c r="L220" t="s">
        <v>33</v>
      </c>
      <c r="M220" t="s">
        <v>34</v>
      </c>
      <c r="N220" t="s">
        <v>33</v>
      </c>
      <c r="O220" t="s">
        <v>25</v>
      </c>
      <c r="P220" t="s">
        <v>266</v>
      </c>
      <c r="Q220" t="s">
        <v>33</v>
      </c>
      <c r="R220" t="s">
        <v>46</v>
      </c>
      <c r="S220">
        <v>0.40699999999999997</v>
      </c>
      <c r="T220" t="s">
        <v>37</v>
      </c>
      <c r="U220">
        <v>10.9</v>
      </c>
      <c r="V220">
        <v>10.9</v>
      </c>
      <c r="W220">
        <v>9.4830000000000005</v>
      </c>
      <c r="X220">
        <v>40.69</v>
      </c>
      <c r="Y220">
        <v>135.72444717444716</v>
      </c>
    </row>
    <row r="221" spans="1:25" x14ac:dyDescent="0.35">
      <c r="A221" t="s">
        <v>25</v>
      </c>
      <c r="B221" t="s">
        <v>769</v>
      </c>
      <c r="C221" t="str">
        <f>VLOOKUP(B221,Tabelle3!A:C,2,FALSE)</f>
        <v>Süd</v>
      </c>
      <c r="D221" t="s">
        <v>27</v>
      </c>
      <c r="E221" t="s">
        <v>761</v>
      </c>
      <c r="F221" t="s">
        <v>54</v>
      </c>
      <c r="G221">
        <v>49808</v>
      </c>
      <c r="H221" t="s">
        <v>763</v>
      </c>
      <c r="I221" t="s">
        <v>768</v>
      </c>
      <c r="J221" t="s">
        <v>765</v>
      </c>
      <c r="K221">
        <v>35405</v>
      </c>
      <c r="L221" t="s">
        <v>33</v>
      </c>
      <c r="M221" t="s">
        <v>34</v>
      </c>
      <c r="N221" t="s">
        <v>33</v>
      </c>
      <c r="O221" t="s">
        <v>25</v>
      </c>
      <c r="P221" t="s">
        <v>87</v>
      </c>
      <c r="Q221" t="s">
        <v>33</v>
      </c>
      <c r="R221" t="s">
        <v>46</v>
      </c>
      <c r="S221">
        <v>0.47</v>
      </c>
      <c r="T221" t="s">
        <v>37</v>
      </c>
      <c r="U221">
        <v>24.88</v>
      </c>
      <c r="V221">
        <v>22.4</v>
      </c>
      <c r="W221">
        <v>19.488</v>
      </c>
      <c r="X221">
        <v>40.69</v>
      </c>
      <c r="Y221">
        <v>117.7326595744681</v>
      </c>
    </row>
    <row r="222" spans="1:25" x14ac:dyDescent="0.35">
      <c r="A222" t="s">
        <v>25</v>
      </c>
      <c r="B222" t="s">
        <v>770</v>
      </c>
      <c r="C222" t="str">
        <f>VLOOKUP(B222,Tabelle3!A:C,2,FALSE)</f>
        <v>Süd</v>
      </c>
      <c r="D222" t="s">
        <v>27</v>
      </c>
      <c r="E222" t="s">
        <v>761</v>
      </c>
      <c r="F222" t="s">
        <v>52</v>
      </c>
      <c r="G222">
        <v>49808</v>
      </c>
      <c r="H222" t="s">
        <v>763</v>
      </c>
      <c r="I222" t="s">
        <v>768</v>
      </c>
      <c r="J222" t="s">
        <v>765</v>
      </c>
      <c r="K222">
        <v>35405</v>
      </c>
      <c r="L222" t="s">
        <v>33</v>
      </c>
      <c r="M222" t="s">
        <v>34</v>
      </c>
      <c r="N222" t="s">
        <v>33</v>
      </c>
      <c r="O222" t="s">
        <v>25</v>
      </c>
      <c r="P222" t="s">
        <v>87</v>
      </c>
      <c r="Q222" t="s">
        <v>33</v>
      </c>
      <c r="R222" t="s">
        <v>46</v>
      </c>
      <c r="S222">
        <v>0.47</v>
      </c>
      <c r="T222" t="s">
        <v>37</v>
      </c>
      <c r="U222">
        <v>24.88</v>
      </c>
      <c r="V222">
        <v>22.7</v>
      </c>
      <c r="W222">
        <v>19.748999999999999</v>
      </c>
      <c r="X222">
        <v>40.69</v>
      </c>
      <c r="Y222">
        <v>117.7326595744681</v>
      </c>
    </row>
    <row r="223" spans="1:25" x14ac:dyDescent="0.35">
      <c r="A223" t="s">
        <v>25</v>
      </c>
      <c r="B223" t="s">
        <v>771</v>
      </c>
      <c r="C223" t="s">
        <v>4081</v>
      </c>
      <c r="D223" t="s">
        <v>27</v>
      </c>
      <c r="E223" t="s">
        <v>772</v>
      </c>
      <c r="F223" t="s">
        <v>773</v>
      </c>
      <c r="G223">
        <v>76855</v>
      </c>
      <c r="H223" t="s">
        <v>774</v>
      </c>
      <c r="I223" t="s">
        <v>775</v>
      </c>
      <c r="J223" t="s">
        <v>712</v>
      </c>
      <c r="K223">
        <v>41942</v>
      </c>
      <c r="L223" t="s">
        <v>33</v>
      </c>
      <c r="M223" t="s">
        <v>34</v>
      </c>
      <c r="N223" t="s">
        <v>33</v>
      </c>
      <c r="O223" t="s">
        <v>25</v>
      </c>
      <c r="P223" t="s">
        <v>50</v>
      </c>
      <c r="Q223" t="s">
        <v>33</v>
      </c>
      <c r="R223" t="s">
        <v>46</v>
      </c>
      <c r="S223">
        <v>0.40039999999999998</v>
      </c>
      <c r="T223" t="s">
        <v>37</v>
      </c>
      <c r="U223">
        <v>10.8</v>
      </c>
      <c r="V223">
        <v>10.8</v>
      </c>
      <c r="W223">
        <v>9.3960000000000008</v>
      </c>
      <c r="X223">
        <v>40.69</v>
      </c>
      <c r="Y223">
        <v>137.93693806193806</v>
      </c>
    </row>
    <row r="224" spans="1:25" x14ac:dyDescent="0.35">
      <c r="A224" t="s">
        <v>25</v>
      </c>
      <c r="B224" t="s">
        <v>776</v>
      </c>
      <c r="C224" t="str">
        <f>VLOOKUP(B224,Tabelle3!A:C,2,FALSE)</f>
        <v>Süd</v>
      </c>
      <c r="D224" t="s">
        <v>27</v>
      </c>
      <c r="E224" t="s">
        <v>115</v>
      </c>
      <c r="F224" t="s">
        <v>777</v>
      </c>
      <c r="G224">
        <v>47809</v>
      </c>
      <c r="H224" t="s">
        <v>778</v>
      </c>
      <c r="I224" t="s">
        <v>779</v>
      </c>
      <c r="J224" t="s">
        <v>693</v>
      </c>
      <c r="K224">
        <v>35246</v>
      </c>
      <c r="L224" t="s">
        <v>33</v>
      </c>
      <c r="M224" t="s">
        <v>34</v>
      </c>
      <c r="N224" t="s">
        <v>33</v>
      </c>
      <c r="O224" t="s">
        <v>25</v>
      </c>
      <c r="P224" t="s">
        <v>137</v>
      </c>
      <c r="Q224" t="s">
        <v>33</v>
      </c>
      <c r="R224" t="s">
        <v>46</v>
      </c>
      <c r="S224">
        <v>0.44059999999999999</v>
      </c>
      <c r="T224" t="s">
        <v>47</v>
      </c>
      <c r="U224">
        <v>14.33</v>
      </c>
      <c r="V224">
        <v>14</v>
      </c>
      <c r="W224">
        <v>12.18</v>
      </c>
      <c r="X224">
        <v>40.69</v>
      </c>
      <c r="Y224">
        <v>125.48853835678619</v>
      </c>
    </row>
    <row r="225" spans="1:25" x14ac:dyDescent="0.35">
      <c r="A225" t="s">
        <v>25</v>
      </c>
      <c r="B225" t="s">
        <v>780</v>
      </c>
      <c r="C225" t="str">
        <f>VLOOKUP(B225,Tabelle3!A:C,2,FALSE)</f>
        <v>Süd</v>
      </c>
      <c r="D225" t="s">
        <v>27</v>
      </c>
      <c r="E225" t="s">
        <v>115</v>
      </c>
      <c r="F225" t="s">
        <v>781</v>
      </c>
      <c r="G225">
        <v>47809</v>
      </c>
      <c r="H225" t="s">
        <v>778</v>
      </c>
      <c r="I225" t="s">
        <v>782</v>
      </c>
      <c r="J225" t="s">
        <v>693</v>
      </c>
      <c r="K225">
        <v>23496</v>
      </c>
      <c r="L225" t="s">
        <v>33</v>
      </c>
      <c r="M225" t="s">
        <v>34</v>
      </c>
      <c r="N225" t="s">
        <v>33</v>
      </c>
      <c r="O225" t="s">
        <v>25</v>
      </c>
      <c r="P225" t="s">
        <v>50</v>
      </c>
      <c r="Q225" t="s">
        <v>33</v>
      </c>
      <c r="R225" t="s">
        <v>46</v>
      </c>
      <c r="S225">
        <v>0.38390000000000002</v>
      </c>
      <c r="T225" t="s">
        <v>47</v>
      </c>
      <c r="U225">
        <v>26.774999999999999</v>
      </c>
      <c r="V225">
        <v>25.713999999999999</v>
      </c>
      <c r="W225">
        <v>22.371179999999999</v>
      </c>
      <c r="X225">
        <v>40.69</v>
      </c>
      <c r="Y225">
        <v>143.80098984110444</v>
      </c>
    </row>
    <row r="226" spans="1:25" x14ac:dyDescent="0.35">
      <c r="A226" t="s">
        <v>25</v>
      </c>
      <c r="B226" t="s">
        <v>783</v>
      </c>
      <c r="C226" t="s">
        <v>4081</v>
      </c>
      <c r="D226" t="s">
        <v>27</v>
      </c>
      <c r="E226" t="s">
        <v>784</v>
      </c>
      <c r="F226" t="s">
        <v>785</v>
      </c>
      <c r="G226">
        <v>51373</v>
      </c>
      <c r="H226" t="s">
        <v>716</v>
      </c>
      <c r="I226" t="s">
        <v>786</v>
      </c>
      <c r="J226" t="s">
        <v>693</v>
      </c>
      <c r="K226">
        <v>33540</v>
      </c>
      <c r="L226" t="s">
        <v>92</v>
      </c>
      <c r="M226" t="s">
        <v>93</v>
      </c>
      <c r="N226" t="s">
        <v>92</v>
      </c>
      <c r="O226" t="s">
        <v>25</v>
      </c>
      <c r="P226" t="s">
        <v>266</v>
      </c>
      <c r="Q226" t="s">
        <v>92</v>
      </c>
      <c r="R226" t="s">
        <v>92</v>
      </c>
      <c r="S226">
        <v>0.33</v>
      </c>
      <c r="T226" t="s">
        <v>47</v>
      </c>
      <c r="U226">
        <v>13.4</v>
      </c>
      <c r="V226">
        <v>12.670999999999999</v>
      </c>
      <c r="W226">
        <v>10.136800000000001</v>
      </c>
      <c r="X226">
        <v>15.55</v>
      </c>
      <c r="Y226">
        <v>119.24227272727272</v>
      </c>
    </row>
    <row r="227" spans="1:25" x14ac:dyDescent="0.35">
      <c r="A227" t="s">
        <v>25</v>
      </c>
      <c r="B227" t="s">
        <v>787</v>
      </c>
      <c r="C227" t="s">
        <v>4081</v>
      </c>
      <c r="D227" t="s">
        <v>27</v>
      </c>
      <c r="E227" t="s">
        <v>784</v>
      </c>
      <c r="F227" t="s">
        <v>788</v>
      </c>
      <c r="G227">
        <v>51373</v>
      </c>
      <c r="H227" t="s">
        <v>716</v>
      </c>
      <c r="I227" t="s">
        <v>786</v>
      </c>
      <c r="J227" t="s">
        <v>693</v>
      </c>
      <c r="K227">
        <v>32717</v>
      </c>
      <c r="L227" t="s">
        <v>92</v>
      </c>
      <c r="M227" t="s">
        <v>93</v>
      </c>
      <c r="N227" t="s">
        <v>92</v>
      </c>
      <c r="O227" t="s">
        <v>25</v>
      </c>
      <c r="P227" t="s">
        <v>266</v>
      </c>
      <c r="Q227" t="s">
        <v>92</v>
      </c>
      <c r="R227" t="s">
        <v>92</v>
      </c>
      <c r="S227">
        <v>0.33</v>
      </c>
      <c r="T227" t="s">
        <v>47</v>
      </c>
      <c r="U227">
        <v>13.4</v>
      </c>
      <c r="V227">
        <v>12.670999999999999</v>
      </c>
      <c r="W227">
        <v>10.136800000000001</v>
      </c>
      <c r="X227">
        <v>15.55</v>
      </c>
      <c r="Y227">
        <v>119.24227272727272</v>
      </c>
    </row>
    <row r="228" spans="1:25" x14ac:dyDescent="0.35">
      <c r="A228" t="s">
        <v>25</v>
      </c>
      <c r="B228" t="s">
        <v>789</v>
      </c>
      <c r="C228" t="str">
        <f>VLOOKUP(B228,Tabelle3!A:C,2,FALSE)</f>
        <v>Süd</v>
      </c>
      <c r="D228" t="s">
        <v>27</v>
      </c>
      <c r="E228" t="s">
        <v>784</v>
      </c>
      <c r="F228" t="s">
        <v>790</v>
      </c>
      <c r="G228">
        <v>47829</v>
      </c>
      <c r="H228" t="s">
        <v>778</v>
      </c>
      <c r="I228" t="s">
        <v>791</v>
      </c>
      <c r="J228" t="s">
        <v>693</v>
      </c>
      <c r="K228">
        <v>24656</v>
      </c>
      <c r="L228" t="s">
        <v>33</v>
      </c>
      <c r="M228" t="s">
        <v>34</v>
      </c>
      <c r="N228" t="s">
        <v>33</v>
      </c>
      <c r="O228" t="s">
        <v>25</v>
      </c>
      <c r="P228" t="s">
        <v>266</v>
      </c>
      <c r="Q228" t="s">
        <v>33</v>
      </c>
      <c r="R228" t="s">
        <v>46</v>
      </c>
      <c r="S228">
        <v>0.35249999999999998</v>
      </c>
      <c r="T228" t="s">
        <v>47</v>
      </c>
      <c r="U228">
        <v>14.9</v>
      </c>
      <c r="V228">
        <v>13.3</v>
      </c>
      <c r="W228">
        <v>11.571</v>
      </c>
      <c r="X228">
        <v>40.69</v>
      </c>
      <c r="Y228">
        <v>156.47687943262412</v>
      </c>
    </row>
    <row r="229" spans="1:25" x14ac:dyDescent="0.35">
      <c r="A229" t="s">
        <v>25</v>
      </c>
      <c r="B229" t="s">
        <v>792</v>
      </c>
      <c r="C229" t="s">
        <v>4081</v>
      </c>
      <c r="D229" t="s">
        <v>27</v>
      </c>
      <c r="E229" t="s">
        <v>784</v>
      </c>
      <c r="F229" t="s">
        <v>793</v>
      </c>
      <c r="G229">
        <v>47829</v>
      </c>
      <c r="H229" t="s">
        <v>778</v>
      </c>
      <c r="I229" t="s">
        <v>791</v>
      </c>
      <c r="J229" t="s">
        <v>693</v>
      </c>
      <c r="K229">
        <v>23438</v>
      </c>
      <c r="L229" t="s">
        <v>92</v>
      </c>
      <c r="M229" t="s">
        <v>93</v>
      </c>
      <c r="N229" t="s">
        <v>92</v>
      </c>
      <c r="O229" t="s">
        <v>25</v>
      </c>
      <c r="P229" t="s">
        <v>50</v>
      </c>
      <c r="Q229" t="s">
        <v>92</v>
      </c>
      <c r="R229" t="s">
        <v>92</v>
      </c>
      <c r="S229">
        <v>0.35249999999999998</v>
      </c>
      <c r="T229" t="s">
        <v>47</v>
      </c>
      <c r="U229">
        <v>15.91</v>
      </c>
      <c r="V229">
        <v>15.2</v>
      </c>
      <c r="W229">
        <v>12.16</v>
      </c>
      <c r="X229">
        <v>15.55</v>
      </c>
      <c r="Y229">
        <v>111.7140425531915</v>
      </c>
    </row>
    <row r="230" spans="1:25" x14ac:dyDescent="0.35">
      <c r="A230" t="s">
        <v>25</v>
      </c>
      <c r="B230" t="s">
        <v>794</v>
      </c>
      <c r="C230" t="s">
        <v>4081</v>
      </c>
      <c r="D230" t="s">
        <v>27</v>
      </c>
      <c r="E230" t="s">
        <v>784</v>
      </c>
      <c r="F230" t="s">
        <v>795</v>
      </c>
      <c r="G230">
        <v>47829</v>
      </c>
      <c r="H230" t="s">
        <v>778</v>
      </c>
      <c r="I230" t="s">
        <v>791</v>
      </c>
      <c r="J230" t="s">
        <v>693</v>
      </c>
      <c r="K230">
        <v>34318</v>
      </c>
      <c r="L230" t="s">
        <v>92</v>
      </c>
      <c r="M230" t="s">
        <v>93</v>
      </c>
      <c r="N230" t="s">
        <v>92</v>
      </c>
      <c r="O230" t="s">
        <v>25</v>
      </c>
      <c r="P230" t="s">
        <v>50</v>
      </c>
      <c r="Q230" t="s">
        <v>92</v>
      </c>
      <c r="R230" t="s">
        <v>92</v>
      </c>
      <c r="S230">
        <v>0.3175</v>
      </c>
      <c r="T230" t="s">
        <v>47</v>
      </c>
      <c r="U230">
        <v>18.2</v>
      </c>
      <c r="V230">
        <v>17.097000000000001</v>
      </c>
      <c r="W230">
        <v>13.677600000000002</v>
      </c>
      <c r="X230">
        <v>15.55</v>
      </c>
      <c r="Y230">
        <v>123.88566929133857</v>
      </c>
    </row>
    <row r="231" spans="1:25" x14ac:dyDescent="0.35">
      <c r="A231" t="s">
        <v>25</v>
      </c>
      <c r="B231" t="s">
        <v>796</v>
      </c>
      <c r="C231" t="s">
        <v>4081</v>
      </c>
      <c r="D231" t="s">
        <v>27</v>
      </c>
      <c r="E231" t="s">
        <v>784</v>
      </c>
      <c r="F231" t="s">
        <v>797</v>
      </c>
      <c r="G231">
        <v>51373</v>
      </c>
      <c r="H231" t="s">
        <v>716</v>
      </c>
      <c r="I231" t="s">
        <v>786</v>
      </c>
      <c r="J231" t="s">
        <v>693</v>
      </c>
      <c r="K231">
        <v>21186</v>
      </c>
      <c r="L231" t="s">
        <v>92</v>
      </c>
      <c r="M231" t="s">
        <v>93</v>
      </c>
      <c r="N231" t="s">
        <v>92</v>
      </c>
      <c r="O231" t="s">
        <v>25</v>
      </c>
      <c r="P231" t="s">
        <v>266</v>
      </c>
      <c r="Q231" t="s">
        <v>92</v>
      </c>
      <c r="R231" t="s">
        <v>92</v>
      </c>
      <c r="S231">
        <v>0.33</v>
      </c>
      <c r="T231" t="s">
        <v>47</v>
      </c>
      <c r="U231">
        <v>18</v>
      </c>
      <c r="V231">
        <v>17.234999999999999</v>
      </c>
      <c r="W231">
        <v>13.788</v>
      </c>
      <c r="X231">
        <v>15.55</v>
      </c>
      <c r="Y231">
        <v>119.24227272727272</v>
      </c>
    </row>
    <row r="232" spans="1:25" x14ac:dyDescent="0.35">
      <c r="A232" t="s">
        <v>25</v>
      </c>
      <c r="B232" t="s">
        <v>798</v>
      </c>
      <c r="C232" t="s">
        <v>4081</v>
      </c>
      <c r="D232" t="s">
        <v>27</v>
      </c>
      <c r="E232" t="s">
        <v>784</v>
      </c>
      <c r="F232" t="s">
        <v>799</v>
      </c>
      <c r="G232">
        <v>51373</v>
      </c>
      <c r="H232" t="s">
        <v>716</v>
      </c>
      <c r="I232" t="s">
        <v>786</v>
      </c>
      <c r="J232" t="s">
        <v>693</v>
      </c>
      <c r="K232">
        <v>20387</v>
      </c>
      <c r="L232" t="s">
        <v>92</v>
      </c>
      <c r="M232" t="s">
        <v>93</v>
      </c>
      <c r="N232" t="s">
        <v>92</v>
      </c>
      <c r="O232" t="s">
        <v>25</v>
      </c>
      <c r="P232" t="s">
        <v>266</v>
      </c>
      <c r="Q232" t="s">
        <v>92</v>
      </c>
      <c r="R232" t="s">
        <v>92</v>
      </c>
      <c r="S232">
        <v>0.33</v>
      </c>
      <c r="T232" t="s">
        <v>47</v>
      </c>
      <c r="U232">
        <v>20</v>
      </c>
      <c r="V232">
        <v>19.234999999999999</v>
      </c>
      <c r="W232">
        <v>15.388</v>
      </c>
      <c r="X232">
        <v>15.55</v>
      </c>
      <c r="Y232">
        <v>119.24227272727272</v>
      </c>
    </row>
    <row r="233" spans="1:25" x14ac:dyDescent="0.35">
      <c r="A233" t="s">
        <v>25</v>
      </c>
      <c r="B233" t="s">
        <v>800</v>
      </c>
      <c r="C233" t="str">
        <f>VLOOKUP(B233,Tabelle3!A:C,2,FALSE)</f>
        <v>Süd</v>
      </c>
      <c r="D233" t="s">
        <v>27</v>
      </c>
      <c r="E233" t="s">
        <v>784</v>
      </c>
      <c r="F233" t="s">
        <v>801</v>
      </c>
      <c r="G233">
        <v>51373</v>
      </c>
      <c r="H233" t="s">
        <v>716</v>
      </c>
      <c r="I233" t="s">
        <v>786</v>
      </c>
      <c r="J233" t="s">
        <v>693</v>
      </c>
      <c r="K233">
        <v>29646</v>
      </c>
      <c r="L233" t="s">
        <v>33</v>
      </c>
      <c r="M233" t="s">
        <v>34</v>
      </c>
      <c r="N233" t="s">
        <v>33</v>
      </c>
      <c r="O233" t="s">
        <v>25</v>
      </c>
      <c r="P233" t="s">
        <v>87</v>
      </c>
      <c r="Q233" t="s">
        <v>33</v>
      </c>
      <c r="R233" t="s">
        <v>46</v>
      </c>
      <c r="S233">
        <v>0.36409999999999998</v>
      </c>
      <c r="T233" t="s">
        <v>47</v>
      </c>
      <c r="U233">
        <v>25.6</v>
      </c>
      <c r="V233">
        <v>25</v>
      </c>
      <c r="W233">
        <v>21.75</v>
      </c>
      <c r="X233">
        <v>40.69</v>
      </c>
      <c r="Y233">
        <v>151.53941224938202</v>
      </c>
    </row>
    <row r="234" spans="1:25" x14ac:dyDescent="0.35">
      <c r="A234" t="s">
        <v>25</v>
      </c>
      <c r="B234" t="s">
        <v>802</v>
      </c>
      <c r="C234" t="str">
        <f>VLOOKUP(B234,Tabelle3!A:C,2,FALSE)</f>
        <v>Süd</v>
      </c>
      <c r="D234" t="s">
        <v>27</v>
      </c>
      <c r="E234" t="s">
        <v>784</v>
      </c>
      <c r="F234" t="s">
        <v>803</v>
      </c>
      <c r="G234">
        <v>51373</v>
      </c>
      <c r="H234" t="s">
        <v>716</v>
      </c>
      <c r="I234" t="s">
        <v>786</v>
      </c>
      <c r="J234" t="s">
        <v>693</v>
      </c>
      <c r="K234">
        <v>26186</v>
      </c>
      <c r="L234" t="s">
        <v>33</v>
      </c>
      <c r="M234" t="s">
        <v>34</v>
      </c>
      <c r="N234" t="s">
        <v>33</v>
      </c>
      <c r="O234" t="s">
        <v>25</v>
      </c>
      <c r="P234" t="s">
        <v>266</v>
      </c>
      <c r="Q234" t="s">
        <v>33</v>
      </c>
      <c r="R234" t="s">
        <v>46</v>
      </c>
      <c r="S234">
        <v>0.33</v>
      </c>
      <c r="T234" t="s">
        <v>47</v>
      </c>
      <c r="U234">
        <v>29</v>
      </c>
      <c r="V234">
        <v>27.47</v>
      </c>
      <c r="W234">
        <v>23.898899999999998</v>
      </c>
      <c r="X234">
        <v>40.69</v>
      </c>
      <c r="Y234">
        <v>167.04348484848484</v>
      </c>
    </row>
    <row r="235" spans="1:25" x14ac:dyDescent="0.35">
      <c r="A235" t="s">
        <v>25</v>
      </c>
      <c r="B235" t="s">
        <v>804</v>
      </c>
      <c r="C235" t="str">
        <f>VLOOKUP(B235,Tabelle3!A:C,2,FALSE)</f>
        <v>Süd</v>
      </c>
      <c r="D235" t="s">
        <v>27</v>
      </c>
      <c r="E235" t="s">
        <v>784</v>
      </c>
      <c r="F235" t="s">
        <v>805</v>
      </c>
      <c r="G235">
        <v>47829</v>
      </c>
      <c r="H235" t="s">
        <v>778</v>
      </c>
      <c r="I235" t="s">
        <v>791</v>
      </c>
      <c r="J235" t="s">
        <v>693</v>
      </c>
      <c r="K235">
        <v>24656</v>
      </c>
      <c r="L235" t="s">
        <v>33</v>
      </c>
      <c r="M235" t="s">
        <v>34</v>
      </c>
      <c r="N235" t="s">
        <v>33</v>
      </c>
      <c r="O235" t="s">
        <v>25</v>
      </c>
      <c r="P235" t="s">
        <v>50</v>
      </c>
      <c r="Q235" t="s">
        <v>33</v>
      </c>
      <c r="R235" t="s">
        <v>46</v>
      </c>
      <c r="S235">
        <v>0.35249999999999998</v>
      </c>
      <c r="T235" t="s">
        <v>47</v>
      </c>
      <c r="U235">
        <v>29.7</v>
      </c>
      <c r="V235">
        <v>29</v>
      </c>
      <c r="W235">
        <v>25.23</v>
      </c>
      <c r="X235">
        <v>40.69</v>
      </c>
      <c r="Y235">
        <v>156.47687943262412</v>
      </c>
    </row>
    <row r="236" spans="1:25" x14ac:dyDescent="0.35">
      <c r="A236" t="s">
        <v>25</v>
      </c>
      <c r="B236" t="s">
        <v>806</v>
      </c>
      <c r="C236" t="str">
        <f>VLOOKUP(B236,Tabelle3!A:C,2,FALSE)</f>
        <v>Süd</v>
      </c>
      <c r="D236" t="s">
        <v>27</v>
      </c>
      <c r="E236" t="s">
        <v>784</v>
      </c>
      <c r="F236" t="s">
        <v>807</v>
      </c>
      <c r="G236">
        <v>47829</v>
      </c>
      <c r="H236" t="s">
        <v>778</v>
      </c>
      <c r="I236" t="s">
        <v>791</v>
      </c>
      <c r="J236" t="s">
        <v>693</v>
      </c>
      <c r="K236">
        <v>25948</v>
      </c>
      <c r="L236" t="s">
        <v>33</v>
      </c>
      <c r="M236" t="s">
        <v>34</v>
      </c>
      <c r="N236" t="s">
        <v>33</v>
      </c>
      <c r="O236" t="s">
        <v>25</v>
      </c>
      <c r="P236" t="s">
        <v>50</v>
      </c>
      <c r="Q236" t="s">
        <v>33</v>
      </c>
      <c r="R236" t="s">
        <v>46</v>
      </c>
      <c r="S236">
        <v>0.35249999999999998</v>
      </c>
      <c r="T236" t="s">
        <v>47</v>
      </c>
      <c r="U236">
        <v>33</v>
      </c>
      <c r="V236">
        <v>32.200000000000003</v>
      </c>
      <c r="W236">
        <v>28.014000000000003</v>
      </c>
      <c r="X236">
        <v>40.69</v>
      </c>
      <c r="Y236">
        <v>156.47687943262412</v>
      </c>
    </row>
    <row r="237" spans="1:25" x14ac:dyDescent="0.35">
      <c r="A237" t="s">
        <v>25</v>
      </c>
      <c r="B237" t="s">
        <v>808</v>
      </c>
      <c r="C237" t="str">
        <f>VLOOKUP(B237,Tabelle3!A:C,2,FALSE)</f>
        <v>Süd</v>
      </c>
      <c r="D237" t="s">
        <v>27</v>
      </c>
      <c r="E237" t="s">
        <v>809</v>
      </c>
      <c r="F237" t="s">
        <v>810</v>
      </c>
      <c r="G237">
        <v>50354</v>
      </c>
      <c r="H237" t="s">
        <v>811</v>
      </c>
      <c r="I237" t="s">
        <v>812</v>
      </c>
      <c r="J237" t="s">
        <v>693</v>
      </c>
      <c r="K237">
        <v>39814</v>
      </c>
      <c r="L237" t="s">
        <v>171</v>
      </c>
      <c r="M237" t="s">
        <v>293</v>
      </c>
      <c r="N237" t="s">
        <v>173</v>
      </c>
      <c r="O237" t="s">
        <v>44</v>
      </c>
      <c r="P237" t="s">
        <v>45</v>
      </c>
      <c r="Q237" t="s">
        <v>173</v>
      </c>
      <c r="R237" t="s">
        <v>173</v>
      </c>
      <c r="S237">
        <v>0.33</v>
      </c>
      <c r="T237" t="s">
        <v>47</v>
      </c>
      <c r="U237">
        <v>33.42</v>
      </c>
      <c r="V237">
        <v>29.9</v>
      </c>
      <c r="W237">
        <v>25.414999999999999</v>
      </c>
      <c r="X237">
        <v>0</v>
      </c>
      <c r="Y237">
        <v>1</v>
      </c>
    </row>
    <row r="238" spans="1:25" x14ac:dyDescent="0.35">
      <c r="A238" t="s">
        <v>25</v>
      </c>
      <c r="B238" t="s">
        <v>813</v>
      </c>
      <c r="C238" t="str">
        <f>VLOOKUP(B238,Tabelle3!A:C,2,FALSE)</f>
        <v>Süd</v>
      </c>
      <c r="D238" t="s">
        <v>27</v>
      </c>
      <c r="E238" t="s">
        <v>814</v>
      </c>
      <c r="F238" t="s">
        <v>815</v>
      </c>
      <c r="G238">
        <v>66954</v>
      </c>
      <c r="H238" t="s">
        <v>816</v>
      </c>
      <c r="I238" t="s">
        <v>817</v>
      </c>
      <c r="J238" t="s">
        <v>712</v>
      </c>
      <c r="K238">
        <v>44865</v>
      </c>
      <c r="L238" t="s">
        <v>171</v>
      </c>
      <c r="M238" t="s">
        <v>172</v>
      </c>
      <c r="N238" t="s">
        <v>173</v>
      </c>
      <c r="O238" t="s">
        <v>25</v>
      </c>
      <c r="P238" t="s">
        <v>82</v>
      </c>
      <c r="Q238" t="s">
        <v>173</v>
      </c>
      <c r="R238" t="s">
        <v>173</v>
      </c>
      <c r="S238">
        <v>0.33</v>
      </c>
      <c r="T238" t="s">
        <v>47</v>
      </c>
      <c r="U238">
        <v>19.149999999999999</v>
      </c>
      <c r="V238">
        <v>16.399999999999999</v>
      </c>
      <c r="W238">
        <v>13.939999999999998</v>
      </c>
      <c r="X238">
        <v>0</v>
      </c>
      <c r="Y238">
        <v>1</v>
      </c>
    </row>
    <row r="239" spans="1:25" x14ac:dyDescent="0.35">
      <c r="A239" t="s">
        <v>25</v>
      </c>
      <c r="B239" t="s">
        <v>818</v>
      </c>
      <c r="C239" t="s">
        <v>4081</v>
      </c>
      <c r="D239" t="s">
        <v>27</v>
      </c>
      <c r="E239" t="s">
        <v>819</v>
      </c>
      <c r="F239" t="s">
        <v>820</v>
      </c>
      <c r="G239">
        <v>66538</v>
      </c>
      <c r="H239" t="s">
        <v>821</v>
      </c>
      <c r="I239" t="s">
        <v>822</v>
      </c>
      <c r="J239" t="s">
        <v>823</v>
      </c>
      <c r="K239">
        <v>44986</v>
      </c>
      <c r="L239" t="s">
        <v>171</v>
      </c>
      <c r="M239" t="s">
        <v>172</v>
      </c>
      <c r="N239" t="s">
        <v>173</v>
      </c>
      <c r="O239" t="s">
        <v>25</v>
      </c>
      <c r="P239" t="s">
        <v>82</v>
      </c>
      <c r="Q239" t="s">
        <v>173</v>
      </c>
      <c r="R239" t="s">
        <v>173</v>
      </c>
      <c r="S239">
        <v>0.33</v>
      </c>
      <c r="T239" t="s">
        <v>47</v>
      </c>
      <c r="U239">
        <v>13.5</v>
      </c>
      <c r="V239">
        <v>11</v>
      </c>
      <c r="W239">
        <v>9.35</v>
      </c>
      <c r="X239">
        <v>0</v>
      </c>
      <c r="Y239">
        <v>1</v>
      </c>
    </row>
    <row r="240" spans="1:25" x14ac:dyDescent="0.35">
      <c r="A240" t="s">
        <v>25</v>
      </c>
      <c r="B240" t="s">
        <v>824</v>
      </c>
      <c r="C240" t="str">
        <f>VLOOKUP(B240,Tabelle3!A:C,2,FALSE)</f>
        <v>Süd</v>
      </c>
      <c r="D240" t="s">
        <v>27</v>
      </c>
      <c r="E240" t="s">
        <v>825</v>
      </c>
      <c r="F240" t="s">
        <v>826</v>
      </c>
      <c r="G240">
        <v>42349</v>
      </c>
      <c r="H240" t="s">
        <v>827</v>
      </c>
      <c r="I240" t="s">
        <v>828</v>
      </c>
      <c r="J240" t="s">
        <v>693</v>
      </c>
      <c r="K240">
        <v>27760</v>
      </c>
      <c r="L240" t="s">
        <v>171</v>
      </c>
      <c r="M240" t="s">
        <v>172</v>
      </c>
      <c r="N240" t="s">
        <v>173</v>
      </c>
      <c r="O240" t="s">
        <v>25</v>
      </c>
      <c r="P240" t="s">
        <v>82</v>
      </c>
      <c r="Q240" t="s">
        <v>173</v>
      </c>
      <c r="R240" t="s">
        <v>173</v>
      </c>
      <c r="S240">
        <v>0.33</v>
      </c>
      <c r="T240" t="s">
        <v>47</v>
      </c>
      <c r="U240">
        <v>20</v>
      </c>
      <c r="V240">
        <v>20</v>
      </c>
      <c r="W240">
        <v>17</v>
      </c>
      <c r="X240">
        <v>0</v>
      </c>
      <c r="Y240">
        <v>1</v>
      </c>
    </row>
    <row r="241" spans="1:25" x14ac:dyDescent="0.35">
      <c r="A241" t="s">
        <v>25</v>
      </c>
      <c r="B241" t="s">
        <v>829</v>
      </c>
      <c r="C241" t="str">
        <f>VLOOKUP(B241,Tabelle3!A:C,2,FALSE)</f>
        <v>Süd</v>
      </c>
      <c r="D241" t="s">
        <v>27</v>
      </c>
      <c r="E241" t="s">
        <v>825</v>
      </c>
      <c r="F241" t="s">
        <v>830</v>
      </c>
      <c r="G241">
        <v>42349</v>
      </c>
      <c r="H241" t="s">
        <v>827</v>
      </c>
      <c r="I241" t="s">
        <v>828</v>
      </c>
      <c r="J241" t="s">
        <v>693</v>
      </c>
      <c r="K241">
        <v>27760</v>
      </c>
      <c r="L241" t="s">
        <v>171</v>
      </c>
      <c r="M241" t="s">
        <v>172</v>
      </c>
      <c r="N241" t="s">
        <v>173</v>
      </c>
      <c r="O241" t="s">
        <v>25</v>
      </c>
      <c r="P241" t="s">
        <v>82</v>
      </c>
      <c r="Q241" t="s">
        <v>173</v>
      </c>
      <c r="R241" t="s">
        <v>173</v>
      </c>
      <c r="S241">
        <v>0.33</v>
      </c>
      <c r="T241" t="s">
        <v>47</v>
      </c>
      <c r="U241">
        <v>20</v>
      </c>
      <c r="V241">
        <v>20</v>
      </c>
      <c r="W241">
        <v>17</v>
      </c>
      <c r="X241">
        <v>0</v>
      </c>
      <c r="Y241">
        <v>1</v>
      </c>
    </row>
    <row r="242" spans="1:25" x14ac:dyDescent="0.35">
      <c r="A242" t="s">
        <v>25</v>
      </c>
      <c r="B242" t="s">
        <v>831</v>
      </c>
      <c r="C242" t="str">
        <f>VLOOKUP(B242,Tabelle3!A:C,2,FALSE)</f>
        <v>Süd</v>
      </c>
      <c r="D242" t="s">
        <v>27</v>
      </c>
      <c r="E242" t="s">
        <v>832</v>
      </c>
      <c r="F242" t="s">
        <v>833</v>
      </c>
      <c r="G242">
        <v>66121</v>
      </c>
      <c r="H242" t="s">
        <v>834</v>
      </c>
      <c r="I242" t="s">
        <v>835</v>
      </c>
      <c r="J242" t="s">
        <v>823</v>
      </c>
      <c r="K242">
        <v>40756</v>
      </c>
      <c r="L242" t="s">
        <v>33</v>
      </c>
      <c r="M242" t="s">
        <v>34</v>
      </c>
      <c r="N242" t="s">
        <v>33</v>
      </c>
      <c r="O242" t="s">
        <v>25</v>
      </c>
      <c r="P242" t="s">
        <v>82</v>
      </c>
      <c r="Q242" t="s">
        <v>33</v>
      </c>
      <c r="R242" t="s">
        <v>46</v>
      </c>
      <c r="S242">
        <v>0.58499999999999996</v>
      </c>
      <c r="T242" t="s">
        <v>37</v>
      </c>
      <c r="U242">
        <v>34.6</v>
      </c>
      <c r="V242">
        <v>34</v>
      </c>
      <c r="W242">
        <v>29.58</v>
      </c>
      <c r="X242">
        <v>40.69</v>
      </c>
      <c r="Y242">
        <v>94.883504273504272</v>
      </c>
    </row>
    <row r="243" spans="1:25" x14ac:dyDescent="0.35">
      <c r="A243" t="s">
        <v>25</v>
      </c>
      <c r="B243" t="s">
        <v>836</v>
      </c>
      <c r="C243" t="str">
        <f>VLOOKUP(B243,Tabelle3!A:C,2,FALSE)</f>
        <v>Süd</v>
      </c>
      <c r="D243" t="s">
        <v>27</v>
      </c>
      <c r="E243" t="s">
        <v>832</v>
      </c>
      <c r="F243" t="s">
        <v>837</v>
      </c>
      <c r="G243">
        <v>66121</v>
      </c>
      <c r="H243" t="s">
        <v>834</v>
      </c>
      <c r="I243" t="s">
        <v>835</v>
      </c>
      <c r="J243" t="s">
        <v>823</v>
      </c>
      <c r="K243">
        <v>38353</v>
      </c>
      <c r="L243" t="s">
        <v>33</v>
      </c>
      <c r="M243" t="s">
        <v>34</v>
      </c>
      <c r="N243" t="s">
        <v>33</v>
      </c>
      <c r="O243" t="s">
        <v>25</v>
      </c>
      <c r="P243" t="s">
        <v>87</v>
      </c>
      <c r="Q243" t="s">
        <v>33</v>
      </c>
      <c r="R243" t="s">
        <v>46</v>
      </c>
      <c r="S243">
        <v>0.5625</v>
      </c>
      <c r="T243" t="s">
        <v>47</v>
      </c>
      <c r="U243">
        <v>41</v>
      </c>
      <c r="V243">
        <v>40</v>
      </c>
      <c r="W243">
        <v>34.799999999999997</v>
      </c>
      <c r="X243">
        <v>40.69</v>
      </c>
      <c r="Y243">
        <v>98.618844444444434</v>
      </c>
    </row>
    <row r="244" spans="1:25" x14ac:dyDescent="0.35">
      <c r="A244" t="s">
        <v>25</v>
      </c>
      <c r="B244" t="s">
        <v>838</v>
      </c>
      <c r="C244" t="str">
        <f>VLOOKUP(B244,Tabelle3!A:C,2,FALSE)</f>
        <v>Süd</v>
      </c>
      <c r="D244" t="s">
        <v>27</v>
      </c>
      <c r="E244" t="s">
        <v>832</v>
      </c>
      <c r="F244" t="s">
        <v>839</v>
      </c>
      <c r="G244">
        <v>66121</v>
      </c>
      <c r="H244" t="s">
        <v>834</v>
      </c>
      <c r="I244" t="s">
        <v>840</v>
      </c>
      <c r="J244" t="s">
        <v>823</v>
      </c>
      <c r="K244">
        <v>44743</v>
      </c>
      <c r="L244" t="s">
        <v>33</v>
      </c>
      <c r="M244" t="s">
        <v>34</v>
      </c>
      <c r="N244" t="s">
        <v>33</v>
      </c>
      <c r="O244" t="s">
        <v>25</v>
      </c>
      <c r="P244" t="s">
        <v>137</v>
      </c>
      <c r="Q244" t="s">
        <v>33</v>
      </c>
      <c r="R244" t="s">
        <v>46</v>
      </c>
      <c r="S244">
        <v>0.63</v>
      </c>
      <c r="T244" t="s">
        <v>37</v>
      </c>
      <c r="U244">
        <v>53.109000000000002</v>
      </c>
      <c r="V244">
        <v>52.496000000000002</v>
      </c>
      <c r="W244">
        <v>45.671520000000001</v>
      </c>
      <c r="X244">
        <v>40.69</v>
      </c>
      <c r="Y244">
        <v>88.213253968253966</v>
      </c>
    </row>
    <row r="245" spans="1:25" x14ac:dyDescent="0.35">
      <c r="A245" t="s">
        <v>25</v>
      </c>
      <c r="B245" t="s">
        <v>841</v>
      </c>
      <c r="C245" t="str">
        <f>VLOOKUP(B245,Tabelle3!A:C,2,FALSE)</f>
        <v>Süd</v>
      </c>
      <c r="D245" t="s">
        <v>27</v>
      </c>
      <c r="E245" t="s">
        <v>832</v>
      </c>
      <c r="F245" t="s">
        <v>842</v>
      </c>
      <c r="G245">
        <v>66121</v>
      </c>
      <c r="H245" t="s">
        <v>834</v>
      </c>
      <c r="I245" t="s">
        <v>835</v>
      </c>
      <c r="J245" t="s">
        <v>823</v>
      </c>
      <c r="K245">
        <v>32321</v>
      </c>
      <c r="L245" t="s">
        <v>33</v>
      </c>
      <c r="M245" t="s">
        <v>34</v>
      </c>
      <c r="N245" t="s">
        <v>33</v>
      </c>
      <c r="O245" t="s">
        <v>25</v>
      </c>
      <c r="P245" t="s">
        <v>82</v>
      </c>
      <c r="Q245" t="s">
        <v>33</v>
      </c>
      <c r="R245" t="s">
        <v>46</v>
      </c>
      <c r="S245">
        <v>0.42</v>
      </c>
      <c r="T245" t="s">
        <v>47</v>
      </c>
      <c r="U245">
        <v>56</v>
      </c>
      <c r="V245">
        <v>53</v>
      </c>
      <c r="W245">
        <v>46.11</v>
      </c>
      <c r="X245">
        <v>40.69</v>
      </c>
      <c r="Y245">
        <v>131.56988095238094</v>
      </c>
    </row>
    <row r="246" spans="1:25" x14ac:dyDescent="0.35">
      <c r="A246" t="s">
        <v>25</v>
      </c>
      <c r="B246" t="s">
        <v>843</v>
      </c>
      <c r="C246" t="str">
        <f>VLOOKUP(B246,Tabelle3!A:C,2,FALSE)</f>
        <v>Süd</v>
      </c>
      <c r="D246" t="s">
        <v>27</v>
      </c>
      <c r="E246" t="s">
        <v>844</v>
      </c>
      <c r="F246" t="s">
        <v>845</v>
      </c>
      <c r="G246">
        <v>53115</v>
      </c>
      <c r="H246" t="s">
        <v>846</v>
      </c>
      <c r="I246" t="s">
        <v>847</v>
      </c>
      <c r="J246" t="s">
        <v>693</v>
      </c>
      <c r="K246">
        <v>33329</v>
      </c>
      <c r="L246" t="s">
        <v>69</v>
      </c>
      <c r="M246" t="s">
        <v>70</v>
      </c>
      <c r="N246" t="s">
        <v>69</v>
      </c>
      <c r="O246" t="s">
        <v>25</v>
      </c>
      <c r="P246" t="s">
        <v>82</v>
      </c>
      <c r="Q246" t="s">
        <v>71</v>
      </c>
      <c r="R246" t="s">
        <v>71</v>
      </c>
      <c r="S246">
        <v>0.33</v>
      </c>
      <c r="T246" t="s">
        <v>47</v>
      </c>
      <c r="U246">
        <v>14.12</v>
      </c>
      <c r="V246">
        <v>12.12</v>
      </c>
      <c r="W246">
        <v>10.302</v>
      </c>
      <c r="X246">
        <v>95.59</v>
      </c>
      <c r="Y246">
        <v>335.6390909090909</v>
      </c>
    </row>
    <row r="247" spans="1:25" x14ac:dyDescent="0.35">
      <c r="A247" t="s">
        <v>25</v>
      </c>
      <c r="B247" t="s">
        <v>848</v>
      </c>
      <c r="C247" t="str">
        <f>VLOOKUP(B247,Tabelle3!A:C,2,FALSE)</f>
        <v>Süd</v>
      </c>
      <c r="D247" t="s">
        <v>27</v>
      </c>
      <c r="E247" t="s">
        <v>844</v>
      </c>
      <c r="F247" t="s">
        <v>849</v>
      </c>
      <c r="G247">
        <v>53115</v>
      </c>
      <c r="H247" t="s">
        <v>846</v>
      </c>
      <c r="I247" t="s">
        <v>850</v>
      </c>
      <c r="J247" t="s">
        <v>693</v>
      </c>
      <c r="K247">
        <v>36026</v>
      </c>
      <c r="L247" t="s">
        <v>33</v>
      </c>
      <c r="M247" t="s">
        <v>34</v>
      </c>
      <c r="N247" t="s">
        <v>33</v>
      </c>
      <c r="O247" t="s">
        <v>25</v>
      </c>
      <c r="P247" t="s">
        <v>35</v>
      </c>
      <c r="Q247" t="s">
        <v>33</v>
      </c>
      <c r="R247" t="s">
        <v>36</v>
      </c>
      <c r="S247">
        <v>0.39929999999999999</v>
      </c>
      <c r="T247" t="s">
        <v>47</v>
      </c>
      <c r="U247">
        <v>24.7</v>
      </c>
      <c r="V247">
        <v>20.5</v>
      </c>
      <c r="W247">
        <v>17.835000000000001</v>
      </c>
      <c r="X247">
        <v>40.69</v>
      </c>
      <c r="Y247">
        <v>137.81279739544203</v>
      </c>
    </row>
    <row r="248" spans="1:25" x14ac:dyDescent="0.35">
      <c r="A248" t="s">
        <v>25</v>
      </c>
      <c r="B248" t="s">
        <v>851</v>
      </c>
      <c r="C248" t="str">
        <f>VLOOKUP(B248,Tabelle3!A:C,2,FALSE)</f>
        <v>Süd</v>
      </c>
      <c r="D248" t="s">
        <v>27</v>
      </c>
      <c r="E248" t="s">
        <v>844</v>
      </c>
      <c r="F248" t="s">
        <v>852</v>
      </c>
      <c r="G248">
        <v>53115</v>
      </c>
      <c r="H248" t="s">
        <v>846</v>
      </c>
      <c r="I248" t="s">
        <v>847</v>
      </c>
      <c r="J248" t="s">
        <v>693</v>
      </c>
      <c r="K248">
        <v>45536</v>
      </c>
      <c r="L248" t="s">
        <v>33</v>
      </c>
      <c r="M248" t="s">
        <v>34</v>
      </c>
      <c r="N248" t="s">
        <v>33</v>
      </c>
      <c r="O248" t="s">
        <v>25</v>
      </c>
      <c r="P248" t="s">
        <v>35</v>
      </c>
      <c r="Q248" t="s">
        <v>33</v>
      </c>
      <c r="R248" t="s">
        <v>36</v>
      </c>
      <c r="S248">
        <v>0.63</v>
      </c>
      <c r="T248" t="s">
        <v>37</v>
      </c>
      <c r="U248">
        <v>39.290999999999997</v>
      </c>
      <c r="V248">
        <v>39.186</v>
      </c>
      <c r="W248">
        <v>34.091819999999998</v>
      </c>
      <c r="X248">
        <v>40.69</v>
      </c>
      <c r="Y248">
        <v>87.713253968253966</v>
      </c>
    </row>
    <row r="249" spans="1:25" x14ac:dyDescent="0.35">
      <c r="A249" t="s">
        <v>25</v>
      </c>
      <c r="B249" t="s">
        <v>853</v>
      </c>
      <c r="C249" t="str">
        <f>VLOOKUP(B249,Tabelle3!A:C,2,FALSE)</f>
        <v>Süd</v>
      </c>
      <c r="D249" t="s">
        <v>27</v>
      </c>
      <c r="E249" t="s">
        <v>844</v>
      </c>
      <c r="F249" t="s">
        <v>854</v>
      </c>
      <c r="G249">
        <v>53115</v>
      </c>
      <c r="H249" t="s">
        <v>846</v>
      </c>
      <c r="I249" t="s">
        <v>847</v>
      </c>
      <c r="J249" t="s">
        <v>693</v>
      </c>
      <c r="K249">
        <v>41579</v>
      </c>
      <c r="L249" t="s">
        <v>33</v>
      </c>
      <c r="M249" t="s">
        <v>34</v>
      </c>
      <c r="N249" t="s">
        <v>33</v>
      </c>
      <c r="O249" t="s">
        <v>25</v>
      </c>
      <c r="P249" t="s">
        <v>82</v>
      </c>
      <c r="Q249" t="s">
        <v>33</v>
      </c>
      <c r="R249" t="s">
        <v>46</v>
      </c>
      <c r="S249">
        <v>0.39929999999999999</v>
      </c>
      <c r="T249" t="s">
        <v>47</v>
      </c>
      <c r="U249">
        <v>62</v>
      </c>
      <c r="V249">
        <v>62</v>
      </c>
      <c r="W249">
        <v>53.94</v>
      </c>
      <c r="X249">
        <v>40.69</v>
      </c>
      <c r="Y249">
        <v>138.31279739544203</v>
      </c>
    </row>
    <row r="250" spans="1:25" x14ac:dyDescent="0.35">
      <c r="A250" t="s">
        <v>25</v>
      </c>
      <c r="B250" t="s">
        <v>855</v>
      </c>
      <c r="C250" t="str">
        <f>VLOOKUP(B250,Tabelle3!A:C,2,FALSE)</f>
        <v>Süd</v>
      </c>
      <c r="D250" t="s">
        <v>27</v>
      </c>
      <c r="E250" t="s">
        <v>856</v>
      </c>
      <c r="F250" t="s">
        <v>857</v>
      </c>
      <c r="G250">
        <v>46045</v>
      </c>
      <c r="H250" t="s">
        <v>858</v>
      </c>
      <c r="I250" t="s">
        <v>859</v>
      </c>
      <c r="J250" t="s">
        <v>693</v>
      </c>
      <c r="K250">
        <v>25953</v>
      </c>
      <c r="L250" t="s">
        <v>33</v>
      </c>
      <c r="M250" t="s">
        <v>34</v>
      </c>
      <c r="N250" t="s">
        <v>33</v>
      </c>
      <c r="O250" t="s">
        <v>25</v>
      </c>
      <c r="P250" t="s">
        <v>137</v>
      </c>
      <c r="Q250" t="s">
        <v>33</v>
      </c>
      <c r="R250" t="s">
        <v>46</v>
      </c>
      <c r="S250">
        <v>0.35310000000000002</v>
      </c>
      <c r="T250" t="s">
        <v>47</v>
      </c>
      <c r="U250">
        <v>24.1</v>
      </c>
      <c r="V250">
        <v>21.45</v>
      </c>
      <c r="W250">
        <v>18.6615</v>
      </c>
      <c r="X250">
        <v>40.69</v>
      </c>
      <c r="Y250">
        <v>156.21353724157461</v>
      </c>
    </row>
    <row r="251" spans="1:25" x14ac:dyDescent="0.35">
      <c r="A251" t="s">
        <v>25</v>
      </c>
      <c r="B251" t="s">
        <v>860</v>
      </c>
      <c r="C251" t="str">
        <f>VLOOKUP(B251,Tabelle3!A:C,2,FALSE)</f>
        <v>Süd</v>
      </c>
      <c r="D251" t="s">
        <v>27</v>
      </c>
      <c r="E251" t="s">
        <v>861</v>
      </c>
      <c r="F251" t="s">
        <v>862</v>
      </c>
      <c r="G251">
        <v>63069</v>
      </c>
      <c r="H251" t="s">
        <v>863</v>
      </c>
      <c r="I251" t="s">
        <v>864</v>
      </c>
      <c r="J251" t="s">
        <v>865</v>
      </c>
      <c r="K251">
        <v>42580</v>
      </c>
      <c r="L251" t="s">
        <v>171</v>
      </c>
      <c r="M251" t="s">
        <v>172</v>
      </c>
      <c r="N251" t="s">
        <v>173</v>
      </c>
      <c r="O251" t="s">
        <v>25</v>
      </c>
      <c r="P251" t="s">
        <v>82</v>
      </c>
      <c r="Q251" t="s">
        <v>173</v>
      </c>
      <c r="R251" t="s">
        <v>173</v>
      </c>
      <c r="S251">
        <v>0.33</v>
      </c>
      <c r="T251" t="s">
        <v>47</v>
      </c>
      <c r="U251">
        <v>19.600000000000001</v>
      </c>
      <c r="V251">
        <v>16.762</v>
      </c>
      <c r="W251">
        <v>14.2477</v>
      </c>
      <c r="X251">
        <v>0</v>
      </c>
      <c r="Y251">
        <v>1</v>
      </c>
    </row>
    <row r="252" spans="1:25" x14ac:dyDescent="0.35">
      <c r="A252" t="s">
        <v>25</v>
      </c>
      <c r="B252" t="s">
        <v>866</v>
      </c>
      <c r="C252" t="s">
        <v>4081</v>
      </c>
      <c r="D252" t="s">
        <v>27</v>
      </c>
      <c r="E252" t="s">
        <v>861</v>
      </c>
      <c r="F252" t="s">
        <v>867</v>
      </c>
      <c r="G252">
        <v>63067</v>
      </c>
      <c r="H252" t="s">
        <v>863</v>
      </c>
      <c r="I252" t="s">
        <v>868</v>
      </c>
      <c r="J252" t="s">
        <v>865</v>
      </c>
      <c r="K252">
        <v>32434</v>
      </c>
      <c r="L252" t="s">
        <v>92</v>
      </c>
      <c r="M252" t="s">
        <v>93</v>
      </c>
      <c r="N252" t="s">
        <v>92</v>
      </c>
      <c r="O252" t="s">
        <v>25</v>
      </c>
      <c r="P252" t="s">
        <v>82</v>
      </c>
      <c r="Q252" t="s">
        <v>92</v>
      </c>
      <c r="R252" t="s">
        <v>92</v>
      </c>
      <c r="S252">
        <v>0.4</v>
      </c>
      <c r="T252" t="s">
        <v>47</v>
      </c>
      <c r="U252">
        <v>59.7</v>
      </c>
      <c r="V252">
        <v>54</v>
      </c>
      <c r="W252">
        <v>43.2</v>
      </c>
      <c r="X252">
        <v>15.55</v>
      </c>
      <c r="Y252">
        <v>98.602374999999995</v>
      </c>
    </row>
    <row r="253" spans="1:25" x14ac:dyDescent="0.35">
      <c r="A253" t="s">
        <v>44</v>
      </c>
      <c r="B253" t="s">
        <v>869</v>
      </c>
      <c r="C253" t="s">
        <v>4081</v>
      </c>
      <c r="D253" t="s">
        <v>870</v>
      </c>
      <c r="E253" t="s">
        <v>871</v>
      </c>
      <c r="F253" t="s">
        <v>872</v>
      </c>
      <c r="G253">
        <v>64293</v>
      </c>
      <c r="H253" t="s">
        <v>873</v>
      </c>
      <c r="I253" t="s">
        <v>874</v>
      </c>
      <c r="J253" t="s">
        <v>865</v>
      </c>
      <c r="K253">
        <v>40878</v>
      </c>
      <c r="L253" t="s">
        <v>33</v>
      </c>
      <c r="M253" t="s">
        <v>34</v>
      </c>
      <c r="N253" t="s">
        <v>33</v>
      </c>
      <c r="O253" t="s">
        <v>44</v>
      </c>
      <c r="P253" t="s">
        <v>62</v>
      </c>
      <c r="Q253" t="s">
        <v>33</v>
      </c>
      <c r="R253" t="s">
        <v>36</v>
      </c>
      <c r="S253">
        <v>0.4138</v>
      </c>
      <c r="T253" t="s">
        <v>47</v>
      </c>
      <c r="U253">
        <v>47.5</v>
      </c>
      <c r="V253">
        <v>46.5</v>
      </c>
      <c r="W253">
        <v>40.454999999999998</v>
      </c>
      <c r="X253">
        <v>40.69</v>
      </c>
      <c r="Y253">
        <v>133.01872885451908</v>
      </c>
    </row>
    <row r="254" spans="1:25" x14ac:dyDescent="0.35">
      <c r="A254" t="s">
        <v>44</v>
      </c>
      <c r="B254" t="s">
        <v>875</v>
      </c>
      <c r="C254" t="s">
        <v>4081</v>
      </c>
      <c r="D254" t="s">
        <v>870</v>
      </c>
      <c r="E254" t="s">
        <v>871</v>
      </c>
      <c r="F254" t="s">
        <v>876</v>
      </c>
      <c r="G254">
        <v>64293</v>
      </c>
      <c r="H254" t="s">
        <v>873</v>
      </c>
      <c r="I254" t="s">
        <v>874</v>
      </c>
      <c r="J254" t="s">
        <v>865</v>
      </c>
      <c r="K254">
        <v>40878</v>
      </c>
      <c r="L254" t="s">
        <v>33</v>
      </c>
      <c r="M254" t="s">
        <v>34</v>
      </c>
      <c r="N254" t="s">
        <v>33</v>
      </c>
      <c r="O254" t="s">
        <v>44</v>
      </c>
      <c r="P254" t="s">
        <v>62</v>
      </c>
      <c r="Q254" t="s">
        <v>33</v>
      </c>
      <c r="R254" t="s">
        <v>36</v>
      </c>
      <c r="S254">
        <v>0.4138</v>
      </c>
      <c r="T254" t="s">
        <v>47</v>
      </c>
      <c r="U254">
        <v>47.5</v>
      </c>
      <c r="V254">
        <v>46.5</v>
      </c>
      <c r="W254">
        <v>40.454999999999998</v>
      </c>
      <c r="X254">
        <v>40.69</v>
      </c>
      <c r="Y254">
        <v>133.01872885451908</v>
      </c>
    </row>
    <row r="255" spans="1:25" x14ac:dyDescent="0.35">
      <c r="A255" t="s">
        <v>25</v>
      </c>
      <c r="B255" t="s">
        <v>877</v>
      </c>
      <c r="C255" t="str">
        <f>VLOOKUP(B255,Tabelle3!A:C,2,FALSE)</f>
        <v>Süd</v>
      </c>
      <c r="D255" t="s">
        <v>27</v>
      </c>
      <c r="E255" t="s">
        <v>878</v>
      </c>
      <c r="F255" t="s">
        <v>879</v>
      </c>
      <c r="G255">
        <v>55120</v>
      </c>
      <c r="H255" t="s">
        <v>880</v>
      </c>
      <c r="I255" t="s">
        <v>881</v>
      </c>
      <c r="J255" t="s">
        <v>712</v>
      </c>
      <c r="K255">
        <v>39965</v>
      </c>
      <c r="L255" t="s">
        <v>171</v>
      </c>
      <c r="M255" t="s">
        <v>172</v>
      </c>
      <c r="N255" t="s">
        <v>173</v>
      </c>
      <c r="O255" t="s">
        <v>25</v>
      </c>
      <c r="P255" t="s">
        <v>82</v>
      </c>
      <c r="Q255" t="s">
        <v>173</v>
      </c>
      <c r="R255" t="s">
        <v>173</v>
      </c>
      <c r="S255">
        <v>0.33</v>
      </c>
      <c r="T255" t="s">
        <v>47</v>
      </c>
      <c r="U255">
        <v>20</v>
      </c>
      <c r="V255">
        <v>15</v>
      </c>
      <c r="W255">
        <v>12.75</v>
      </c>
      <c r="X255">
        <v>0</v>
      </c>
      <c r="Y255">
        <v>1</v>
      </c>
    </row>
    <row r="256" spans="1:25" x14ac:dyDescent="0.35">
      <c r="A256" t="s">
        <v>25</v>
      </c>
      <c r="B256" t="s">
        <v>882</v>
      </c>
      <c r="C256" t="str">
        <f>VLOOKUP(B256,Tabelle3!A:C,2,FALSE)</f>
        <v>Süd</v>
      </c>
      <c r="D256" t="s">
        <v>27</v>
      </c>
      <c r="E256" t="s">
        <v>883</v>
      </c>
      <c r="F256" t="s">
        <v>884</v>
      </c>
      <c r="G256">
        <v>45772</v>
      </c>
      <c r="H256" t="s">
        <v>885</v>
      </c>
      <c r="I256" t="s">
        <v>886</v>
      </c>
      <c r="J256" t="s">
        <v>693</v>
      </c>
      <c r="K256">
        <v>42413</v>
      </c>
      <c r="L256" t="s">
        <v>33</v>
      </c>
      <c r="M256" t="s">
        <v>34</v>
      </c>
      <c r="N256" t="s">
        <v>33</v>
      </c>
      <c r="O256" t="s">
        <v>25</v>
      </c>
      <c r="P256" t="s">
        <v>266</v>
      </c>
      <c r="Q256" t="s">
        <v>33</v>
      </c>
      <c r="R256" t="s">
        <v>46</v>
      </c>
      <c r="S256">
        <v>0.40260000000000001</v>
      </c>
      <c r="T256" t="s">
        <v>47</v>
      </c>
      <c r="U256">
        <v>13.96</v>
      </c>
      <c r="V256">
        <v>13.76</v>
      </c>
      <c r="W256">
        <v>11.9712</v>
      </c>
      <c r="X256">
        <v>40.69</v>
      </c>
      <c r="Y256">
        <v>137.19138102334821</v>
      </c>
    </row>
    <row r="257" spans="1:25" x14ac:dyDescent="0.35">
      <c r="A257" t="s">
        <v>25</v>
      </c>
      <c r="B257" t="s">
        <v>887</v>
      </c>
      <c r="C257" t="str">
        <f>VLOOKUP(B257,Tabelle3!A:C,2,FALSE)</f>
        <v>Süd</v>
      </c>
      <c r="D257" t="s">
        <v>27</v>
      </c>
      <c r="E257" t="s">
        <v>883</v>
      </c>
      <c r="F257" t="s">
        <v>888</v>
      </c>
      <c r="G257">
        <v>45772</v>
      </c>
      <c r="H257" t="s">
        <v>885</v>
      </c>
      <c r="I257" t="s">
        <v>886</v>
      </c>
      <c r="J257" t="s">
        <v>693</v>
      </c>
      <c r="K257">
        <v>44813</v>
      </c>
      <c r="L257" t="s">
        <v>33</v>
      </c>
      <c r="M257" t="s">
        <v>34</v>
      </c>
      <c r="N257" t="s">
        <v>33</v>
      </c>
      <c r="O257" t="s">
        <v>25</v>
      </c>
      <c r="P257" t="s">
        <v>50</v>
      </c>
      <c r="Q257" t="s">
        <v>33</v>
      </c>
      <c r="R257" t="s">
        <v>46</v>
      </c>
      <c r="S257">
        <v>0.63</v>
      </c>
      <c r="T257" t="s">
        <v>37</v>
      </c>
      <c r="U257">
        <v>35.799999999999997</v>
      </c>
      <c r="V257">
        <v>35.700000000000003</v>
      </c>
      <c r="W257">
        <v>31.059000000000001</v>
      </c>
      <c r="X257">
        <v>40.69</v>
      </c>
      <c r="Y257">
        <v>88.213253968253966</v>
      </c>
    </row>
    <row r="258" spans="1:25" x14ac:dyDescent="0.35">
      <c r="A258" t="s">
        <v>25</v>
      </c>
      <c r="B258" t="s">
        <v>889</v>
      </c>
      <c r="C258" t="str">
        <f>VLOOKUP(B258,Tabelle3!A:C,2,FALSE)</f>
        <v>Süd</v>
      </c>
      <c r="D258" t="s">
        <v>27</v>
      </c>
      <c r="E258" t="s">
        <v>883</v>
      </c>
      <c r="F258" t="s">
        <v>890</v>
      </c>
      <c r="G258">
        <v>45772</v>
      </c>
      <c r="H258" t="s">
        <v>885</v>
      </c>
      <c r="I258" t="s">
        <v>886</v>
      </c>
      <c r="J258" t="s">
        <v>693</v>
      </c>
      <c r="K258">
        <v>44813</v>
      </c>
      <c r="L258" t="s">
        <v>33</v>
      </c>
      <c r="M258" t="s">
        <v>34</v>
      </c>
      <c r="N258" t="s">
        <v>33</v>
      </c>
      <c r="O258" t="s">
        <v>25</v>
      </c>
      <c r="P258" t="s">
        <v>50</v>
      </c>
      <c r="Q258" t="s">
        <v>33</v>
      </c>
      <c r="R258" t="s">
        <v>46</v>
      </c>
      <c r="S258">
        <v>0.63</v>
      </c>
      <c r="T258" t="s">
        <v>37</v>
      </c>
      <c r="U258">
        <v>36.08</v>
      </c>
      <c r="V258">
        <v>35.979999999999997</v>
      </c>
      <c r="W258">
        <v>31.302599999999998</v>
      </c>
      <c r="X258">
        <v>40.69</v>
      </c>
      <c r="Y258">
        <v>88.213253968253966</v>
      </c>
    </row>
    <row r="259" spans="1:25" x14ac:dyDescent="0.35">
      <c r="A259" t="s">
        <v>25</v>
      </c>
      <c r="B259" t="s">
        <v>891</v>
      </c>
      <c r="C259" t="str">
        <f>VLOOKUP(B259,Tabelle3!A:C,2,FALSE)</f>
        <v>Süd</v>
      </c>
      <c r="D259" t="s">
        <v>27</v>
      </c>
      <c r="E259" t="s">
        <v>883</v>
      </c>
      <c r="F259" t="s">
        <v>892</v>
      </c>
      <c r="G259">
        <v>45772</v>
      </c>
      <c r="H259" t="s">
        <v>885</v>
      </c>
      <c r="I259" t="s">
        <v>886</v>
      </c>
      <c r="J259" t="s">
        <v>693</v>
      </c>
      <c r="K259">
        <v>44907</v>
      </c>
      <c r="L259" t="s">
        <v>33</v>
      </c>
      <c r="M259" t="s">
        <v>34</v>
      </c>
      <c r="N259" t="s">
        <v>33</v>
      </c>
      <c r="O259" t="s">
        <v>25</v>
      </c>
      <c r="P259" t="s">
        <v>50</v>
      </c>
      <c r="Q259" t="s">
        <v>33</v>
      </c>
      <c r="R259" t="s">
        <v>46</v>
      </c>
      <c r="S259">
        <v>0.63</v>
      </c>
      <c r="T259" t="s">
        <v>37</v>
      </c>
      <c r="U259">
        <v>36.33</v>
      </c>
      <c r="V259">
        <v>36.229999999999997</v>
      </c>
      <c r="W259">
        <v>31.520099999999996</v>
      </c>
      <c r="X259">
        <v>40.69</v>
      </c>
      <c r="Y259">
        <v>88.213253968253966</v>
      </c>
    </row>
    <row r="260" spans="1:25" x14ac:dyDescent="0.35">
      <c r="A260" t="s">
        <v>25</v>
      </c>
      <c r="B260" t="s">
        <v>893</v>
      </c>
      <c r="C260" t="str">
        <f>VLOOKUP(B260,Tabelle3!A:C,2,FALSE)</f>
        <v>Süd</v>
      </c>
      <c r="D260" t="s">
        <v>27</v>
      </c>
      <c r="E260" t="s">
        <v>883</v>
      </c>
      <c r="F260" t="s">
        <v>894</v>
      </c>
      <c r="G260">
        <v>45772</v>
      </c>
      <c r="H260" t="s">
        <v>885</v>
      </c>
      <c r="I260" t="s">
        <v>886</v>
      </c>
      <c r="J260" t="s">
        <v>693</v>
      </c>
      <c r="K260">
        <v>42413</v>
      </c>
      <c r="L260" t="s">
        <v>33</v>
      </c>
      <c r="M260" t="s">
        <v>34</v>
      </c>
      <c r="N260" t="s">
        <v>33</v>
      </c>
      <c r="O260" t="s">
        <v>25</v>
      </c>
      <c r="P260" t="s">
        <v>35</v>
      </c>
      <c r="Q260" t="s">
        <v>33</v>
      </c>
      <c r="R260" t="s">
        <v>36</v>
      </c>
      <c r="S260">
        <v>0.40260000000000001</v>
      </c>
      <c r="T260" t="s">
        <v>47</v>
      </c>
      <c r="U260">
        <v>47.99</v>
      </c>
      <c r="V260">
        <v>47</v>
      </c>
      <c r="W260">
        <v>40.89</v>
      </c>
      <c r="X260">
        <v>40.69</v>
      </c>
      <c r="Y260">
        <v>136.69138102334821</v>
      </c>
    </row>
    <row r="261" spans="1:25" x14ac:dyDescent="0.35">
      <c r="A261" t="s">
        <v>25</v>
      </c>
      <c r="B261" t="s">
        <v>895</v>
      </c>
      <c r="C261" t="str">
        <f>VLOOKUP(B261,Tabelle3!A:C,2,FALSE)</f>
        <v>Süd</v>
      </c>
      <c r="D261" t="s">
        <v>27</v>
      </c>
      <c r="E261" t="s">
        <v>883</v>
      </c>
      <c r="F261" t="s">
        <v>896</v>
      </c>
      <c r="G261">
        <v>45772</v>
      </c>
      <c r="H261" t="s">
        <v>885</v>
      </c>
      <c r="I261" t="s">
        <v>886</v>
      </c>
      <c r="J261" t="s">
        <v>693</v>
      </c>
      <c r="K261">
        <v>44813</v>
      </c>
      <c r="L261" t="s">
        <v>33</v>
      </c>
      <c r="M261" t="s">
        <v>34</v>
      </c>
      <c r="N261" t="s">
        <v>33</v>
      </c>
      <c r="O261" t="s">
        <v>25</v>
      </c>
      <c r="P261" t="s">
        <v>35</v>
      </c>
      <c r="Q261" t="s">
        <v>33</v>
      </c>
      <c r="R261" t="s">
        <v>36</v>
      </c>
      <c r="S261">
        <v>0.47</v>
      </c>
      <c r="T261" t="s">
        <v>37</v>
      </c>
      <c r="U261">
        <v>56.5</v>
      </c>
      <c r="V261">
        <v>55.014000000000003</v>
      </c>
      <c r="W261">
        <v>47.862180000000002</v>
      </c>
      <c r="X261">
        <v>40.69</v>
      </c>
      <c r="Y261">
        <v>117.2326595744681</v>
      </c>
    </row>
    <row r="262" spans="1:25" x14ac:dyDescent="0.35">
      <c r="A262" t="s">
        <v>25</v>
      </c>
      <c r="B262" t="s">
        <v>897</v>
      </c>
      <c r="C262" t="str">
        <f>VLOOKUP(B262,Tabelle3!A:C,2,FALSE)</f>
        <v>Süd</v>
      </c>
      <c r="D262" t="s">
        <v>27</v>
      </c>
      <c r="E262" t="s">
        <v>883</v>
      </c>
      <c r="F262" t="s">
        <v>898</v>
      </c>
      <c r="G262">
        <v>45772</v>
      </c>
      <c r="H262" t="s">
        <v>885</v>
      </c>
      <c r="I262" t="s">
        <v>886</v>
      </c>
      <c r="J262" t="s">
        <v>693</v>
      </c>
      <c r="K262">
        <v>44813</v>
      </c>
      <c r="L262" t="s">
        <v>33</v>
      </c>
      <c r="M262" t="s">
        <v>34</v>
      </c>
      <c r="N262" t="s">
        <v>33</v>
      </c>
      <c r="O262" t="s">
        <v>25</v>
      </c>
      <c r="P262" t="s">
        <v>35</v>
      </c>
      <c r="Q262" t="s">
        <v>33</v>
      </c>
      <c r="R262" t="s">
        <v>36</v>
      </c>
      <c r="S262">
        <v>0.47</v>
      </c>
      <c r="T262" t="s">
        <v>37</v>
      </c>
      <c r="U262">
        <v>56.76</v>
      </c>
      <c r="V262">
        <v>55.3</v>
      </c>
      <c r="W262">
        <v>48.110999999999997</v>
      </c>
      <c r="X262">
        <v>40.69</v>
      </c>
      <c r="Y262">
        <v>117.2326595744681</v>
      </c>
    </row>
    <row r="263" spans="1:25" x14ac:dyDescent="0.35">
      <c r="A263" t="s">
        <v>25</v>
      </c>
      <c r="B263" t="s">
        <v>899</v>
      </c>
      <c r="C263" t="str">
        <f>VLOOKUP(B263,Tabelle3!A:C,2,FALSE)</f>
        <v>Süd</v>
      </c>
      <c r="D263" t="s">
        <v>27</v>
      </c>
      <c r="E263" t="s">
        <v>883</v>
      </c>
      <c r="F263" t="s">
        <v>900</v>
      </c>
      <c r="G263">
        <v>45772</v>
      </c>
      <c r="H263" t="s">
        <v>885</v>
      </c>
      <c r="I263" t="s">
        <v>886</v>
      </c>
      <c r="J263" t="s">
        <v>693</v>
      </c>
      <c r="K263">
        <v>44907</v>
      </c>
      <c r="L263" t="s">
        <v>33</v>
      </c>
      <c r="M263" t="s">
        <v>34</v>
      </c>
      <c r="N263" t="s">
        <v>33</v>
      </c>
      <c r="O263" t="s">
        <v>25</v>
      </c>
      <c r="P263" t="s">
        <v>35</v>
      </c>
      <c r="Q263" t="s">
        <v>33</v>
      </c>
      <c r="R263" t="s">
        <v>36</v>
      </c>
      <c r="S263">
        <v>0.47</v>
      </c>
      <c r="T263" t="s">
        <v>37</v>
      </c>
      <c r="U263">
        <v>57.21</v>
      </c>
      <c r="V263">
        <v>55.77</v>
      </c>
      <c r="W263">
        <v>48.5199</v>
      </c>
      <c r="X263">
        <v>40.69</v>
      </c>
      <c r="Y263">
        <v>117.2326595744681</v>
      </c>
    </row>
    <row r="264" spans="1:25" x14ac:dyDescent="0.35">
      <c r="A264" t="s">
        <v>25</v>
      </c>
      <c r="B264" t="s">
        <v>901</v>
      </c>
      <c r="C264" t="str">
        <f>VLOOKUP(B264,Tabelle3!A:C,2,FALSE)</f>
        <v>Süd</v>
      </c>
      <c r="D264" t="s">
        <v>27</v>
      </c>
      <c r="E264" t="s">
        <v>902</v>
      </c>
      <c r="F264" t="s">
        <v>903</v>
      </c>
      <c r="G264">
        <v>49086</v>
      </c>
      <c r="H264" t="s">
        <v>904</v>
      </c>
      <c r="I264" t="s">
        <v>905</v>
      </c>
      <c r="J264" t="s">
        <v>765</v>
      </c>
      <c r="K264">
        <v>34335</v>
      </c>
      <c r="L264" t="s">
        <v>33</v>
      </c>
      <c r="M264" t="s">
        <v>34</v>
      </c>
      <c r="N264" t="s">
        <v>33</v>
      </c>
      <c r="O264" t="s">
        <v>25</v>
      </c>
      <c r="P264" t="s">
        <v>35</v>
      </c>
      <c r="Q264" t="s">
        <v>33</v>
      </c>
      <c r="R264" t="s">
        <v>36</v>
      </c>
      <c r="S264">
        <v>0.5</v>
      </c>
      <c r="T264" t="s">
        <v>108</v>
      </c>
      <c r="U264">
        <v>15.2</v>
      </c>
      <c r="V264">
        <v>14.468</v>
      </c>
      <c r="W264">
        <v>12.587160000000001</v>
      </c>
      <c r="X264">
        <v>40.69</v>
      </c>
      <c r="Y264">
        <v>110.25869999999999</v>
      </c>
    </row>
    <row r="265" spans="1:25" x14ac:dyDescent="0.35">
      <c r="A265" t="s">
        <v>25</v>
      </c>
      <c r="B265" t="s">
        <v>906</v>
      </c>
      <c r="C265" t="str">
        <f>VLOOKUP(B265,Tabelle3!A:C,2,FALSE)</f>
        <v>Süd</v>
      </c>
      <c r="D265" t="s">
        <v>27</v>
      </c>
      <c r="E265" t="s">
        <v>907</v>
      </c>
      <c r="F265" t="s">
        <v>908</v>
      </c>
      <c r="G265">
        <v>66877</v>
      </c>
      <c r="H265" t="s">
        <v>909</v>
      </c>
      <c r="I265" t="s">
        <v>910</v>
      </c>
      <c r="J265" t="s">
        <v>712</v>
      </c>
      <c r="K265">
        <v>43447</v>
      </c>
      <c r="L265" t="s">
        <v>33</v>
      </c>
      <c r="M265" t="s">
        <v>34</v>
      </c>
      <c r="N265" t="s">
        <v>33</v>
      </c>
      <c r="O265" t="s">
        <v>25</v>
      </c>
      <c r="P265" t="s">
        <v>137</v>
      </c>
      <c r="Q265" t="s">
        <v>33</v>
      </c>
      <c r="R265" t="s">
        <v>46</v>
      </c>
      <c r="S265">
        <v>0.4</v>
      </c>
      <c r="T265" t="s">
        <v>108</v>
      </c>
      <c r="U265">
        <v>12.9</v>
      </c>
      <c r="V265">
        <v>12.75</v>
      </c>
      <c r="W265">
        <v>11.092499999999999</v>
      </c>
      <c r="X265">
        <v>40.69</v>
      </c>
      <c r="Y265">
        <v>138.073375</v>
      </c>
    </row>
    <row r="266" spans="1:25" x14ac:dyDescent="0.35">
      <c r="A266" t="s">
        <v>25</v>
      </c>
      <c r="B266" t="s">
        <v>911</v>
      </c>
      <c r="C266" t="str">
        <f>VLOOKUP(B266,Tabelle3!A:C,2,FALSE)</f>
        <v>Süd</v>
      </c>
      <c r="D266" t="s">
        <v>27</v>
      </c>
      <c r="E266" t="s">
        <v>912</v>
      </c>
      <c r="F266" t="s">
        <v>913</v>
      </c>
      <c r="G266">
        <v>46049</v>
      </c>
      <c r="H266" t="s">
        <v>858</v>
      </c>
      <c r="I266" t="s">
        <v>914</v>
      </c>
      <c r="J266" t="s">
        <v>693</v>
      </c>
      <c r="K266">
        <v>38813</v>
      </c>
      <c r="L266" t="s">
        <v>171</v>
      </c>
      <c r="M266" t="s">
        <v>172</v>
      </c>
      <c r="N266" t="s">
        <v>173</v>
      </c>
      <c r="O266" t="s">
        <v>25</v>
      </c>
      <c r="P266" t="s">
        <v>82</v>
      </c>
      <c r="Q266" t="s">
        <v>173</v>
      </c>
      <c r="R266" t="s">
        <v>173</v>
      </c>
      <c r="S266">
        <v>0.33</v>
      </c>
      <c r="T266" t="s">
        <v>47</v>
      </c>
      <c r="U266">
        <v>25.6</v>
      </c>
      <c r="V266">
        <v>21.1</v>
      </c>
      <c r="W266">
        <v>17.935000000000002</v>
      </c>
      <c r="X266">
        <v>0</v>
      </c>
      <c r="Y266">
        <v>1</v>
      </c>
    </row>
    <row r="267" spans="1:25" x14ac:dyDescent="0.35">
      <c r="A267" t="s">
        <v>25</v>
      </c>
      <c r="B267" t="s">
        <v>915</v>
      </c>
      <c r="C267" t="str">
        <f>VLOOKUP(B267,Tabelle3!A:C,2,FALSE)</f>
        <v>Süd</v>
      </c>
      <c r="D267" t="s">
        <v>27</v>
      </c>
      <c r="E267" t="s">
        <v>912</v>
      </c>
      <c r="F267" t="s">
        <v>916</v>
      </c>
      <c r="G267">
        <v>46049</v>
      </c>
      <c r="H267" t="s">
        <v>858</v>
      </c>
      <c r="I267" t="s">
        <v>914</v>
      </c>
      <c r="J267" t="s">
        <v>693</v>
      </c>
      <c r="K267">
        <v>33528</v>
      </c>
      <c r="L267" t="s">
        <v>171</v>
      </c>
      <c r="M267" t="s">
        <v>172</v>
      </c>
      <c r="N267" t="s">
        <v>173</v>
      </c>
      <c r="O267" t="s">
        <v>25</v>
      </c>
      <c r="P267" t="s">
        <v>82</v>
      </c>
      <c r="Q267" t="s">
        <v>173</v>
      </c>
      <c r="R267" t="s">
        <v>173</v>
      </c>
      <c r="S267">
        <v>0.33</v>
      </c>
      <c r="T267" t="s">
        <v>47</v>
      </c>
      <c r="U267">
        <v>49.5</v>
      </c>
      <c r="V267">
        <v>40.4</v>
      </c>
      <c r="W267">
        <v>34.339999999999996</v>
      </c>
      <c r="X267">
        <v>0</v>
      </c>
      <c r="Y267">
        <v>1</v>
      </c>
    </row>
    <row r="268" spans="1:25" x14ac:dyDescent="0.35">
      <c r="A268" t="s">
        <v>25</v>
      </c>
      <c r="B268" t="s">
        <v>917</v>
      </c>
      <c r="C268" t="str">
        <f>VLOOKUP(B268,Tabelle3!A:C,2,FALSE)</f>
        <v>Süd</v>
      </c>
      <c r="D268" t="s">
        <v>27</v>
      </c>
      <c r="E268" t="s">
        <v>918</v>
      </c>
      <c r="F268" t="s">
        <v>919</v>
      </c>
      <c r="G268">
        <v>50354</v>
      </c>
      <c r="H268" t="s">
        <v>811</v>
      </c>
      <c r="I268" t="s">
        <v>920</v>
      </c>
      <c r="J268" t="s">
        <v>693</v>
      </c>
      <c r="K268">
        <v>45748</v>
      </c>
      <c r="L268" t="s">
        <v>171</v>
      </c>
      <c r="M268" t="s">
        <v>293</v>
      </c>
      <c r="N268" t="s">
        <v>173</v>
      </c>
      <c r="O268" t="s">
        <v>25</v>
      </c>
      <c r="P268" t="s">
        <v>82</v>
      </c>
      <c r="Q268" t="s">
        <v>173</v>
      </c>
      <c r="R268" t="s">
        <v>173</v>
      </c>
      <c r="S268">
        <v>0.33</v>
      </c>
      <c r="T268" t="s">
        <v>47</v>
      </c>
      <c r="U268">
        <v>20</v>
      </c>
      <c r="V268">
        <v>18.3</v>
      </c>
      <c r="W268">
        <v>15.555</v>
      </c>
      <c r="X268">
        <v>0</v>
      </c>
      <c r="Y268">
        <v>1</v>
      </c>
    </row>
    <row r="269" spans="1:25" x14ac:dyDescent="0.35">
      <c r="A269" t="s">
        <v>25</v>
      </c>
      <c r="B269" t="s">
        <v>921</v>
      </c>
      <c r="C269" t="str">
        <f>VLOOKUP(B269,Tabelle3!A:C,2,FALSE)</f>
        <v>Süd</v>
      </c>
      <c r="D269" t="s">
        <v>27</v>
      </c>
      <c r="E269" t="s">
        <v>922</v>
      </c>
      <c r="F269" t="s">
        <v>922</v>
      </c>
      <c r="G269">
        <v>44653</v>
      </c>
      <c r="H269" t="s">
        <v>923</v>
      </c>
      <c r="I269" t="s">
        <v>924</v>
      </c>
      <c r="J269" t="s">
        <v>693</v>
      </c>
      <c r="K269">
        <v>44858</v>
      </c>
      <c r="L269" t="s">
        <v>33</v>
      </c>
      <c r="M269" t="s">
        <v>34</v>
      </c>
      <c r="N269" t="s">
        <v>33</v>
      </c>
      <c r="O269" t="s">
        <v>25</v>
      </c>
      <c r="P269" t="s">
        <v>35</v>
      </c>
      <c r="Q269" t="s">
        <v>33</v>
      </c>
      <c r="R269" t="s">
        <v>36</v>
      </c>
      <c r="S269">
        <v>0.47</v>
      </c>
      <c r="T269" t="s">
        <v>37</v>
      </c>
      <c r="U269">
        <v>725.4</v>
      </c>
      <c r="V269">
        <v>657</v>
      </c>
      <c r="W269">
        <v>571.59</v>
      </c>
      <c r="X269">
        <v>40.69</v>
      </c>
      <c r="Y269">
        <v>117.2326595744681</v>
      </c>
    </row>
    <row r="270" spans="1:25" x14ac:dyDescent="0.35">
      <c r="A270" t="s">
        <v>25</v>
      </c>
      <c r="B270" t="s">
        <v>925</v>
      </c>
      <c r="C270" t="str">
        <f>VLOOKUP(B270,Tabelle3!A:C,2,FALSE)</f>
        <v>Süd</v>
      </c>
      <c r="D270" t="s">
        <v>27</v>
      </c>
      <c r="E270" t="s">
        <v>926</v>
      </c>
      <c r="F270" t="s">
        <v>927</v>
      </c>
      <c r="G270">
        <v>40589</v>
      </c>
      <c r="H270" t="s">
        <v>928</v>
      </c>
      <c r="I270" t="s">
        <v>929</v>
      </c>
      <c r="J270" t="s">
        <v>693</v>
      </c>
      <c r="K270">
        <v>23743</v>
      </c>
      <c r="L270" t="s">
        <v>33</v>
      </c>
      <c r="M270" t="s">
        <v>34</v>
      </c>
      <c r="N270" t="s">
        <v>33</v>
      </c>
      <c r="O270" t="s">
        <v>25</v>
      </c>
      <c r="P270" t="s">
        <v>50</v>
      </c>
      <c r="Q270" t="s">
        <v>33</v>
      </c>
      <c r="R270" t="s">
        <v>46</v>
      </c>
      <c r="S270">
        <v>0.32779999999999998</v>
      </c>
      <c r="T270" t="s">
        <v>47</v>
      </c>
      <c r="U270">
        <v>13.2</v>
      </c>
      <c r="V270">
        <v>11.88</v>
      </c>
      <c r="W270">
        <v>10.335600000000001</v>
      </c>
      <c r="X270">
        <v>40.69</v>
      </c>
      <c r="Y270">
        <v>168.15451494813911</v>
      </c>
    </row>
    <row r="271" spans="1:25" x14ac:dyDescent="0.35">
      <c r="A271" t="s">
        <v>25</v>
      </c>
      <c r="B271" t="s">
        <v>930</v>
      </c>
      <c r="C271" t="str">
        <f>VLOOKUP(B271,Tabelle3!A:C,2,FALSE)</f>
        <v>Süd</v>
      </c>
      <c r="D271" t="s">
        <v>27</v>
      </c>
      <c r="E271" t="s">
        <v>926</v>
      </c>
      <c r="F271" t="s">
        <v>931</v>
      </c>
      <c r="G271">
        <v>40589</v>
      </c>
      <c r="H271" t="s">
        <v>928</v>
      </c>
      <c r="I271" t="s">
        <v>929</v>
      </c>
      <c r="J271" t="s">
        <v>693</v>
      </c>
      <c r="K271">
        <v>23743</v>
      </c>
      <c r="L271" t="s">
        <v>33</v>
      </c>
      <c r="M271" t="s">
        <v>34</v>
      </c>
      <c r="N271" t="s">
        <v>33</v>
      </c>
      <c r="O271" t="s">
        <v>25</v>
      </c>
      <c r="P271" t="s">
        <v>50</v>
      </c>
      <c r="Q271" t="s">
        <v>33</v>
      </c>
      <c r="R271" t="s">
        <v>46</v>
      </c>
      <c r="S271">
        <v>0.32779999999999998</v>
      </c>
      <c r="T271" t="s">
        <v>47</v>
      </c>
      <c r="U271">
        <v>13.2</v>
      </c>
      <c r="V271">
        <v>11.88</v>
      </c>
      <c r="W271">
        <v>10.335600000000001</v>
      </c>
      <c r="X271">
        <v>40.69</v>
      </c>
      <c r="Y271">
        <v>168.15451494813911</v>
      </c>
    </row>
    <row r="272" spans="1:25" x14ac:dyDescent="0.35">
      <c r="A272" t="s">
        <v>25</v>
      </c>
      <c r="B272" t="s">
        <v>932</v>
      </c>
      <c r="C272" t="str">
        <f>VLOOKUP(B272,Tabelle3!A:C,2,FALSE)</f>
        <v>Süd</v>
      </c>
      <c r="D272" t="s">
        <v>27</v>
      </c>
      <c r="E272" t="s">
        <v>926</v>
      </c>
      <c r="F272" t="s">
        <v>933</v>
      </c>
      <c r="G272">
        <v>40589</v>
      </c>
      <c r="H272" t="s">
        <v>928</v>
      </c>
      <c r="I272" t="s">
        <v>929</v>
      </c>
      <c r="J272" t="s">
        <v>693</v>
      </c>
      <c r="K272">
        <v>29221</v>
      </c>
      <c r="L272" t="s">
        <v>33</v>
      </c>
      <c r="M272" t="s">
        <v>34</v>
      </c>
      <c r="N272" t="s">
        <v>33</v>
      </c>
      <c r="O272" t="s">
        <v>25</v>
      </c>
      <c r="P272" t="s">
        <v>50</v>
      </c>
      <c r="Q272" t="s">
        <v>33</v>
      </c>
      <c r="R272" t="s">
        <v>46</v>
      </c>
      <c r="S272">
        <v>0.32779999999999998</v>
      </c>
      <c r="T272" t="s">
        <v>47</v>
      </c>
      <c r="U272">
        <v>20</v>
      </c>
      <c r="V272">
        <v>18</v>
      </c>
      <c r="W272">
        <v>15.66</v>
      </c>
      <c r="X272">
        <v>40.69</v>
      </c>
      <c r="Y272">
        <v>168.15451494813911</v>
      </c>
    </row>
    <row r="273" spans="1:25" x14ac:dyDescent="0.35">
      <c r="A273" t="s">
        <v>25</v>
      </c>
      <c r="B273" t="s">
        <v>934</v>
      </c>
      <c r="C273" t="str">
        <f>VLOOKUP(B273,Tabelle3!A:C,2,FALSE)</f>
        <v>Süd</v>
      </c>
      <c r="D273" t="s">
        <v>27</v>
      </c>
      <c r="E273" t="s">
        <v>926</v>
      </c>
      <c r="F273" t="s">
        <v>935</v>
      </c>
      <c r="G273">
        <v>40589</v>
      </c>
      <c r="H273" t="s">
        <v>928</v>
      </c>
      <c r="I273" t="s">
        <v>929</v>
      </c>
      <c r="J273" t="s">
        <v>693</v>
      </c>
      <c r="K273">
        <v>30317</v>
      </c>
      <c r="L273" t="s">
        <v>33</v>
      </c>
      <c r="M273" t="s">
        <v>34</v>
      </c>
      <c r="N273" t="s">
        <v>33</v>
      </c>
      <c r="O273" t="s">
        <v>25</v>
      </c>
      <c r="P273" t="s">
        <v>50</v>
      </c>
      <c r="Q273" t="s">
        <v>33</v>
      </c>
      <c r="R273" t="s">
        <v>46</v>
      </c>
      <c r="S273">
        <v>0.32779999999999998</v>
      </c>
      <c r="T273" t="s">
        <v>47</v>
      </c>
      <c r="U273">
        <v>20</v>
      </c>
      <c r="V273">
        <v>18</v>
      </c>
      <c r="W273">
        <v>15.66</v>
      </c>
      <c r="X273">
        <v>40.69</v>
      </c>
      <c r="Y273">
        <v>168.15451494813911</v>
      </c>
    </row>
    <row r="274" spans="1:25" x14ac:dyDescent="0.35">
      <c r="A274" t="s">
        <v>25</v>
      </c>
      <c r="B274" t="s">
        <v>936</v>
      </c>
      <c r="C274" t="str">
        <f>VLOOKUP(B274,Tabelle3!A:C,2,FALSE)</f>
        <v>Süd</v>
      </c>
      <c r="D274" t="s">
        <v>27</v>
      </c>
      <c r="E274" t="s">
        <v>937</v>
      </c>
      <c r="F274" t="s">
        <v>409</v>
      </c>
      <c r="G274">
        <v>56626</v>
      </c>
      <c r="H274" t="s">
        <v>938</v>
      </c>
      <c r="I274" t="s">
        <v>939</v>
      </c>
      <c r="J274" t="s">
        <v>712</v>
      </c>
      <c r="K274">
        <v>39797</v>
      </c>
      <c r="L274" t="s">
        <v>171</v>
      </c>
      <c r="M274" t="s">
        <v>172</v>
      </c>
      <c r="N274" t="s">
        <v>173</v>
      </c>
      <c r="O274" t="s">
        <v>25</v>
      </c>
      <c r="P274" t="s">
        <v>82</v>
      </c>
      <c r="Q274" t="s">
        <v>173</v>
      </c>
      <c r="R274" t="s">
        <v>173</v>
      </c>
      <c r="S274">
        <v>0.33</v>
      </c>
      <c r="T274" t="s">
        <v>47</v>
      </c>
      <c r="U274">
        <v>13.7</v>
      </c>
      <c r="V274">
        <v>12.5</v>
      </c>
      <c r="W274">
        <v>10.625</v>
      </c>
      <c r="X274">
        <v>0</v>
      </c>
      <c r="Y274">
        <v>1</v>
      </c>
    </row>
    <row r="275" spans="1:25" x14ac:dyDescent="0.35">
      <c r="A275" t="s">
        <v>25</v>
      </c>
      <c r="B275" t="s">
        <v>940</v>
      </c>
      <c r="C275" t="s">
        <v>4081</v>
      </c>
      <c r="D275" t="s">
        <v>27</v>
      </c>
      <c r="E275" t="s">
        <v>941</v>
      </c>
      <c r="F275" t="s">
        <v>942</v>
      </c>
      <c r="G275">
        <v>50769</v>
      </c>
      <c r="H275" t="s">
        <v>721</v>
      </c>
      <c r="I275" t="s">
        <v>943</v>
      </c>
      <c r="J275" t="s">
        <v>693</v>
      </c>
      <c r="K275">
        <v>24273</v>
      </c>
      <c r="L275" t="s">
        <v>593</v>
      </c>
      <c r="M275" t="s">
        <v>944</v>
      </c>
      <c r="N275" t="s">
        <v>595</v>
      </c>
      <c r="O275" t="s">
        <v>44</v>
      </c>
      <c r="P275" t="s">
        <v>45</v>
      </c>
      <c r="Q275" t="s">
        <v>71</v>
      </c>
      <c r="R275" t="s">
        <v>71</v>
      </c>
      <c r="S275">
        <v>0.27600000000000002</v>
      </c>
      <c r="T275" t="s">
        <v>37</v>
      </c>
      <c r="U275">
        <v>10.4</v>
      </c>
      <c r="V275">
        <v>10.4</v>
      </c>
      <c r="W275">
        <v>8.84</v>
      </c>
      <c r="X275">
        <v>95.59</v>
      </c>
      <c r="Y275">
        <v>401.1119565217391</v>
      </c>
    </row>
    <row r="276" spans="1:25" x14ac:dyDescent="0.35">
      <c r="A276" t="s">
        <v>25</v>
      </c>
      <c r="B276" t="s">
        <v>945</v>
      </c>
      <c r="C276" t="s">
        <v>4081</v>
      </c>
      <c r="D276" t="s">
        <v>27</v>
      </c>
      <c r="E276" t="s">
        <v>941</v>
      </c>
      <c r="F276" t="s">
        <v>946</v>
      </c>
      <c r="G276">
        <v>50769</v>
      </c>
      <c r="H276" t="s">
        <v>721</v>
      </c>
      <c r="I276" t="s">
        <v>943</v>
      </c>
      <c r="J276" t="s">
        <v>693</v>
      </c>
      <c r="K276">
        <v>23391</v>
      </c>
      <c r="L276" t="s">
        <v>593</v>
      </c>
      <c r="M276" t="s">
        <v>944</v>
      </c>
      <c r="N276" t="s">
        <v>595</v>
      </c>
      <c r="O276" t="s">
        <v>25</v>
      </c>
      <c r="P276" t="s">
        <v>266</v>
      </c>
      <c r="Q276" t="s">
        <v>71</v>
      </c>
      <c r="R276" t="s">
        <v>71</v>
      </c>
      <c r="S276">
        <v>0.27600000000000002</v>
      </c>
      <c r="T276" t="s">
        <v>37</v>
      </c>
      <c r="U276">
        <v>17.899999999999999</v>
      </c>
      <c r="V276">
        <v>15.5</v>
      </c>
      <c r="W276">
        <v>13.174999999999999</v>
      </c>
      <c r="X276">
        <v>95.59</v>
      </c>
      <c r="Y276">
        <v>401.1119565217391</v>
      </c>
    </row>
    <row r="277" spans="1:25" x14ac:dyDescent="0.35">
      <c r="A277" t="s">
        <v>25</v>
      </c>
      <c r="B277" t="s">
        <v>947</v>
      </c>
      <c r="C277" t="s">
        <v>4081</v>
      </c>
      <c r="D277" t="s">
        <v>27</v>
      </c>
      <c r="E277" t="s">
        <v>941</v>
      </c>
      <c r="F277" t="s">
        <v>948</v>
      </c>
      <c r="G277">
        <v>50769</v>
      </c>
      <c r="H277" t="s">
        <v>721</v>
      </c>
      <c r="I277" t="s">
        <v>943</v>
      </c>
      <c r="J277" t="s">
        <v>693</v>
      </c>
      <c r="K277">
        <v>23314</v>
      </c>
      <c r="L277" t="s">
        <v>593</v>
      </c>
      <c r="M277" t="s">
        <v>944</v>
      </c>
      <c r="N277" t="s">
        <v>595</v>
      </c>
      <c r="O277" t="s">
        <v>25</v>
      </c>
      <c r="P277" t="s">
        <v>266</v>
      </c>
      <c r="Q277" t="s">
        <v>71</v>
      </c>
      <c r="R277" t="s">
        <v>71</v>
      </c>
      <c r="S277">
        <v>0.27600000000000002</v>
      </c>
      <c r="T277" t="s">
        <v>37</v>
      </c>
      <c r="U277">
        <v>17.899999999999999</v>
      </c>
      <c r="V277">
        <v>15.5</v>
      </c>
      <c r="W277">
        <v>13.174999999999999</v>
      </c>
      <c r="X277">
        <v>95.59</v>
      </c>
      <c r="Y277">
        <v>401.1119565217391</v>
      </c>
    </row>
    <row r="278" spans="1:25" x14ac:dyDescent="0.35">
      <c r="A278" t="s">
        <v>25</v>
      </c>
      <c r="B278" t="s">
        <v>949</v>
      </c>
      <c r="C278" t="s">
        <v>4081</v>
      </c>
      <c r="D278" t="s">
        <v>27</v>
      </c>
      <c r="E278" t="s">
        <v>941</v>
      </c>
      <c r="F278" t="s">
        <v>950</v>
      </c>
      <c r="G278">
        <v>50769</v>
      </c>
      <c r="H278" t="s">
        <v>721</v>
      </c>
      <c r="I278" t="s">
        <v>943</v>
      </c>
      <c r="J278" t="s">
        <v>693</v>
      </c>
      <c r="K278">
        <v>23481</v>
      </c>
      <c r="L278" t="s">
        <v>593</v>
      </c>
      <c r="M278" t="s">
        <v>944</v>
      </c>
      <c r="N278" t="s">
        <v>595</v>
      </c>
      <c r="O278" t="s">
        <v>25</v>
      </c>
      <c r="P278" t="s">
        <v>50</v>
      </c>
      <c r="Q278" t="s">
        <v>71</v>
      </c>
      <c r="R278" t="s">
        <v>71</v>
      </c>
      <c r="S278">
        <v>0.27600000000000002</v>
      </c>
      <c r="T278" t="s">
        <v>37</v>
      </c>
      <c r="U278">
        <v>19.2</v>
      </c>
      <c r="V278">
        <v>19.2</v>
      </c>
      <c r="W278">
        <v>16.32</v>
      </c>
      <c r="X278">
        <v>95.59</v>
      </c>
      <c r="Y278">
        <v>401.1119565217391</v>
      </c>
    </row>
    <row r="279" spans="1:25" x14ac:dyDescent="0.35">
      <c r="A279" t="s">
        <v>25</v>
      </c>
      <c r="B279" t="s">
        <v>951</v>
      </c>
      <c r="C279" t="str">
        <f>VLOOKUP(B279,Tabelle3!A:C,2,FALSE)</f>
        <v>Süd</v>
      </c>
      <c r="D279" t="s">
        <v>27</v>
      </c>
      <c r="E279" t="s">
        <v>941</v>
      </c>
      <c r="F279" t="s">
        <v>952</v>
      </c>
      <c r="G279">
        <v>50769</v>
      </c>
      <c r="H279" t="s">
        <v>721</v>
      </c>
      <c r="I279" t="s">
        <v>943</v>
      </c>
      <c r="J279" t="s">
        <v>693</v>
      </c>
      <c r="K279">
        <v>44896</v>
      </c>
      <c r="L279" t="s">
        <v>33</v>
      </c>
      <c r="M279" t="s">
        <v>34</v>
      </c>
      <c r="N279" t="s">
        <v>33</v>
      </c>
      <c r="O279" t="s">
        <v>25</v>
      </c>
      <c r="P279" t="s">
        <v>87</v>
      </c>
      <c r="Q279" t="s">
        <v>33</v>
      </c>
      <c r="R279" t="s">
        <v>46</v>
      </c>
      <c r="S279">
        <v>0.432</v>
      </c>
      <c r="T279" t="s">
        <v>37</v>
      </c>
      <c r="U279">
        <v>32</v>
      </c>
      <c r="V279">
        <v>29.55</v>
      </c>
      <c r="W279">
        <v>25.708500000000001</v>
      </c>
      <c r="X279">
        <v>40.69</v>
      </c>
      <c r="Y279">
        <v>127.95682870370371</v>
      </c>
    </row>
    <row r="280" spans="1:25" x14ac:dyDescent="0.35">
      <c r="A280" t="s">
        <v>25</v>
      </c>
      <c r="B280" t="s">
        <v>953</v>
      </c>
      <c r="C280" t="s">
        <v>4081</v>
      </c>
      <c r="D280" t="s">
        <v>27</v>
      </c>
      <c r="E280" t="s">
        <v>941</v>
      </c>
      <c r="F280" t="s">
        <v>954</v>
      </c>
      <c r="G280">
        <v>50769</v>
      </c>
      <c r="H280" t="s">
        <v>721</v>
      </c>
      <c r="I280" t="s">
        <v>943</v>
      </c>
      <c r="J280" t="s">
        <v>693</v>
      </c>
      <c r="K280">
        <v>24552</v>
      </c>
      <c r="L280" t="s">
        <v>593</v>
      </c>
      <c r="M280" t="s">
        <v>944</v>
      </c>
      <c r="N280" t="s">
        <v>595</v>
      </c>
      <c r="O280" t="s">
        <v>25</v>
      </c>
      <c r="P280" t="s">
        <v>50</v>
      </c>
      <c r="Q280" t="s">
        <v>71</v>
      </c>
      <c r="R280" t="s">
        <v>71</v>
      </c>
      <c r="S280">
        <v>0.27600000000000002</v>
      </c>
      <c r="T280" t="s">
        <v>37</v>
      </c>
      <c r="U280">
        <v>33.6</v>
      </c>
      <c r="V280">
        <v>33.6</v>
      </c>
      <c r="W280">
        <v>28.56</v>
      </c>
      <c r="X280">
        <v>95.59</v>
      </c>
      <c r="Y280">
        <v>401.1119565217391</v>
      </c>
    </row>
    <row r="281" spans="1:25" x14ac:dyDescent="0.35">
      <c r="A281" t="s">
        <v>25</v>
      </c>
      <c r="B281" t="s">
        <v>955</v>
      </c>
      <c r="C281" t="str">
        <f>VLOOKUP(B281,Tabelle3!A:C,2,FALSE)</f>
        <v>Süd</v>
      </c>
      <c r="D281" t="s">
        <v>27</v>
      </c>
      <c r="E281" t="s">
        <v>956</v>
      </c>
      <c r="F281" t="s">
        <v>957</v>
      </c>
      <c r="G281">
        <v>47443</v>
      </c>
      <c r="H281" t="s">
        <v>958</v>
      </c>
      <c r="I281" t="s">
        <v>959</v>
      </c>
      <c r="J281" t="s">
        <v>693</v>
      </c>
      <c r="K281">
        <v>34943</v>
      </c>
      <c r="L281" t="s">
        <v>33</v>
      </c>
      <c r="M281" t="s">
        <v>70</v>
      </c>
      <c r="N281" t="s">
        <v>33</v>
      </c>
      <c r="O281" t="s">
        <v>25</v>
      </c>
      <c r="P281" t="s">
        <v>50</v>
      </c>
      <c r="Q281" t="s">
        <v>33</v>
      </c>
      <c r="R281" t="s">
        <v>46</v>
      </c>
      <c r="S281">
        <v>0.3795</v>
      </c>
      <c r="T281" t="s">
        <v>47</v>
      </c>
      <c r="U281">
        <v>12.6</v>
      </c>
      <c r="V281">
        <v>12</v>
      </c>
      <c r="W281">
        <v>10.44</v>
      </c>
      <c r="X281">
        <v>40.69</v>
      </c>
      <c r="Y281">
        <v>145.45085638998682</v>
      </c>
    </row>
    <row r="282" spans="1:25" x14ac:dyDescent="0.35">
      <c r="A282" t="s">
        <v>25</v>
      </c>
      <c r="B282" t="s">
        <v>960</v>
      </c>
      <c r="C282" t="str">
        <f>VLOOKUP(B282,Tabelle3!A:C,2,FALSE)</f>
        <v>Süd</v>
      </c>
      <c r="D282" t="s">
        <v>27</v>
      </c>
      <c r="E282" t="s">
        <v>961</v>
      </c>
      <c r="F282" t="s">
        <v>962</v>
      </c>
      <c r="G282">
        <v>65929</v>
      </c>
      <c r="H282" t="s">
        <v>474</v>
      </c>
      <c r="I282" t="s">
        <v>963</v>
      </c>
      <c r="J282" t="s">
        <v>865</v>
      </c>
      <c r="K282">
        <v>44454</v>
      </c>
      <c r="L282" t="s">
        <v>33</v>
      </c>
      <c r="M282" t="s">
        <v>34</v>
      </c>
      <c r="N282" t="s">
        <v>33</v>
      </c>
      <c r="O282" t="s">
        <v>25</v>
      </c>
      <c r="P282" t="s">
        <v>266</v>
      </c>
      <c r="Q282" t="s">
        <v>33</v>
      </c>
      <c r="R282" t="s">
        <v>46</v>
      </c>
      <c r="S282">
        <v>0.63</v>
      </c>
      <c r="T282" t="s">
        <v>37</v>
      </c>
      <c r="U282">
        <v>13</v>
      </c>
      <c r="V282">
        <v>12.9</v>
      </c>
      <c r="W282">
        <v>11.223000000000001</v>
      </c>
      <c r="X282">
        <v>40.69</v>
      </c>
      <c r="Y282">
        <v>88.213253968253966</v>
      </c>
    </row>
    <row r="283" spans="1:25" x14ac:dyDescent="0.35">
      <c r="A283" t="s">
        <v>25</v>
      </c>
      <c r="B283" t="s">
        <v>964</v>
      </c>
      <c r="C283" t="str">
        <f>VLOOKUP(B283,Tabelle3!A:C,2,FALSE)</f>
        <v>Süd</v>
      </c>
      <c r="D283" t="s">
        <v>27</v>
      </c>
      <c r="E283" t="s">
        <v>961</v>
      </c>
      <c r="F283" t="s">
        <v>965</v>
      </c>
      <c r="G283">
        <v>65929</v>
      </c>
      <c r="H283" t="s">
        <v>474</v>
      </c>
      <c r="I283" t="s">
        <v>963</v>
      </c>
      <c r="J283" t="s">
        <v>865</v>
      </c>
      <c r="K283">
        <v>29221</v>
      </c>
      <c r="L283" t="s">
        <v>33</v>
      </c>
      <c r="M283" t="s">
        <v>34</v>
      </c>
      <c r="N283" t="s">
        <v>33</v>
      </c>
      <c r="O283" t="s">
        <v>25</v>
      </c>
      <c r="P283" t="s">
        <v>266</v>
      </c>
      <c r="Q283" t="s">
        <v>33</v>
      </c>
      <c r="R283" t="s">
        <v>46</v>
      </c>
      <c r="S283">
        <v>0.39750000000000002</v>
      </c>
      <c r="T283" t="s">
        <v>47</v>
      </c>
      <c r="U283">
        <v>13.9</v>
      </c>
      <c r="V283">
        <v>13.8</v>
      </c>
      <c r="W283">
        <v>12.006</v>
      </c>
      <c r="X283">
        <v>40.69</v>
      </c>
      <c r="Y283">
        <v>138.93232704402516</v>
      </c>
    </row>
    <row r="284" spans="1:25" x14ac:dyDescent="0.35">
      <c r="A284" t="s">
        <v>25</v>
      </c>
      <c r="B284" t="s">
        <v>966</v>
      </c>
      <c r="C284" t="str">
        <f>VLOOKUP(B284,Tabelle3!A:C,2,FALSE)</f>
        <v>Süd</v>
      </c>
      <c r="D284" t="s">
        <v>27</v>
      </c>
      <c r="E284" t="s">
        <v>961</v>
      </c>
      <c r="F284" t="s">
        <v>967</v>
      </c>
      <c r="G284">
        <v>65929</v>
      </c>
      <c r="H284" t="s">
        <v>474</v>
      </c>
      <c r="I284" t="s">
        <v>963</v>
      </c>
      <c r="J284" t="s">
        <v>865</v>
      </c>
      <c r="K284">
        <v>29952</v>
      </c>
      <c r="L284" t="s">
        <v>33</v>
      </c>
      <c r="M284" t="s">
        <v>34</v>
      </c>
      <c r="N284" t="s">
        <v>33</v>
      </c>
      <c r="O284" t="s">
        <v>25</v>
      </c>
      <c r="P284" t="s">
        <v>266</v>
      </c>
      <c r="Q284" t="s">
        <v>33</v>
      </c>
      <c r="R284" t="s">
        <v>46</v>
      </c>
      <c r="S284">
        <v>0.39750000000000002</v>
      </c>
      <c r="T284" t="s">
        <v>47</v>
      </c>
      <c r="U284">
        <v>18.559999999999999</v>
      </c>
      <c r="V284">
        <v>17.38</v>
      </c>
      <c r="W284">
        <v>15.1206</v>
      </c>
      <c r="X284">
        <v>40.69</v>
      </c>
      <c r="Y284">
        <v>138.93232704402516</v>
      </c>
    </row>
    <row r="285" spans="1:25" x14ac:dyDescent="0.35">
      <c r="A285" t="s">
        <v>25</v>
      </c>
      <c r="B285" t="s">
        <v>968</v>
      </c>
      <c r="C285" t="str">
        <f>VLOOKUP(B285,Tabelle3!A:C,2,FALSE)</f>
        <v>Süd</v>
      </c>
      <c r="D285" t="s">
        <v>27</v>
      </c>
      <c r="E285" t="s">
        <v>961</v>
      </c>
      <c r="F285" t="s">
        <v>969</v>
      </c>
      <c r="G285">
        <v>65929</v>
      </c>
      <c r="H285" t="s">
        <v>474</v>
      </c>
      <c r="I285" t="s">
        <v>963</v>
      </c>
      <c r="J285" t="s">
        <v>865</v>
      </c>
      <c r="K285">
        <v>30554</v>
      </c>
      <c r="L285" t="s">
        <v>33</v>
      </c>
      <c r="M285" t="s">
        <v>34</v>
      </c>
      <c r="N285" t="s">
        <v>33</v>
      </c>
      <c r="O285" t="s">
        <v>25</v>
      </c>
      <c r="P285" t="s">
        <v>266</v>
      </c>
      <c r="Q285" t="s">
        <v>33</v>
      </c>
      <c r="R285" t="s">
        <v>46</v>
      </c>
      <c r="S285">
        <v>0.39750000000000002</v>
      </c>
      <c r="T285" t="s">
        <v>47</v>
      </c>
      <c r="U285">
        <v>18.559999999999999</v>
      </c>
      <c r="V285">
        <v>17.38</v>
      </c>
      <c r="W285">
        <v>15.1206</v>
      </c>
      <c r="X285">
        <v>40.69</v>
      </c>
      <c r="Y285">
        <v>138.93232704402516</v>
      </c>
    </row>
    <row r="286" spans="1:25" x14ac:dyDescent="0.35">
      <c r="A286" t="s">
        <v>25</v>
      </c>
      <c r="B286" t="s">
        <v>970</v>
      </c>
      <c r="C286" t="str">
        <f>VLOOKUP(B286,Tabelle3!A:C,2,FALSE)</f>
        <v>Süd</v>
      </c>
      <c r="D286" t="s">
        <v>27</v>
      </c>
      <c r="E286" t="s">
        <v>961</v>
      </c>
      <c r="F286" t="s">
        <v>971</v>
      </c>
      <c r="G286">
        <v>65929</v>
      </c>
      <c r="H286" t="s">
        <v>474</v>
      </c>
      <c r="I286" t="s">
        <v>963</v>
      </c>
      <c r="J286" t="s">
        <v>865</v>
      </c>
      <c r="K286">
        <v>44454</v>
      </c>
      <c r="L286" t="s">
        <v>33</v>
      </c>
      <c r="M286" t="s">
        <v>34</v>
      </c>
      <c r="N286" t="s">
        <v>33</v>
      </c>
      <c r="O286" t="s">
        <v>25</v>
      </c>
      <c r="P286" t="s">
        <v>266</v>
      </c>
      <c r="Q286" t="s">
        <v>33</v>
      </c>
      <c r="R286" t="s">
        <v>46</v>
      </c>
      <c r="S286">
        <v>0.63</v>
      </c>
      <c r="T286" t="s">
        <v>37</v>
      </c>
      <c r="U286">
        <v>27</v>
      </c>
      <c r="V286">
        <v>26.8</v>
      </c>
      <c r="W286">
        <v>23.315999999999999</v>
      </c>
      <c r="X286">
        <v>40.69</v>
      </c>
      <c r="Y286">
        <v>88.213253968253966</v>
      </c>
    </row>
    <row r="287" spans="1:25" x14ac:dyDescent="0.35">
      <c r="A287" t="s">
        <v>25</v>
      </c>
      <c r="B287" t="s">
        <v>972</v>
      </c>
      <c r="C287" t="str">
        <f>VLOOKUP(B287,Tabelle3!A:C,2,FALSE)</f>
        <v>Süd</v>
      </c>
      <c r="D287" t="s">
        <v>27</v>
      </c>
      <c r="E287" t="s">
        <v>961</v>
      </c>
      <c r="F287" t="s">
        <v>973</v>
      </c>
      <c r="G287">
        <v>65929</v>
      </c>
      <c r="H287" t="s">
        <v>474</v>
      </c>
      <c r="I287" t="s">
        <v>963</v>
      </c>
      <c r="J287" t="s">
        <v>865</v>
      </c>
      <c r="K287">
        <v>40549</v>
      </c>
      <c r="L287" t="s">
        <v>33</v>
      </c>
      <c r="M287" t="s">
        <v>34</v>
      </c>
      <c r="N287" t="s">
        <v>33</v>
      </c>
      <c r="O287" t="s">
        <v>25</v>
      </c>
      <c r="P287" t="s">
        <v>87</v>
      </c>
      <c r="Q287" t="s">
        <v>33</v>
      </c>
      <c r="R287" t="s">
        <v>46</v>
      </c>
      <c r="S287">
        <v>0.3982</v>
      </c>
      <c r="T287" t="s">
        <v>47</v>
      </c>
      <c r="U287">
        <v>50</v>
      </c>
      <c r="V287">
        <v>49.8</v>
      </c>
      <c r="W287">
        <v>43.326000000000001</v>
      </c>
      <c r="X287">
        <v>40.69</v>
      </c>
      <c r="Y287">
        <v>138.69073329984931</v>
      </c>
    </row>
    <row r="288" spans="1:25" x14ac:dyDescent="0.35">
      <c r="A288" t="s">
        <v>25</v>
      </c>
      <c r="B288" t="s">
        <v>974</v>
      </c>
      <c r="C288" t="str">
        <f>VLOOKUP(B288,Tabelle3!A:C,2,FALSE)</f>
        <v>Süd</v>
      </c>
      <c r="D288" t="s">
        <v>27</v>
      </c>
      <c r="E288" t="s">
        <v>961</v>
      </c>
      <c r="F288" t="s">
        <v>975</v>
      </c>
      <c r="G288">
        <v>65929</v>
      </c>
      <c r="H288" t="s">
        <v>474</v>
      </c>
      <c r="I288" t="s">
        <v>963</v>
      </c>
      <c r="J288" t="s">
        <v>865</v>
      </c>
      <c r="K288">
        <v>40552</v>
      </c>
      <c r="L288" t="s">
        <v>33</v>
      </c>
      <c r="M288" t="s">
        <v>34</v>
      </c>
      <c r="N288" t="s">
        <v>33</v>
      </c>
      <c r="O288" t="s">
        <v>25</v>
      </c>
      <c r="P288" t="s">
        <v>87</v>
      </c>
      <c r="Q288" t="s">
        <v>33</v>
      </c>
      <c r="R288" t="s">
        <v>46</v>
      </c>
      <c r="S288">
        <v>0.3982</v>
      </c>
      <c r="T288" t="s">
        <v>47</v>
      </c>
      <c r="U288">
        <v>50</v>
      </c>
      <c r="V288">
        <v>49.8</v>
      </c>
      <c r="W288">
        <v>43.326000000000001</v>
      </c>
      <c r="X288">
        <v>40.69</v>
      </c>
      <c r="Y288">
        <v>138.69073329984931</v>
      </c>
    </row>
    <row r="289" spans="1:25" x14ac:dyDescent="0.35">
      <c r="A289" t="s">
        <v>25</v>
      </c>
      <c r="B289" t="s">
        <v>976</v>
      </c>
      <c r="C289" t="str">
        <f>VLOOKUP(B289,Tabelle3!A:C,2,FALSE)</f>
        <v>Süd</v>
      </c>
      <c r="D289" t="s">
        <v>27</v>
      </c>
      <c r="E289" t="s">
        <v>961</v>
      </c>
      <c r="F289" t="s">
        <v>977</v>
      </c>
      <c r="G289">
        <v>65929</v>
      </c>
      <c r="H289" t="s">
        <v>474</v>
      </c>
      <c r="I289" t="s">
        <v>963</v>
      </c>
      <c r="J289" t="s">
        <v>865</v>
      </c>
      <c r="K289">
        <v>37951</v>
      </c>
      <c r="L289" t="s">
        <v>33</v>
      </c>
      <c r="M289" t="s">
        <v>34</v>
      </c>
      <c r="N289" t="s">
        <v>33</v>
      </c>
      <c r="O289" t="s">
        <v>25</v>
      </c>
      <c r="P289" t="s">
        <v>35</v>
      </c>
      <c r="Q289" t="s">
        <v>33</v>
      </c>
      <c r="R289" t="s">
        <v>36</v>
      </c>
      <c r="S289">
        <v>0.38829999999999998</v>
      </c>
      <c r="T289" t="s">
        <v>47</v>
      </c>
      <c r="U289">
        <v>54</v>
      </c>
      <c r="V289">
        <v>53.6</v>
      </c>
      <c r="W289">
        <v>46.631999999999998</v>
      </c>
      <c r="X289">
        <v>40.69</v>
      </c>
      <c r="Y289">
        <v>141.68851403553953</v>
      </c>
    </row>
    <row r="290" spans="1:25" x14ac:dyDescent="0.35">
      <c r="A290" t="s">
        <v>25</v>
      </c>
      <c r="B290" t="s">
        <v>978</v>
      </c>
      <c r="C290" t="str">
        <f>VLOOKUP(B290,Tabelle3!A:C,2,FALSE)</f>
        <v>Süd</v>
      </c>
      <c r="D290" t="s">
        <v>27</v>
      </c>
      <c r="E290" t="s">
        <v>961</v>
      </c>
      <c r="F290" t="s">
        <v>979</v>
      </c>
      <c r="G290">
        <v>65929</v>
      </c>
      <c r="H290" t="s">
        <v>474</v>
      </c>
      <c r="I290" t="s">
        <v>963</v>
      </c>
      <c r="J290" t="s">
        <v>865</v>
      </c>
      <c r="K290">
        <v>41848</v>
      </c>
      <c r="L290" t="s">
        <v>171</v>
      </c>
      <c r="M290" t="s">
        <v>172</v>
      </c>
      <c r="N290" t="s">
        <v>173</v>
      </c>
      <c r="O290" t="s">
        <v>25</v>
      </c>
      <c r="P290" t="s">
        <v>82</v>
      </c>
      <c r="Q290" t="s">
        <v>173</v>
      </c>
      <c r="R290" t="s">
        <v>173</v>
      </c>
      <c r="S290">
        <v>0.33</v>
      </c>
      <c r="T290" t="s">
        <v>47</v>
      </c>
      <c r="U290">
        <v>86</v>
      </c>
      <c r="V290">
        <v>71</v>
      </c>
      <c r="W290">
        <v>60.35</v>
      </c>
      <c r="X290">
        <v>0</v>
      </c>
      <c r="Y290">
        <v>1</v>
      </c>
    </row>
    <row r="291" spans="1:25" x14ac:dyDescent="0.35">
      <c r="A291" t="s">
        <v>25</v>
      </c>
      <c r="B291" t="s">
        <v>980</v>
      </c>
      <c r="C291" t="str">
        <f>VLOOKUP(B291,Tabelle3!A:C,2,FALSE)</f>
        <v>Süd</v>
      </c>
      <c r="D291" t="s">
        <v>27</v>
      </c>
      <c r="E291" t="s">
        <v>961</v>
      </c>
      <c r="F291" t="s">
        <v>981</v>
      </c>
      <c r="G291">
        <v>65929</v>
      </c>
      <c r="H291" t="s">
        <v>474</v>
      </c>
      <c r="I291" t="s">
        <v>963</v>
      </c>
      <c r="J291" t="s">
        <v>865</v>
      </c>
      <c r="K291">
        <v>44764</v>
      </c>
      <c r="L291" t="s">
        <v>33</v>
      </c>
      <c r="M291" t="s">
        <v>34</v>
      </c>
      <c r="N291" t="s">
        <v>33</v>
      </c>
      <c r="O291" t="s">
        <v>25</v>
      </c>
      <c r="P291" t="s">
        <v>87</v>
      </c>
      <c r="Q291" t="s">
        <v>33</v>
      </c>
      <c r="R291" t="s">
        <v>46</v>
      </c>
      <c r="S291">
        <v>0.432</v>
      </c>
      <c r="T291" t="s">
        <v>37</v>
      </c>
      <c r="U291">
        <v>90.683999999999997</v>
      </c>
      <c r="V291">
        <v>89.116</v>
      </c>
      <c r="W291">
        <v>77.530919999999995</v>
      </c>
      <c r="X291">
        <v>40.69</v>
      </c>
      <c r="Y291">
        <v>127.95682870370371</v>
      </c>
    </row>
    <row r="292" spans="1:25" x14ac:dyDescent="0.35">
      <c r="A292" t="s">
        <v>25</v>
      </c>
      <c r="B292" t="s">
        <v>982</v>
      </c>
      <c r="C292" t="str">
        <f>VLOOKUP(B292,Tabelle3!A:C,2,FALSE)</f>
        <v>Süd</v>
      </c>
      <c r="D292" t="s">
        <v>27</v>
      </c>
      <c r="E292" t="s">
        <v>961</v>
      </c>
      <c r="F292" t="s">
        <v>983</v>
      </c>
      <c r="G292">
        <v>65929</v>
      </c>
      <c r="H292" t="s">
        <v>474</v>
      </c>
      <c r="I292" t="s">
        <v>963</v>
      </c>
      <c r="J292" t="s">
        <v>865</v>
      </c>
      <c r="K292">
        <v>44746</v>
      </c>
      <c r="L292" t="s">
        <v>33</v>
      </c>
      <c r="M292" t="s">
        <v>34</v>
      </c>
      <c r="N292" t="s">
        <v>33</v>
      </c>
      <c r="O292" t="s">
        <v>25</v>
      </c>
      <c r="P292" t="s">
        <v>87</v>
      </c>
      <c r="Q292" t="s">
        <v>33</v>
      </c>
      <c r="R292" t="s">
        <v>46</v>
      </c>
      <c r="S292">
        <v>0.432</v>
      </c>
      <c r="T292" t="s">
        <v>37</v>
      </c>
      <c r="U292">
        <v>90.813999999999993</v>
      </c>
      <c r="V292">
        <v>89.388999999999996</v>
      </c>
      <c r="W292">
        <v>77.768429999999995</v>
      </c>
      <c r="X292">
        <v>40.69</v>
      </c>
      <c r="Y292">
        <v>127.95682870370371</v>
      </c>
    </row>
    <row r="293" spans="1:25" x14ac:dyDescent="0.35">
      <c r="A293" t="s">
        <v>25</v>
      </c>
      <c r="B293" t="s">
        <v>984</v>
      </c>
      <c r="C293" t="str">
        <f>VLOOKUP(B293,Tabelle3!A:C,2,FALSE)</f>
        <v>Süd</v>
      </c>
      <c r="D293" t="s">
        <v>27</v>
      </c>
      <c r="E293" t="s">
        <v>985</v>
      </c>
      <c r="F293" t="s">
        <v>986</v>
      </c>
      <c r="G293">
        <v>65203</v>
      </c>
      <c r="H293" t="s">
        <v>987</v>
      </c>
      <c r="I293" t="s">
        <v>988</v>
      </c>
      <c r="J293" t="s">
        <v>865</v>
      </c>
      <c r="K293">
        <v>28459</v>
      </c>
      <c r="L293" t="s">
        <v>33</v>
      </c>
      <c r="M293" t="s">
        <v>34</v>
      </c>
      <c r="N293" t="s">
        <v>33</v>
      </c>
      <c r="O293" t="s">
        <v>25</v>
      </c>
      <c r="P293" t="s">
        <v>266</v>
      </c>
      <c r="Q293" t="s">
        <v>33</v>
      </c>
      <c r="R293" t="s">
        <v>46</v>
      </c>
      <c r="S293">
        <v>0.3916</v>
      </c>
      <c r="T293" t="s">
        <v>47</v>
      </c>
      <c r="U293">
        <v>10.573</v>
      </c>
      <c r="V293">
        <v>10.323</v>
      </c>
      <c r="W293">
        <v>8.9810099999999995</v>
      </c>
      <c r="X293">
        <v>40.69</v>
      </c>
      <c r="Y293">
        <v>141.00293667007151</v>
      </c>
    </row>
    <row r="294" spans="1:25" x14ac:dyDescent="0.35">
      <c r="A294" t="s">
        <v>25</v>
      </c>
      <c r="B294" t="s">
        <v>989</v>
      </c>
      <c r="C294" t="str">
        <f>VLOOKUP(B294,Tabelle3!A:C,2,FALSE)</f>
        <v>Süd</v>
      </c>
      <c r="D294" t="s">
        <v>27</v>
      </c>
      <c r="E294" t="s">
        <v>985</v>
      </c>
      <c r="F294" t="s">
        <v>990</v>
      </c>
      <c r="G294">
        <v>65203</v>
      </c>
      <c r="H294" t="s">
        <v>987</v>
      </c>
      <c r="I294" t="s">
        <v>988</v>
      </c>
      <c r="J294" t="s">
        <v>865</v>
      </c>
      <c r="K294">
        <v>35124</v>
      </c>
      <c r="L294" t="s">
        <v>33</v>
      </c>
      <c r="M294" t="s">
        <v>34</v>
      </c>
      <c r="N294" t="s">
        <v>33</v>
      </c>
      <c r="O294" t="s">
        <v>25</v>
      </c>
      <c r="P294" t="s">
        <v>87</v>
      </c>
      <c r="Q294" t="s">
        <v>33</v>
      </c>
      <c r="R294" t="s">
        <v>46</v>
      </c>
      <c r="S294">
        <v>0.3916</v>
      </c>
      <c r="T294" t="s">
        <v>47</v>
      </c>
      <c r="U294">
        <v>11.66</v>
      </c>
      <c r="V294">
        <v>11.41</v>
      </c>
      <c r="W294">
        <v>9.9267000000000003</v>
      </c>
      <c r="X294">
        <v>40.69</v>
      </c>
      <c r="Y294">
        <v>141.00293667007151</v>
      </c>
    </row>
    <row r="295" spans="1:25" x14ac:dyDescent="0.35">
      <c r="A295" t="s">
        <v>25</v>
      </c>
      <c r="B295" t="s">
        <v>991</v>
      </c>
      <c r="C295" t="str">
        <f>VLOOKUP(B295,Tabelle3!A:C,2,FALSE)</f>
        <v>Süd</v>
      </c>
      <c r="D295" t="s">
        <v>27</v>
      </c>
      <c r="E295" t="s">
        <v>985</v>
      </c>
      <c r="F295" t="s">
        <v>992</v>
      </c>
      <c r="G295">
        <v>65203</v>
      </c>
      <c r="H295" t="s">
        <v>987</v>
      </c>
      <c r="I295" t="s">
        <v>988</v>
      </c>
      <c r="J295" t="s">
        <v>865</v>
      </c>
      <c r="K295">
        <v>44286</v>
      </c>
      <c r="L295" t="s">
        <v>33</v>
      </c>
      <c r="M295" t="s">
        <v>34</v>
      </c>
      <c r="N295" t="s">
        <v>33</v>
      </c>
      <c r="O295" t="s">
        <v>25</v>
      </c>
      <c r="P295" t="s">
        <v>87</v>
      </c>
      <c r="Q295" t="s">
        <v>33</v>
      </c>
      <c r="R295" t="s">
        <v>46</v>
      </c>
      <c r="S295">
        <v>0.3916</v>
      </c>
      <c r="T295" t="s">
        <v>47</v>
      </c>
      <c r="U295">
        <v>22.111000000000001</v>
      </c>
      <c r="V295">
        <v>21.861000000000001</v>
      </c>
      <c r="W295">
        <v>19.019069999999999</v>
      </c>
      <c r="X295">
        <v>40.69</v>
      </c>
      <c r="Y295">
        <v>141.00293667007151</v>
      </c>
    </row>
    <row r="296" spans="1:25" x14ac:dyDescent="0.35">
      <c r="A296" t="s">
        <v>25</v>
      </c>
      <c r="B296" t="s">
        <v>993</v>
      </c>
      <c r="C296" t="str">
        <f>VLOOKUP(B296,Tabelle3!A:C,2,FALSE)</f>
        <v>Süd</v>
      </c>
      <c r="D296" t="s">
        <v>27</v>
      </c>
      <c r="E296" t="s">
        <v>985</v>
      </c>
      <c r="F296" t="s">
        <v>994</v>
      </c>
      <c r="G296">
        <v>65203</v>
      </c>
      <c r="H296" t="s">
        <v>987</v>
      </c>
      <c r="I296" t="s">
        <v>988</v>
      </c>
      <c r="J296" t="s">
        <v>865</v>
      </c>
      <c r="K296">
        <v>44286</v>
      </c>
      <c r="L296" t="s">
        <v>33</v>
      </c>
      <c r="M296" t="s">
        <v>34</v>
      </c>
      <c r="N296" t="s">
        <v>33</v>
      </c>
      <c r="O296" t="s">
        <v>25</v>
      </c>
      <c r="P296" t="s">
        <v>87</v>
      </c>
      <c r="Q296" t="s">
        <v>33</v>
      </c>
      <c r="R296" t="s">
        <v>46</v>
      </c>
      <c r="S296">
        <v>0.3916</v>
      </c>
      <c r="T296" t="s">
        <v>47</v>
      </c>
      <c r="U296">
        <v>22.111000000000001</v>
      </c>
      <c r="V296">
        <v>21.861000000000001</v>
      </c>
      <c r="W296">
        <v>19.019069999999999</v>
      </c>
      <c r="X296">
        <v>40.69</v>
      </c>
      <c r="Y296">
        <v>141.00293667007151</v>
      </c>
    </row>
    <row r="297" spans="1:25" x14ac:dyDescent="0.35">
      <c r="A297" t="s">
        <v>25</v>
      </c>
      <c r="B297" t="s">
        <v>995</v>
      </c>
      <c r="C297" t="str">
        <f>VLOOKUP(B297,Tabelle3!A:C,2,FALSE)</f>
        <v>Süd</v>
      </c>
      <c r="D297" t="s">
        <v>27</v>
      </c>
      <c r="E297" t="s">
        <v>996</v>
      </c>
      <c r="F297" t="s">
        <v>997</v>
      </c>
      <c r="G297">
        <v>50354</v>
      </c>
      <c r="H297" t="s">
        <v>811</v>
      </c>
      <c r="I297" t="s">
        <v>812</v>
      </c>
      <c r="J297" t="s">
        <v>693</v>
      </c>
      <c r="K297">
        <v>39372</v>
      </c>
      <c r="L297" t="s">
        <v>33</v>
      </c>
      <c r="M297" t="s">
        <v>34</v>
      </c>
      <c r="N297" t="s">
        <v>33</v>
      </c>
      <c r="O297" t="s">
        <v>44</v>
      </c>
      <c r="P297" t="s">
        <v>35</v>
      </c>
      <c r="Q297" t="s">
        <v>33</v>
      </c>
      <c r="R297" t="s">
        <v>36</v>
      </c>
      <c r="S297">
        <v>0.6</v>
      </c>
      <c r="T297" t="s">
        <v>998</v>
      </c>
      <c r="U297">
        <v>280</v>
      </c>
      <c r="V297">
        <v>280</v>
      </c>
      <c r="W297">
        <v>243.6</v>
      </c>
      <c r="X297">
        <v>40.69</v>
      </c>
      <c r="Y297">
        <v>92.048916666666656</v>
      </c>
    </row>
    <row r="298" spans="1:25" x14ac:dyDescent="0.35">
      <c r="A298" t="s">
        <v>25</v>
      </c>
      <c r="B298" t="s">
        <v>999</v>
      </c>
      <c r="C298" t="str">
        <f>VLOOKUP(B298,Tabelle3!A:C,2,FALSE)</f>
        <v>Süd</v>
      </c>
      <c r="D298" t="s">
        <v>27</v>
      </c>
      <c r="E298" t="s">
        <v>996</v>
      </c>
      <c r="F298" t="s">
        <v>1000</v>
      </c>
      <c r="G298">
        <v>50354</v>
      </c>
      <c r="H298" t="s">
        <v>811</v>
      </c>
      <c r="I298" t="s">
        <v>812</v>
      </c>
      <c r="J298" t="s">
        <v>693</v>
      </c>
      <c r="K298">
        <v>39372</v>
      </c>
      <c r="L298" t="s">
        <v>33</v>
      </c>
      <c r="M298" t="s">
        <v>34</v>
      </c>
      <c r="N298" t="s">
        <v>33</v>
      </c>
      <c r="O298" t="s">
        <v>44</v>
      </c>
      <c r="P298" t="s">
        <v>35</v>
      </c>
      <c r="Q298" t="s">
        <v>33</v>
      </c>
      <c r="R298" t="s">
        <v>36</v>
      </c>
      <c r="S298">
        <v>0.57150000000000001</v>
      </c>
      <c r="T298" t="s">
        <v>47</v>
      </c>
      <c r="U298">
        <v>308</v>
      </c>
      <c r="V298">
        <v>308</v>
      </c>
      <c r="W298">
        <v>267.95999999999998</v>
      </c>
      <c r="X298">
        <v>40.69</v>
      </c>
      <c r="Y298">
        <v>96.589413823272082</v>
      </c>
    </row>
    <row r="299" spans="1:25" x14ac:dyDescent="0.35">
      <c r="A299" t="s">
        <v>25</v>
      </c>
      <c r="B299" t="s">
        <v>1001</v>
      </c>
      <c r="C299" t="str">
        <f>VLOOKUP(B299,Tabelle3!A:C,2,FALSE)</f>
        <v>Süd</v>
      </c>
      <c r="D299" t="s">
        <v>27</v>
      </c>
      <c r="E299" t="s">
        <v>996</v>
      </c>
      <c r="F299" t="s">
        <v>1002</v>
      </c>
      <c r="G299">
        <v>50354</v>
      </c>
      <c r="H299" t="s">
        <v>811</v>
      </c>
      <c r="I299" t="s">
        <v>812</v>
      </c>
      <c r="J299" t="s">
        <v>693</v>
      </c>
      <c r="K299">
        <v>39372</v>
      </c>
      <c r="L299" t="s">
        <v>33</v>
      </c>
      <c r="M299" t="s">
        <v>34</v>
      </c>
      <c r="N299" t="s">
        <v>33</v>
      </c>
      <c r="O299" t="s">
        <v>44</v>
      </c>
      <c r="P299" t="s">
        <v>35</v>
      </c>
      <c r="Q299" t="s">
        <v>33</v>
      </c>
      <c r="R299" t="s">
        <v>36</v>
      </c>
      <c r="S299">
        <v>0.6</v>
      </c>
      <c r="T299" t="s">
        <v>998</v>
      </c>
      <c r="U299">
        <v>308</v>
      </c>
      <c r="V299">
        <v>308</v>
      </c>
      <c r="W299">
        <v>267.95999999999998</v>
      </c>
      <c r="X299">
        <v>40.69</v>
      </c>
      <c r="Y299">
        <v>92.048916666666656</v>
      </c>
    </row>
    <row r="300" spans="1:25" x14ac:dyDescent="0.35">
      <c r="A300" t="s">
        <v>25</v>
      </c>
      <c r="B300" t="s">
        <v>1003</v>
      </c>
      <c r="C300" t="str">
        <f>VLOOKUP(B300,Tabelle3!A:C,2,FALSE)</f>
        <v>Süd</v>
      </c>
      <c r="D300" t="s">
        <v>27</v>
      </c>
      <c r="E300" t="s">
        <v>1004</v>
      </c>
      <c r="F300" t="s">
        <v>1005</v>
      </c>
      <c r="G300">
        <v>65428</v>
      </c>
      <c r="H300" t="s">
        <v>1006</v>
      </c>
      <c r="I300" t="s">
        <v>1007</v>
      </c>
      <c r="J300" t="s">
        <v>865</v>
      </c>
      <c r="K300">
        <v>36374</v>
      </c>
      <c r="L300" t="s">
        <v>33</v>
      </c>
      <c r="M300" t="s">
        <v>34</v>
      </c>
      <c r="N300" t="s">
        <v>33</v>
      </c>
      <c r="O300" t="s">
        <v>25</v>
      </c>
      <c r="P300" t="s">
        <v>35</v>
      </c>
      <c r="Q300" t="s">
        <v>33</v>
      </c>
      <c r="R300" t="s">
        <v>36</v>
      </c>
      <c r="S300">
        <v>0.53549999999999998</v>
      </c>
      <c r="T300" t="s">
        <v>47</v>
      </c>
      <c r="U300">
        <v>104.5</v>
      </c>
      <c r="V300">
        <v>103</v>
      </c>
      <c r="W300">
        <v>89.61</v>
      </c>
      <c r="X300">
        <v>40.69</v>
      </c>
      <c r="Y300">
        <v>103.01559290382821</v>
      </c>
    </row>
    <row r="301" spans="1:25" x14ac:dyDescent="0.35">
      <c r="A301" t="s">
        <v>25</v>
      </c>
      <c r="B301" t="s">
        <v>1008</v>
      </c>
      <c r="C301" t="str">
        <f>VLOOKUP(B301,Tabelle3!A:C,2,FALSE)</f>
        <v>Süd</v>
      </c>
      <c r="D301" t="s">
        <v>27</v>
      </c>
      <c r="E301" t="s">
        <v>1009</v>
      </c>
      <c r="F301" t="s">
        <v>1010</v>
      </c>
      <c r="G301">
        <v>41460</v>
      </c>
      <c r="H301" t="s">
        <v>1011</v>
      </c>
      <c r="I301" t="s">
        <v>1012</v>
      </c>
      <c r="J301" t="s">
        <v>693</v>
      </c>
      <c r="K301">
        <v>45658</v>
      </c>
      <c r="L301" t="s">
        <v>33</v>
      </c>
      <c r="M301" t="s">
        <v>34</v>
      </c>
      <c r="N301" t="s">
        <v>33</v>
      </c>
      <c r="O301" t="s">
        <v>25</v>
      </c>
      <c r="P301" t="s">
        <v>87</v>
      </c>
      <c r="Q301" t="s">
        <v>33</v>
      </c>
      <c r="R301" t="s">
        <v>46</v>
      </c>
      <c r="S301">
        <v>0.47</v>
      </c>
      <c r="T301" t="s">
        <v>37</v>
      </c>
      <c r="U301">
        <v>16.600000000000001</v>
      </c>
      <c r="V301">
        <v>16.526</v>
      </c>
      <c r="W301">
        <v>14.37762</v>
      </c>
      <c r="X301">
        <v>40.69</v>
      </c>
      <c r="Y301">
        <v>117.7326595744681</v>
      </c>
    </row>
    <row r="302" spans="1:25" x14ac:dyDescent="0.35">
      <c r="A302" t="s">
        <v>25</v>
      </c>
      <c r="B302" t="s">
        <v>1013</v>
      </c>
      <c r="C302" t="s">
        <v>4081</v>
      </c>
      <c r="D302" t="s">
        <v>27</v>
      </c>
      <c r="E302" t="s">
        <v>1014</v>
      </c>
      <c r="F302" t="s">
        <v>1015</v>
      </c>
      <c r="G302">
        <v>55120</v>
      </c>
      <c r="H302" t="s">
        <v>880</v>
      </c>
      <c r="I302" t="s">
        <v>881</v>
      </c>
      <c r="J302" t="s">
        <v>712</v>
      </c>
      <c r="K302">
        <v>28126</v>
      </c>
      <c r="L302" t="s">
        <v>33</v>
      </c>
      <c r="M302" t="s">
        <v>34</v>
      </c>
      <c r="N302" t="s">
        <v>33</v>
      </c>
      <c r="O302" t="s">
        <v>44</v>
      </c>
      <c r="P302" t="s">
        <v>62</v>
      </c>
      <c r="Q302" t="s">
        <v>33</v>
      </c>
      <c r="R302" t="s">
        <v>36</v>
      </c>
      <c r="S302">
        <v>0.432</v>
      </c>
      <c r="T302" t="s">
        <v>47</v>
      </c>
      <c r="U302">
        <v>95</v>
      </c>
      <c r="V302">
        <v>90</v>
      </c>
      <c r="W302">
        <v>78.3</v>
      </c>
      <c r="X302">
        <v>40.69</v>
      </c>
      <c r="Y302">
        <v>127.45682870370371</v>
      </c>
    </row>
    <row r="303" spans="1:25" x14ac:dyDescent="0.35">
      <c r="A303" t="s">
        <v>25</v>
      </c>
      <c r="B303" t="s">
        <v>1016</v>
      </c>
      <c r="C303" t="str">
        <f>VLOOKUP(B303,Tabelle3!A:C,2,FALSE)</f>
        <v>Süd</v>
      </c>
      <c r="D303" t="s">
        <v>27</v>
      </c>
      <c r="E303" t="s">
        <v>1014</v>
      </c>
      <c r="F303" t="s">
        <v>1017</v>
      </c>
      <c r="G303">
        <v>55120</v>
      </c>
      <c r="H303" t="s">
        <v>880</v>
      </c>
      <c r="I303" t="s">
        <v>881</v>
      </c>
      <c r="J303" t="s">
        <v>712</v>
      </c>
      <c r="K303">
        <v>37077</v>
      </c>
      <c r="L303" t="s">
        <v>33</v>
      </c>
      <c r="M303" t="s">
        <v>34</v>
      </c>
      <c r="N303" t="s">
        <v>33</v>
      </c>
      <c r="O303" t="s">
        <v>25</v>
      </c>
      <c r="P303" t="s">
        <v>82</v>
      </c>
      <c r="Q303" t="s">
        <v>33</v>
      </c>
      <c r="R303" t="s">
        <v>46</v>
      </c>
      <c r="S303">
        <v>0.57999999999999996</v>
      </c>
      <c r="T303" t="s">
        <v>47</v>
      </c>
      <c r="U303">
        <v>139.69999999999999</v>
      </c>
      <c r="V303">
        <v>139.69999999999999</v>
      </c>
      <c r="W303">
        <v>121.53899999999999</v>
      </c>
      <c r="X303">
        <v>40.69</v>
      </c>
      <c r="Y303">
        <v>95.688534482758627</v>
      </c>
    </row>
    <row r="304" spans="1:25" x14ac:dyDescent="0.35">
      <c r="A304" t="s">
        <v>44</v>
      </c>
      <c r="B304" t="s">
        <v>1018</v>
      </c>
      <c r="C304" t="s">
        <v>4081</v>
      </c>
      <c r="D304" t="s">
        <v>870</v>
      </c>
      <c r="E304" t="s">
        <v>1014</v>
      </c>
      <c r="F304" t="s">
        <v>1019</v>
      </c>
      <c r="G304">
        <v>55120</v>
      </c>
      <c r="H304" t="s">
        <v>880</v>
      </c>
      <c r="I304" t="s">
        <v>881</v>
      </c>
      <c r="J304" t="s">
        <v>712</v>
      </c>
      <c r="K304">
        <v>28126</v>
      </c>
      <c r="L304" t="s">
        <v>33</v>
      </c>
      <c r="M304" t="s">
        <v>34</v>
      </c>
      <c r="N304" t="s">
        <v>33</v>
      </c>
      <c r="O304" t="s">
        <v>25</v>
      </c>
      <c r="P304" t="s">
        <v>82</v>
      </c>
      <c r="Q304" t="s">
        <v>33</v>
      </c>
      <c r="R304" t="s">
        <v>46</v>
      </c>
      <c r="S304">
        <v>0.44</v>
      </c>
      <c r="T304" t="s">
        <v>1020</v>
      </c>
      <c r="U304">
        <v>270</v>
      </c>
      <c r="V304">
        <v>250</v>
      </c>
      <c r="W304">
        <v>217.5</v>
      </c>
      <c r="X304">
        <v>40.69</v>
      </c>
      <c r="Y304">
        <v>125.65761363636364</v>
      </c>
    </row>
    <row r="305" spans="1:25" x14ac:dyDescent="0.35">
      <c r="A305" t="s">
        <v>25</v>
      </c>
      <c r="B305" t="s">
        <v>1021</v>
      </c>
      <c r="C305" t="str">
        <f>VLOOKUP(B305,Tabelle3!A:C,2,FALSE)</f>
        <v>Süd</v>
      </c>
      <c r="D305" t="s">
        <v>27</v>
      </c>
      <c r="E305" t="s">
        <v>1014</v>
      </c>
      <c r="F305" t="s">
        <v>1022</v>
      </c>
      <c r="G305">
        <v>55120</v>
      </c>
      <c r="H305" t="s">
        <v>880</v>
      </c>
      <c r="I305" t="s">
        <v>881</v>
      </c>
      <c r="J305" t="s">
        <v>712</v>
      </c>
      <c r="K305">
        <v>37077</v>
      </c>
      <c r="L305" t="s">
        <v>33</v>
      </c>
      <c r="M305" t="s">
        <v>34</v>
      </c>
      <c r="N305" t="s">
        <v>33</v>
      </c>
      <c r="O305" t="s">
        <v>25</v>
      </c>
      <c r="P305" t="s">
        <v>87</v>
      </c>
      <c r="Q305" t="s">
        <v>33</v>
      </c>
      <c r="R305" t="s">
        <v>46</v>
      </c>
      <c r="S305">
        <v>0.57999999999999996</v>
      </c>
      <c r="T305" t="s">
        <v>47</v>
      </c>
      <c r="U305">
        <v>296.3</v>
      </c>
      <c r="V305">
        <v>291.3</v>
      </c>
      <c r="W305">
        <v>253.43100000000001</v>
      </c>
      <c r="X305">
        <v>40.69</v>
      </c>
      <c r="Y305">
        <v>95.688534482758627</v>
      </c>
    </row>
    <row r="306" spans="1:25" x14ac:dyDescent="0.35">
      <c r="A306" t="s">
        <v>25</v>
      </c>
      <c r="B306" t="s">
        <v>1023</v>
      </c>
      <c r="C306" t="str">
        <f>VLOOKUP(B306,Tabelle3!A:C,2,FALSE)</f>
        <v>Süd</v>
      </c>
      <c r="D306" t="s">
        <v>27</v>
      </c>
      <c r="E306" t="s">
        <v>1024</v>
      </c>
      <c r="F306" t="s">
        <v>409</v>
      </c>
      <c r="G306">
        <v>47475</v>
      </c>
      <c r="H306" t="s">
        <v>1025</v>
      </c>
      <c r="I306" t="s">
        <v>1026</v>
      </c>
      <c r="J306" t="s">
        <v>693</v>
      </c>
      <c r="K306">
        <v>35521</v>
      </c>
      <c r="L306" t="s">
        <v>171</v>
      </c>
      <c r="M306" t="s">
        <v>172</v>
      </c>
      <c r="N306" t="s">
        <v>173</v>
      </c>
      <c r="O306" t="s">
        <v>25</v>
      </c>
      <c r="P306" t="s">
        <v>82</v>
      </c>
      <c r="Q306" t="s">
        <v>173</v>
      </c>
      <c r="R306" t="s">
        <v>173</v>
      </c>
      <c r="S306">
        <v>0.33</v>
      </c>
      <c r="T306" t="s">
        <v>47</v>
      </c>
      <c r="U306">
        <v>22</v>
      </c>
      <c r="V306">
        <v>16</v>
      </c>
      <c r="W306">
        <v>13.6</v>
      </c>
      <c r="X306">
        <v>0</v>
      </c>
      <c r="Y306">
        <v>1</v>
      </c>
    </row>
    <row r="307" spans="1:25" x14ac:dyDescent="0.35">
      <c r="A307" t="s">
        <v>25</v>
      </c>
      <c r="B307" t="s">
        <v>1027</v>
      </c>
      <c r="C307" t="str">
        <f>VLOOKUP(B307,Tabelle3!A:C,2,FALSE)</f>
        <v>Süd</v>
      </c>
      <c r="D307" t="s">
        <v>27</v>
      </c>
      <c r="E307" t="s">
        <v>1028</v>
      </c>
      <c r="F307" t="s">
        <v>1029</v>
      </c>
      <c r="G307">
        <v>86153</v>
      </c>
      <c r="H307" t="s">
        <v>1030</v>
      </c>
      <c r="I307" t="s">
        <v>1031</v>
      </c>
      <c r="J307" t="s">
        <v>701</v>
      </c>
      <c r="K307">
        <v>39934</v>
      </c>
      <c r="L307" t="s">
        <v>33</v>
      </c>
      <c r="M307" t="s">
        <v>34</v>
      </c>
      <c r="N307" t="s">
        <v>33</v>
      </c>
      <c r="O307" t="s">
        <v>44</v>
      </c>
      <c r="P307" t="s">
        <v>137</v>
      </c>
      <c r="Q307" t="s">
        <v>33</v>
      </c>
      <c r="R307" t="s">
        <v>46</v>
      </c>
      <c r="S307">
        <v>0.4</v>
      </c>
      <c r="T307" t="s">
        <v>108</v>
      </c>
      <c r="U307">
        <v>14</v>
      </c>
      <c r="V307">
        <v>13.84</v>
      </c>
      <c r="W307">
        <v>12.040799999999999</v>
      </c>
      <c r="X307">
        <v>40.69</v>
      </c>
      <c r="Y307">
        <v>138.073375</v>
      </c>
    </row>
    <row r="308" spans="1:25" x14ac:dyDescent="0.35">
      <c r="A308" t="s">
        <v>25</v>
      </c>
      <c r="B308" t="s">
        <v>1032</v>
      </c>
      <c r="C308" t="str">
        <f>VLOOKUP(B308,Tabelle3!A:C,2,FALSE)</f>
        <v>Süd</v>
      </c>
      <c r="D308" t="s">
        <v>27</v>
      </c>
      <c r="E308" t="s">
        <v>1033</v>
      </c>
      <c r="F308" t="s">
        <v>1034</v>
      </c>
      <c r="G308">
        <v>58313</v>
      </c>
      <c r="H308" t="s">
        <v>1035</v>
      </c>
      <c r="I308" t="s">
        <v>1036</v>
      </c>
      <c r="J308" t="s">
        <v>693</v>
      </c>
      <c r="K308">
        <v>39356</v>
      </c>
      <c r="L308" t="s">
        <v>33</v>
      </c>
      <c r="M308" t="s">
        <v>34</v>
      </c>
      <c r="N308" t="s">
        <v>33</v>
      </c>
      <c r="O308" t="s">
        <v>44</v>
      </c>
      <c r="P308" t="s">
        <v>35</v>
      </c>
      <c r="Q308" t="s">
        <v>33</v>
      </c>
      <c r="R308" t="s">
        <v>36</v>
      </c>
      <c r="S308">
        <v>0.59</v>
      </c>
      <c r="T308" t="s">
        <v>47</v>
      </c>
      <c r="U308">
        <v>432</v>
      </c>
      <c r="V308">
        <v>417</v>
      </c>
      <c r="W308">
        <v>362.79</v>
      </c>
      <c r="X308">
        <v>40.69</v>
      </c>
      <c r="Y308">
        <v>93.592118644067796</v>
      </c>
    </row>
    <row r="309" spans="1:25" x14ac:dyDescent="0.35">
      <c r="A309" t="s">
        <v>25</v>
      </c>
      <c r="B309" t="s">
        <v>1037</v>
      </c>
      <c r="C309" t="str">
        <f>VLOOKUP(B309,Tabelle3!A:C,2,FALSE)</f>
        <v>Süd</v>
      </c>
      <c r="D309" t="s">
        <v>27</v>
      </c>
      <c r="E309" t="s">
        <v>1038</v>
      </c>
      <c r="F309" t="s">
        <v>1039</v>
      </c>
      <c r="G309">
        <v>56727</v>
      </c>
      <c r="H309" t="s">
        <v>1040</v>
      </c>
      <c r="I309" t="s">
        <v>1041</v>
      </c>
      <c r="J309" t="s">
        <v>712</v>
      </c>
      <c r="K309">
        <v>42278</v>
      </c>
      <c r="L309" t="s">
        <v>33</v>
      </c>
      <c r="M309" t="s">
        <v>34</v>
      </c>
      <c r="N309" t="s">
        <v>33</v>
      </c>
      <c r="O309" t="s">
        <v>25</v>
      </c>
      <c r="P309" t="s">
        <v>87</v>
      </c>
      <c r="Q309" t="s">
        <v>33</v>
      </c>
      <c r="R309" t="s">
        <v>46</v>
      </c>
      <c r="S309">
        <v>0.59850000000000003</v>
      </c>
      <c r="T309" t="s">
        <v>47</v>
      </c>
      <c r="U309">
        <v>16</v>
      </c>
      <c r="V309">
        <v>14.5</v>
      </c>
      <c r="W309">
        <v>12.615</v>
      </c>
      <c r="X309">
        <v>40.69</v>
      </c>
      <c r="Y309">
        <v>92.777109440267324</v>
      </c>
    </row>
    <row r="310" spans="1:25" x14ac:dyDescent="0.35">
      <c r="A310" t="s">
        <v>25</v>
      </c>
      <c r="B310" t="s">
        <v>1042</v>
      </c>
      <c r="C310" t="str">
        <f>VLOOKUP(B310,Tabelle3!A:C,2,FALSE)</f>
        <v>Süd</v>
      </c>
      <c r="D310" t="s">
        <v>27</v>
      </c>
      <c r="E310" t="s">
        <v>1038</v>
      </c>
      <c r="F310" t="s">
        <v>1043</v>
      </c>
      <c r="G310">
        <v>56727</v>
      </c>
      <c r="H310" t="s">
        <v>1040</v>
      </c>
      <c r="I310" t="s">
        <v>1041</v>
      </c>
      <c r="J310" t="s">
        <v>712</v>
      </c>
      <c r="K310">
        <v>42278</v>
      </c>
      <c r="L310" t="s">
        <v>33</v>
      </c>
      <c r="M310" t="s">
        <v>34</v>
      </c>
      <c r="N310" t="s">
        <v>33</v>
      </c>
      <c r="O310" t="s">
        <v>25</v>
      </c>
      <c r="P310" t="s">
        <v>50</v>
      </c>
      <c r="Q310" t="s">
        <v>33</v>
      </c>
      <c r="R310" t="s">
        <v>46</v>
      </c>
      <c r="S310">
        <v>0.63</v>
      </c>
      <c r="T310" t="s">
        <v>37</v>
      </c>
      <c r="U310">
        <v>18.5</v>
      </c>
      <c r="V310">
        <v>17.7</v>
      </c>
      <c r="W310">
        <v>15.398999999999999</v>
      </c>
      <c r="X310">
        <v>40.69</v>
      </c>
      <c r="Y310">
        <v>88.213253968253966</v>
      </c>
    </row>
    <row r="311" spans="1:25" x14ac:dyDescent="0.35">
      <c r="A311" t="s">
        <v>25</v>
      </c>
      <c r="B311" t="s">
        <v>1044</v>
      </c>
      <c r="C311" t="str">
        <f>VLOOKUP(B311,Tabelle3!A:C,2,FALSE)</f>
        <v>Süd</v>
      </c>
      <c r="D311" t="s">
        <v>27</v>
      </c>
      <c r="E311" t="s">
        <v>1045</v>
      </c>
      <c r="F311" t="s">
        <v>1046</v>
      </c>
      <c r="G311">
        <v>52249</v>
      </c>
      <c r="H311" t="s">
        <v>1047</v>
      </c>
      <c r="I311" t="s">
        <v>1048</v>
      </c>
      <c r="J311" t="s">
        <v>693</v>
      </c>
      <c r="K311">
        <v>35339</v>
      </c>
      <c r="L311" t="s">
        <v>171</v>
      </c>
      <c r="M311" t="s">
        <v>172</v>
      </c>
      <c r="N311" t="s">
        <v>173</v>
      </c>
      <c r="O311" t="s">
        <v>44</v>
      </c>
      <c r="P311" t="s">
        <v>82</v>
      </c>
      <c r="Q311" t="s">
        <v>173</v>
      </c>
      <c r="R311" t="s">
        <v>173</v>
      </c>
      <c r="S311">
        <v>0.33</v>
      </c>
      <c r="T311" t="s">
        <v>47</v>
      </c>
      <c r="U311">
        <v>33</v>
      </c>
      <c r="V311">
        <v>27</v>
      </c>
      <c r="W311">
        <v>22.95</v>
      </c>
      <c r="X311">
        <v>0</v>
      </c>
      <c r="Y311">
        <v>1</v>
      </c>
    </row>
    <row r="312" spans="1:25" x14ac:dyDescent="0.35">
      <c r="A312" t="s">
        <v>25</v>
      </c>
      <c r="B312" t="s">
        <v>1049</v>
      </c>
      <c r="C312" t="s">
        <v>4081</v>
      </c>
      <c r="D312" t="s">
        <v>27</v>
      </c>
      <c r="E312" t="s">
        <v>1050</v>
      </c>
      <c r="F312" t="s">
        <v>1051</v>
      </c>
      <c r="G312">
        <v>46147</v>
      </c>
      <c r="H312" t="s">
        <v>858</v>
      </c>
      <c r="I312" t="s">
        <v>1052</v>
      </c>
      <c r="J312" t="s">
        <v>693</v>
      </c>
      <c r="K312">
        <v>18629</v>
      </c>
      <c r="L312" t="s">
        <v>60</v>
      </c>
      <c r="M312" t="s">
        <v>644</v>
      </c>
      <c r="N312" t="s">
        <v>60</v>
      </c>
      <c r="O312" t="s">
        <v>44</v>
      </c>
      <c r="P312" t="s">
        <v>45</v>
      </c>
      <c r="Q312" t="s">
        <v>63</v>
      </c>
      <c r="R312" t="s">
        <v>63</v>
      </c>
      <c r="S312">
        <v>0.33</v>
      </c>
      <c r="T312" t="s">
        <v>37</v>
      </c>
      <c r="U312">
        <v>21.5</v>
      </c>
      <c r="V312">
        <v>12</v>
      </c>
      <c r="W312">
        <v>10.199999999999999</v>
      </c>
      <c r="X312">
        <v>95.89</v>
      </c>
      <c r="Y312">
        <v>350.41818181818178</v>
      </c>
    </row>
    <row r="313" spans="1:25" x14ac:dyDescent="0.35">
      <c r="A313" t="s">
        <v>25</v>
      </c>
      <c r="B313" t="s">
        <v>1053</v>
      </c>
      <c r="C313" t="s">
        <v>4081</v>
      </c>
      <c r="D313" t="s">
        <v>27</v>
      </c>
      <c r="E313" t="s">
        <v>1054</v>
      </c>
      <c r="F313" t="s">
        <v>986</v>
      </c>
      <c r="G313">
        <v>50997</v>
      </c>
      <c r="H313" t="s">
        <v>721</v>
      </c>
      <c r="I313" t="s">
        <v>1055</v>
      </c>
      <c r="J313" t="s">
        <v>693</v>
      </c>
      <c r="K313">
        <v>44015</v>
      </c>
      <c r="L313" t="s">
        <v>593</v>
      </c>
      <c r="M313" t="s">
        <v>1056</v>
      </c>
      <c r="N313" t="s">
        <v>595</v>
      </c>
      <c r="O313" t="s">
        <v>25</v>
      </c>
      <c r="P313" t="s">
        <v>50</v>
      </c>
      <c r="Q313" t="s">
        <v>71</v>
      </c>
      <c r="R313" t="s">
        <v>71</v>
      </c>
      <c r="S313">
        <v>0.63</v>
      </c>
      <c r="T313" t="s">
        <v>37</v>
      </c>
      <c r="U313">
        <v>14</v>
      </c>
      <c r="V313">
        <v>13.4</v>
      </c>
      <c r="W313">
        <v>11.39</v>
      </c>
      <c r="X313">
        <v>95.59</v>
      </c>
      <c r="Y313">
        <v>176.28714285714287</v>
      </c>
    </row>
    <row r="314" spans="1:25" x14ac:dyDescent="0.35">
      <c r="A314" t="s">
        <v>25</v>
      </c>
      <c r="B314" t="s">
        <v>1057</v>
      </c>
      <c r="C314" t="s">
        <v>4081</v>
      </c>
      <c r="D314" t="s">
        <v>27</v>
      </c>
      <c r="E314" t="s">
        <v>1054</v>
      </c>
      <c r="F314" t="s">
        <v>990</v>
      </c>
      <c r="G314">
        <v>50997</v>
      </c>
      <c r="H314" t="s">
        <v>721</v>
      </c>
      <c r="I314" t="s">
        <v>1055</v>
      </c>
      <c r="J314" t="s">
        <v>693</v>
      </c>
      <c r="K314">
        <v>43090</v>
      </c>
      <c r="L314" t="s">
        <v>593</v>
      </c>
      <c r="M314" t="s">
        <v>1056</v>
      </c>
      <c r="N314" t="s">
        <v>595</v>
      </c>
      <c r="O314" t="s">
        <v>25</v>
      </c>
      <c r="P314" t="s">
        <v>82</v>
      </c>
      <c r="Q314" t="s">
        <v>71</v>
      </c>
      <c r="R314" t="s">
        <v>71</v>
      </c>
      <c r="S314">
        <v>0.63</v>
      </c>
      <c r="T314" t="s">
        <v>37</v>
      </c>
      <c r="U314">
        <v>22.77</v>
      </c>
      <c r="V314">
        <v>22</v>
      </c>
      <c r="W314">
        <v>18.7</v>
      </c>
      <c r="X314">
        <v>95.59</v>
      </c>
      <c r="Y314">
        <v>176.28714285714287</v>
      </c>
    </row>
    <row r="315" spans="1:25" x14ac:dyDescent="0.35">
      <c r="A315" t="s">
        <v>25</v>
      </c>
      <c r="B315" t="s">
        <v>1058</v>
      </c>
      <c r="C315" t="str">
        <f>VLOOKUP(B315,Tabelle3!A:C,2,FALSE)</f>
        <v>Süd</v>
      </c>
      <c r="D315" t="s">
        <v>27</v>
      </c>
      <c r="E315" t="s">
        <v>1059</v>
      </c>
      <c r="F315" t="s">
        <v>1060</v>
      </c>
      <c r="G315">
        <v>76744</v>
      </c>
      <c r="H315" t="s">
        <v>1061</v>
      </c>
      <c r="I315" t="s">
        <v>1062</v>
      </c>
      <c r="J315" t="s">
        <v>712</v>
      </c>
      <c r="K315">
        <v>39416</v>
      </c>
      <c r="L315" t="s">
        <v>33</v>
      </c>
      <c r="M315" t="s">
        <v>34</v>
      </c>
      <c r="N315" t="s">
        <v>33</v>
      </c>
      <c r="O315" t="s">
        <v>25</v>
      </c>
      <c r="P315" t="s">
        <v>35</v>
      </c>
      <c r="Q315" t="s">
        <v>33</v>
      </c>
      <c r="R315" t="s">
        <v>36</v>
      </c>
      <c r="S315">
        <v>0.39269999999999999</v>
      </c>
      <c r="T315" t="s">
        <v>47</v>
      </c>
      <c r="U315">
        <v>90.784000000000006</v>
      </c>
      <c r="V315">
        <v>90.784000000000006</v>
      </c>
      <c r="W315">
        <v>78.982080000000011</v>
      </c>
      <c r="X315">
        <v>40.69</v>
      </c>
      <c r="Y315">
        <v>140.11217214158393</v>
      </c>
    </row>
    <row r="316" spans="1:25" x14ac:dyDescent="0.35">
      <c r="A316" t="s">
        <v>25</v>
      </c>
      <c r="B316" t="s">
        <v>1063</v>
      </c>
      <c r="C316" t="str">
        <f>VLOOKUP(B316,Tabelle3!A:C,2,FALSE)</f>
        <v>Süd</v>
      </c>
      <c r="D316" t="s">
        <v>27</v>
      </c>
      <c r="E316" t="s">
        <v>1064</v>
      </c>
      <c r="F316" t="s">
        <v>1065</v>
      </c>
      <c r="G316">
        <v>52428</v>
      </c>
      <c r="H316" t="s">
        <v>1066</v>
      </c>
      <c r="I316" t="s">
        <v>1067</v>
      </c>
      <c r="J316" t="s">
        <v>693</v>
      </c>
      <c r="K316">
        <v>38250</v>
      </c>
      <c r="L316" t="s">
        <v>33</v>
      </c>
      <c r="M316" t="s">
        <v>34</v>
      </c>
      <c r="N316" t="s">
        <v>33</v>
      </c>
      <c r="O316" t="s">
        <v>25</v>
      </c>
      <c r="P316" t="s">
        <v>50</v>
      </c>
      <c r="Q316" t="s">
        <v>33</v>
      </c>
      <c r="R316" t="s">
        <v>46</v>
      </c>
      <c r="S316">
        <v>0.40960000000000002</v>
      </c>
      <c r="T316" t="s">
        <v>47</v>
      </c>
      <c r="U316">
        <v>25.21</v>
      </c>
      <c r="V316">
        <v>22.86</v>
      </c>
      <c r="W316">
        <v>19.888199999999998</v>
      </c>
      <c r="X316">
        <v>40.69</v>
      </c>
      <c r="Y316">
        <v>134.8724365234375</v>
      </c>
    </row>
    <row r="317" spans="1:25" x14ac:dyDescent="0.35">
      <c r="A317" t="s">
        <v>25</v>
      </c>
      <c r="B317" t="s">
        <v>1068</v>
      </c>
      <c r="C317" t="str">
        <f>VLOOKUP(B317,Tabelle3!A:C,2,FALSE)</f>
        <v>Süd</v>
      </c>
      <c r="D317" t="s">
        <v>27</v>
      </c>
      <c r="E317" t="s">
        <v>1069</v>
      </c>
      <c r="F317" t="s">
        <v>1070</v>
      </c>
      <c r="G317">
        <v>64747</v>
      </c>
      <c r="H317" t="s">
        <v>1071</v>
      </c>
      <c r="I317" t="s">
        <v>1072</v>
      </c>
      <c r="J317" t="s">
        <v>865</v>
      </c>
      <c r="K317">
        <v>43083</v>
      </c>
      <c r="L317" t="s">
        <v>33</v>
      </c>
      <c r="M317" t="s">
        <v>34</v>
      </c>
      <c r="N317" t="s">
        <v>33</v>
      </c>
      <c r="O317" t="s">
        <v>25</v>
      </c>
      <c r="P317" t="s">
        <v>87</v>
      </c>
      <c r="Q317" t="s">
        <v>33</v>
      </c>
      <c r="R317" t="s">
        <v>46</v>
      </c>
      <c r="S317">
        <v>0.38390000000000002</v>
      </c>
      <c r="T317" t="s">
        <v>47</v>
      </c>
      <c r="U317">
        <v>11.2</v>
      </c>
      <c r="V317">
        <v>10.37</v>
      </c>
      <c r="W317">
        <v>9.0218999999999987</v>
      </c>
      <c r="X317">
        <v>40.69</v>
      </c>
      <c r="Y317">
        <v>143.80098984110444</v>
      </c>
    </row>
    <row r="318" spans="1:25" x14ac:dyDescent="0.35">
      <c r="A318" t="s">
        <v>25</v>
      </c>
      <c r="B318" t="s">
        <v>1073</v>
      </c>
      <c r="C318" t="str">
        <f>VLOOKUP(B318,Tabelle3!A:C,2,FALSE)</f>
        <v>Süd</v>
      </c>
      <c r="D318" t="s">
        <v>27</v>
      </c>
      <c r="E318" t="s">
        <v>1074</v>
      </c>
      <c r="F318" t="s">
        <v>1075</v>
      </c>
      <c r="G318">
        <v>50769</v>
      </c>
      <c r="H318" t="s">
        <v>721</v>
      </c>
      <c r="I318" t="s">
        <v>1076</v>
      </c>
      <c r="J318" t="s">
        <v>693</v>
      </c>
      <c r="K318">
        <v>40463</v>
      </c>
      <c r="L318" t="s">
        <v>33</v>
      </c>
      <c r="M318" t="s">
        <v>34</v>
      </c>
      <c r="N318" t="s">
        <v>33</v>
      </c>
      <c r="O318" t="s">
        <v>25</v>
      </c>
      <c r="P318" t="s">
        <v>266</v>
      </c>
      <c r="Q318" t="s">
        <v>33</v>
      </c>
      <c r="R318" t="s">
        <v>46</v>
      </c>
      <c r="S318">
        <v>0.53</v>
      </c>
      <c r="T318" t="s">
        <v>47</v>
      </c>
      <c r="U318">
        <v>18.100000000000001</v>
      </c>
      <c r="V318">
        <v>15.5</v>
      </c>
      <c r="W318">
        <v>13.484999999999999</v>
      </c>
      <c r="X318">
        <v>40.69</v>
      </c>
      <c r="Y318">
        <v>104.57424528301885</v>
      </c>
    </row>
    <row r="319" spans="1:25" x14ac:dyDescent="0.35">
      <c r="A319" t="s">
        <v>25</v>
      </c>
      <c r="B319" t="s">
        <v>1077</v>
      </c>
      <c r="C319" t="str">
        <f>VLOOKUP(B319,Tabelle3!A:C,2,FALSE)</f>
        <v>Süd</v>
      </c>
      <c r="D319" t="s">
        <v>27</v>
      </c>
      <c r="E319" t="s">
        <v>1074</v>
      </c>
      <c r="F319" t="s">
        <v>1078</v>
      </c>
      <c r="G319">
        <v>51109</v>
      </c>
      <c r="H319" t="s">
        <v>721</v>
      </c>
      <c r="I319" t="s">
        <v>1079</v>
      </c>
      <c r="J319" t="s">
        <v>693</v>
      </c>
      <c r="K319">
        <v>43983</v>
      </c>
      <c r="L319" t="s">
        <v>33</v>
      </c>
      <c r="M319" t="s">
        <v>34</v>
      </c>
      <c r="N319" t="s">
        <v>33</v>
      </c>
      <c r="O319" t="s">
        <v>25</v>
      </c>
      <c r="P319" t="s">
        <v>137</v>
      </c>
      <c r="Q319" t="s">
        <v>33</v>
      </c>
      <c r="R319" t="s">
        <v>46</v>
      </c>
      <c r="S319">
        <v>0.4</v>
      </c>
      <c r="T319" t="s">
        <v>108</v>
      </c>
      <c r="U319">
        <v>31.161000000000001</v>
      </c>
      <c r="V319">
        <v>30.777000000000001</v>
      </c>
      <c r="W319">
        <v>26.77599</v>
      </c>
      <c r="X319">
        <v>40.69</v>
      </c>
      <c r="Y319">
        <v>138.073375</v>
      </c>
    </row>
    <row r="320" spans="1:25" x14ac:dyDescent="0.35">
      <c r="A320" t="s">
        <v>25</v>
      </c>
      <c r="B320" t="s">
        <v>1080</v>
      </c>
      <c r="C320" t="s">
        <v>4081</v>
      </c>
      <c r="D320" t="s">
        <v>27</v>
      </c>
      <c r="E320" t="s">
        <v>1074</v>
      </c>
      <c r="F320" t="s">
        <v>1081</v>
      </c>
      <c r="G320">
        <v>50769</v>
      </c>
      <c r="H320" t="s">
        <v>721</v>
      </c>
      <c r="I320" t="s">
        <v>1076</v>
      </c>
      <c r="J320" t="s">
        <v>693</v>
      </c>
      <c r="K320">
        <v>40528</v>
      </c>
      <c r="L320" t="s">
        <v>360</v>
      </c>
      <c r="M320" t="s">
        <v>1082</v>
      </c>
      <c r="N320" t="s">
        <v>360</v>
      </c>
      <c r="O320" t="s">
        <v>25</v>
      </c>
      <c r="P320" t="s">
        <v>50</v>
      </c>
      <c r="Q320" t="s">
        <v>360</v>
      </c>
      <c r="R320" t="s">
        <v>360</v>
      </c>
      <c r="S320">
        <v>0.42399999999999999</v>
      </c>
      <c r="T320" t="s">
        <v>47</v>
      </c>
      <c r="U320">
        <v>85.2</v>
      </c>
      <c r="V320">
        <v>75.3</v>
      </c>
      <c r="W320">
        <v>65.510999999999996</v>
      </c>
      <c r="X320">
        <v>3.1</v>
      </c>
      <c r="Y320">
        <v>75.090094339622652</v>
      </c>
    </row>
    <row r="321" spans="1:25" x14ac:dyDescent="0.35">
      <c r="A321" t="s">
        <v>25</v>
      </c>
      <c r="B321" t="s">
        <v>1083</v>
      </c>
      <c r="C321" t="str">
        <f>VLOOKUP(B321,Tabelle3!A:C,2,FALSE)</f>
        <v>Süd</v>
      </c>
      <c r="D321" t="s">
        <v>27</v>
      </c>
      <c r="E321" t="s">
        <v>1074</v>
      </c>
      <c r="F321" t="s">
        <v>1084</v>
      </c>
      <c r="G321">
        <v>50769</v>
      </c>
      <c r="H321" t="s">
        <v>721</v>
      </c>
      <c r="I321" t="s">
        <v>1076</v>
      </c>
      <c r="J321" t="s">
        <v>693</v>
      </c>
      <c r="K321">
        <v>38013</v>
      </c>
      <c r="L321" t="s">
        <v>33</v>
      </c>
      <c r="M321" t="s">
        <v>34</v>
      </c>
      <c r="N321" t="s">
        <v>33</v>
      </c>
      <c r="O321" t="s">
        <v>25</v>
      </c>
      <c r="P321" t="s">
        <v>82</v>
      </c>
      <c r="Q321" t="s">
        <v>33</v>
      </c>
      <c r="R321" t="s">
        <v>46</v>
      </c>
      <c r="S321">
        <v>0.53</v>
      </c>
      <c r="T321" t="s">
        <v>47</v>
      </c>
      <c r="U321">
        <v>110.2</v>
      </c>
      <c r="V321">
        <v>108.2</v>
      </c>
      <c r="W321">
        <v>94.134</v>
      </c>
      <c r="X321">
        <v>40.69</v>
      </c>
      <c r="Y321">
        <v>104.57424528301885</v>
      </c>
    </row>
    <row r="322" spans="1:25" x14ac:dyDescent="0.35">
      <c r="A322" t="s">
        <v>25</v>
      </c>
      <c r="B322" t="s">
        <v>1085</v>
      </c>
      <c r="C322" t="str">
        <f>VLOOKUP(B322,Tabelle3!A:C,2,FALSE)</f>
        <v>Süd</v>
      </c>
      <c r="D322" t="s">
        <v>27</v>
      </c>
      <c r="E322" t="s">
        <v>1074</v>
      </c>
      <c r="F322" t="s">
        <v>1086</v>
      </c>
      <c r="G322">
        <v>50735</v>
      </c>
      <c r="H322" t="s">
        <v>721</v>
      </c>
      <c r="I322" t="s">
        <v>1087</v>
      </c>
      <c r="J322" t="s">
        <v>693</v>
      </c>
      <c r="K322">
        <v>38437</v>
      </c>
      <c r="L322" t="s">
        <v>69</v>
      </c>
      <c r="M322" t="s">
        <v>70</v>
      </c>
      <c r="N322" t="s">
        <v>69</v>
      </c>
      <c r="O322" t="s">
        <v>25</v>
      </c>
      <c r="P322" t="s">
        <v>82</v>
      </c>
      <c r="Q322" t="s">
        <v>71</v>
      </c>
      <c r="R322" t="s">
        <v>71</v>
      </c>
      <c r="S322">
        <v>0.57999999999999996</v>
      </c>
      <c r="T322" t="s">
        <v>47</v>
      </c>
      <c r="U322">
        <v>147.001</v>
      </c>
      <c r="V322">
        <v>147</v>
      </c>
      <c r="W322">
        <v>124.95</v>
      </c>
      <c r="X322">
        <v>95.59</v>
      </c>
      <c r="Y322">
        <v>191.39810344827589</v>
      </c>
    </row>
    <row r="323" spans="1:25" x14ac:dyDescent="0.35">
      <c r="A323" t="s">
        <v>25</v>
      </c>
      <c r="B323" t="s">
        <v>1088</v>
      </c>
      <c r="C323" t="str">
        <f>VLOOKUP(B323,Tabelle3!A:C,2,FALSE)</f>
        <v>Süd</v>
      </c>
      <c r="D323" t="s">
        <v>27</v>
      </c>
      <c r="E323" t="s">
        <v>1074</v>
      </c>
      <c r="F323" t="s">
        <v>1089</v>
      </c>
      <c r="G323">
        <v>50735</v>
      </c>
      <c r="H323" t="s">
        <v>721</v>
      </c>
      <c r="I323" t="s">
        <v>1087</v>
      </c>
      <c r="J323" t="s">
        <v>693</v>
      </c>
      <c r="K323">
        <v>38437</v>
      </c>
      <c r="L323" t="s">
        <v>33</v>
      </c>
      <c r="M323" t="s">
        <v>34</v>
      </c>
      <c r="N323" t="s">
        <v>33</v>
      </c>
      <c r="O323" t="s">
        <v>25</v>
      </c>
      <c r="P323" t="s">
        <v>87</v>
      </c>
      <c r="Q323" t="s">
        <v>33</v>
      </c>
      <c r="R323" t="s">
        <v>46</v>
      </c>
      <c r="S323">
        <v>0.57999999999999996</v>
      </c>
      <c r="T323" t="s">
        <v>47</v>
      </c>
      <c r="U323">
        <v>274</v>
      </c>
      <c r="V323">
        <v>266</v>
      </c>
      <c r="W323">
        <v>231.42</v>
      </c>
      <c r="X323">
        <v>40.69</v>
      </c>
      <c r="Y323">
        <v>95.688534482758627</v>
      </c>
    </row>
    <row r="324" spans="1:25" x14ac:dyDescent="0.35">
      <c r="A324" t="s">
        <v>25</v>
      </c>
      <c r="B324" t="s">
        <v>1090</v>
      </c>
      <c r="C324" t="str">
        <f>VLOOKUP(B324,Tabelle3!A:C,2,FALSE)</f>
        <v>Süd</v>
      </c>
      <c r="D324" t="s">
        <v>27</v>
      </c>
      <c r="E324" t="s">
        <v>1074</v>
      </c>
      <c r="F324" t="s">
        <v>1091</v>
      </c>
      <c r="G324">
        <v>50735</v>
      </c>
      <c r="H324" t="s">
        <v>721</v>
      </c>
      <c r="I324" t="s">
        <v>1087</v>
      </c>
      <c r="J324" t="s">
        <v>693</v>
      </c>
      <c r="K324">
        <v>42489</v>
      </c>
      <c r="L324" t="s">
        <v>33</v>
      </c>
      <c r="M324" t="s">
        <v>34</v>
      </c>
      <c r="N324" t="s">
        <v>33</v>
      </c>
      <c r="O324" t="s">
        <v>25</v>
      </c>
      <c r="P324" t="s">
        <v>35</v>
      </c>
      <c r="Q324" t="s">
        <v>33</v>
      </c>
      <c r="R324" t="s">
        <v>36</v>
      </c>
      <c r="S324">
        <v>0.40260000000000001</v>
      </c>
      <c r="T324" t="s">
        <v>47</v>
      </c>
      <c r="U324">
        <v>459.9</v>
      </c>
      <c r="V324">
        <v>452.9</v>
      </c>
      <c r="W324">
        <v>394.02299999999997</v>
      </c>
      <c r="X324">
        <v>40.69</v>
      </c>
      <c r="Y324">
        <v>136.69138102334821</v>
      </c>
    </row>
    <row r="325" spans="1:25" x14ac:dyDescent="0.35">
      <c r="A325" t="s">
        <v>25</v>
      </c>
      <c r="B325" t="s">
        <v>1092</v>
      </c>
      <c r="C325" t="str">
        <f>VLOOKUP(B325,Tabelle3!A:C,2,FALSE)</f>
        <v>Süd</v>
      </c>
      <c r="D325" t="s">
        <v>27</v>
      </c>
      <c r="E325" t="s">
        <v>1093</v>
      </c>
      <c r="F325" t="s">
        <v>1094</v>
      </c>
      <c r="G325">
        <v>67547</v>
      </c>
      <c r="H325" t="s">
        <v>1095</v>
      </c>
      <c r="I325" t="s">
        <v>1096</v>
      </c>
      <c r="J325" t="s">
        <v>712</v>
      </c>
      <c r="K325">
        <v>33197</v>
      </c>
      <c r="L325" t="s">
        <v>33</v>
      </c>
      <c r="M325" t="s">
        <v>34</v>
      </c>
      <c r="N325" t="s">
        <v>33</v>
      </c>
      <c r="O325" t="s">
        <v>25</v>
      </c>
      <c r="P325" t="s">
        <v>50</v>
      </c>
      <c r="Q325" t="s">
        <v>33</v>
      </c>
      <c r="R325" t="s">
        <v>46</v>
      </c>
      <c r="S325">
        <v>0.33</v>
      </c>
      <c r="T325" t="s">
        <v>108</v>
      </c>
      <c r="U325">
        <v>12.3</v>
      </c>
      <c r="V325">
        <v>11.9</v>
      </c>
      <c r="W325">
        <v>10.353</v>
      </c>
      <c r="X325">
        <v>40.69</v>
      </c>
      <c r="Y325">
        <v>167.04348484848484</v>
      </c>
    </row>
    <row r="326" spans="1:25" x14ac:dyDescent="0.35">
      <c r="A326" t="s">
        <v>25</v>
      </c>
      <c r="B326" t="s">
        <v>1097</v>
      </c>
      <c r="C326" t="str">
        <f>VLOOKUP(B326,Tabelle3!A:C,2,FALSE)</f>
        <v>Süd</v>
      </c>
      <c r="D326" t="s">
        <v>27</v>
      </c>
      <c r="E326" t="s">
        <v>1098</v>
      </c>
      <c r="F326" t="s">
        <v>1099</v>
      </c>
      <c r="G326">
        <v>45329</v>
      </c>
      <c r="H326" t="s">
        <v>1100</v>
      </c>
      <c r="I326" t="s">
        <v>1101</v>
      </c>
      <c r="J326" t="s">
        <v>693</v>
      </c>
      <c r="K326">
        <v>31822</v>
      </c>
      <c r="L326" t="s">
        <v>171</v>
      </c>
      <c r="M326" t="s">
        <v>172</v>
      </c>
      <c r="N326" t="s">
        <v>173</v>
      </c>
      <c r="O326" t="s">
        <v>25</v>
      </c>
      <c r="P326" t="s">
        <v>82</v>
      </c>
      <c r="Q326" t="s">
        <v>173</v>
      </c>
      <c r="R326" t="s">
        <v>173</v>
      </c>
      <c r="S326">
        <v>0.33</v>
      </c>
      <c r="T326" t="s">
        <v>47</v>
      </c>
      <c r="U326">
        <v>48</v>
      </c>
      <c r="V326">
        <v>38</v>
      </c>
      <c r="W326">
        <v>32.299999999999997</v>
      </c>
      <c r="X326">
        <v>0</v>
      </c>
      <c r="Y326">
        <v>1</v>
      </c>
    </row>
    <row r="327" spans="1:25" x14ac:dyDescent="0.35">
      <c r="A327" t="s">
        <v>25</v>
      </c>
      <c r="B327" t="s">
        <v>1102</v>
      </c>
      <c r="C327" t="str">
        <f>VLOOKUP(B327,Tabelle3!A:C,2,FALSE)</f>
        <v>Süd</v>
      </c>
      <c r="D327" t="s">
        <v>27</v>
      </c>
      <c r="E327" t="s">
        <v>1098</v>
      </c>
      <c r="F327" t="s">
        <v>1103</v>
      </c>
      <c r="G327">
        <v>59368</v>
      </c>
      <c r="H327" t="s">
        <v>1104</v>
      </c>
      <c r="I327" t="s">
        <v>1105</v>
      </c>
      <c r="J327" t="s">
        <v>693</v>
      </c>
      <c r="K327">
        <v>44909</v>
      </c>
      <c r="L327" t="s">
        <v>33</v>
      </c>
      <c r="M327" t="s">
        <v>34</v>
      </c>
      <c r="N327" t="s">
        <v>33</v>
      </c>
      <c r="O327" t="s">
        <v>44</v>
      </c>
      <c r="P327" t="s">
        <v>62</v>
      </c>
      <c r="Q327" t="s">
        <v>33</v>
      </c>
      <c r="R327" t="s">
        <v>36</v>
      </c>
      <c r="S327">
        <v>0.432</v>
      </c>
      <c r="T327" t="s">
        <v>37</v>
      </c>
      <c r="U327">
        <v>46</v>
      </c>
      <c r="V327">
        <v>46</v>
      </c>
      <c r="W327">
        <v>40.020000000000003</v>
      </c>
      <c r="X327">
        <v>40.69</v>
      </c>
      <c r="Y327">
        <v>127.45682870370371</v>
      </c>
    </row>
    <row r="328" spans="1:25" x14ac:dyDescent="0.35">
      <c r="A328" t="s">
        <v>25</v>
      </c>
      <c r="B328" t="s">
        <v>1106</v>
      </c>
      <c r="C328" t="str">
        <f>VLOOKUP(B328,Tabelle3!A:C,2,FALSE)</f>
        <v>Süd</v>
      </c>
      <c r="D328" t="s">
        <v>27</v>
      </c>
      <c r="E328" t="s">
        <v>1098</v>
      </c>
      <c r="F328" t="s">
        <v>1107</v>
      </c>
      <c r="G328">
        <v>59368</v>
      </c>
      <c r="H328" t="s">
        <v>1104</v>
      </c>
      <c r="I328" t="s">
        <v>1105</v>
      </c>
      <c r="J328" t="s">
        <v>693</v>
      </c>
      <c r="K328">
        <v>27030</v>
      </c>
      <c r="L328" t="s">
        <v>33</v>
      </c>
      <c r="M328" t="s">
        <v>34</v>
      </c>
      <c r="N328" t="s">
        <v>33</v>
      </c>
      <c r="O328" t="s">
        <v>44</v>
      </c>
      <c r="P328" t="s">
        <v>35</v>
      </c>
      <c r="Q328" t="s">
        <v>33</v>
      </c>
      <c r="R328" t="s">
        <v>36</v>
      </c>
      <c r="S328">
        <v>0.41</v>
      </c>
      <c r="T328" t="s">
        <v>47</v>
      </c>
      <c r="U328">
        <v>72</v>
      </c>
      <c r="V328">
        <v>55</v>
      </c>
      <c r="W328">
        <v>47.85</v>
      </c>
      <c r="X328">
        <v>40.69</v>
      </c>
      <c r="Y328">
        <v>134.24231707317074</v>
      </c>
    </row>
    <row r="329" spans="1:25" x14ac:dyDescent="0.35">
      <c r="A329" t="s">
        <v>25</v>
      </c>
      <c r="B329" t="s">
        <v>1108</v>
      </c>
      <c r="C329" t="str">
        <f>VLOOKUP(B329,Tabelle3!A:C,2,FALSE)</f>
        <v>Süd</v>
      </c>
      <c r="D329" t="s">
        <v>27</v>
      </c>
      <c r="E329" t="s">
        <v>1098</v>
      </c>
      <c r="F329" t="s">
        <v>1109</v>
      </c>
      <c r="G329">
        <v>49808</v>
      </c>
      <c r="H329" t="s">
        <v>763</v>
      </c>
      <c r="I329" t="s">
        <v>1110</v>
      </c>
      <c r="J329" t="s">
        <v>765</v>
      </c>
      <c r="K329">
        <v>40900</v>
      </c>
      <c r="L329" t="s">
        <v>33</v>
      </c>
      <c r="M329" t="s">
        <v>34</v>
      </c>
      <c r="N329" t="s">
        <v>33</v>
      </c>
      <c r="O329" t="s">
        <v>25</v>
      </c>
      <c r="P329" t="s">
        <v>35</v>
      </c>
      <c r="Q329" t="s">
        <v>33</v>
      </c>
      <c r="R329" t="s">
        <v>36</v>
      </c>
      <c r="S329">
        <v>0.46</v>
      </c>
      <c r="T329" t="s">
        <v>47</v>
      </c>
      <c r="U329">
        <v>60</v>
      </c>
      <c r="V329">
        <v>58</v>
      </c>
      <c r="W329">
        <v>50.46</v>
      </c>
      <c r="X329">
        <v>40.69</v>
      </c>
      <c r="Y329">
        <v>119.75945652173911</v>
      </c>
    </row>
    <row r="330" spans="1:25" x14ac:dyDescent="0.35">
      <c r="A330" t="s">
        <v>25</v>
      </c>
      <c r="B330" t="s">
        <v>1111</v>
      </c>
      <c r="C330" t="str">
        <f>VLOOKUP(B330,Tabelle3!A:C,2,FALSE)</f>
        <v>Süd</v>
      </c>
      <c r="D330" t="s">
        <v>27</v>
      </c>
      <c r="E330" t="s">
        <v>1098</v>
      </c>
      <c r="F330" t="s">
        <v>1112</v>
      </c>
      <c r="G330">
        <v>49808</v>
      </c>
      <c r="H330" t="s">
        <v>763</v>
      </c>
      <c r="I330" t="s">
        <v>1110</v>
      </c>
      <c r="J330" t="s">
        <v>765</v>
      </c>
      <c r="K330">
        <v>40900</v>
      </c>
      <c r="L330" t="s">
        <v>33</v>
      </c>
      <c r="M330" t="s">
        <v>34</v>
      </c>
      <c r="N330" t="s">
        <v>33</v>
      </c>
      <c r="O330" t="s">
        <v>25</v>
      </c>
      <c r="P330" t="s">
        <v>35</v>
      </c>
      <c r="Q330" t="s">
        <v>33</v>
      </c>
      <c r="R330" t="s">
        <v>36</v>
      </c>
      <c r="S330">
        <v>0.46</v>
      </c>
      <c r="T330" t="s">
        <v>47</v>
      </c>
      <c r="U330">
        <v>60</v>
      </c>
      <c r="V330">
        <v>58</v>
      </c>
      <c r="W330">
        <v>50.46</v>
      </c>
      <c r="X330">
        <v>40.69</v>
      </c>
      <c r="Y330">
        <v>119.75945652173911</v>
      </c>
    </row>
    <row r="331" spans="1:25" x14ac:dyDescent="0.35">
      <c r="A331" t="s">
        <v>25</v>
      </c>
      <c r="B331" t="s">
        <v>1113</v>
      </c>
      <c r="C331" t="str">
        <f>VLOOKUP(B331,Tabelle3!A:C,2,FALSE)</f>
        <v>Süd</v>
      </c>
      <c r="D331" t="s">
        <v>27</v>
      </c>
      <c r="E331" t="s">
        <v>1098</v>
      </c>
      <c r="F331" t="s">
        <v>1114</v>
      </c>
      <c r="G331">
        <v>49808</v>
      </c>
      <c r="H331" t="s">
        <v>763</v>
      </c>
      <c r="I331" t="s">
        <v>1110</v>
      </c>
      <c r="J331" t="s">
        <v>765</v>
      </c>
      <c r="K331">
        <v>40900</v>
      </c>
      <c r="L331" t="s">
        <v>33</v>
      </c>
      <c r="M331" t="s">
        <v>34</v>
      </c>
      <c r="N331" t="s">
        <v>33</v>
      </c>
      <c r="O331" t="s">
        <v>25</v>
      </c>
      <c r="P331" t="s">
        <v>35</v>
      </c>
      <c r="Q331" t="s">
        <v>33</v>
      </c>
      <c r="R331" t="s">
        <v>36</v>
      </c>
      <c r="S331">
        <v>0.46</v>
      </c>
      <c r="T331" t="s">
        <v>47</v>
      </c>
      <c r="U331">
        <v>60</v>
      </c>
      <c r="V331">
        <v>58</v>
      </c>
      <c r="W331">
        <v>50.46</v>
      </c>
      <c r="X331">
        <v>40.69</v>
      </c>
      <c r="Y331">
        <v>119.75945652173911</v>
      </c>
    </row>
    <row r="332" spans="1:25" x14ac:dyDescent="0.35">
      <c r="A332" t="s">
        <v>25</v>
      </c>
      <c r="B332" t="s">
        <v>1115</v>
      </c>
      <c r="C332" t="str">
        <f>VLOOKUP(B332,Tabelle3!A:C,2,FALSE)</f>
        <v>Süd</v>
      </c>
      <c r="D332" t="s">
        <v>27</v>
      </c>
      <c r="E332" t="s">
        <v>1098</v>
      </c>
      <c r="F332" t="s">
        <v>1116</v>
      </c>
      <c r="G332">
        <v>49808</v>
      </c>
      <c r="H332" t="s">
        <v>763</v>
      </c>
      <c r="I332" t="s">
        <v>1110</v>
      </c>
      <c r="J332" t="s">
        <v>765</v>
      </c>
      <c r="K332">
        <v>40900</v>
      </c>
      <c r="L332" t="s">
        <v>33</v>
      </c>
      <c r="M332" t="s">
        <v>34</v>
      </c>
      <c r="N332" t="s">
        <v>33</v>
      </c>
      <c r="O332" t="s">
        <v>25</v>
      </c>
      <c r="P332" t="s">
        <v>71</v>
      </c>
      <c r="Q332" t="s">
        <v>33</v>
      </c>
      <c r="R332" t="s">
        <v>46</v>
      </c>
      <c r="S332">
        <v>0.46</v>
      </c>
      <c r="T332" t="s">
        <v>47</v>
      </c>
      <c r="U332">
        <v>60</v>
      </c>
      <c r="V332">
        <v>58</v>
      </c>
      <c r="W332">
        <v>50.46</v>
      </c>
      <c r="X332">
        <v>40.69</v>
      </c>
      <c r="Y332">
        <v>120.25945652173911</v>
      </c>
    </row>
    <row r="333" spans="1:25" x14ac:dyDescent="0.35">
      <c r="A333" t="s">
        <v>44</v>
      </c>
      <c r="B333" t="s">
        <v>1117</v>
      </c>
      <c r="C333" t="str">
        <f>VLOOKUP(B333,Tabelle3!A:C,2,FALSE)</f>
        <v>Süd</v>
      </c>
      <c r="D333" t="s">
        <v>329</v>
      </c>
      <c r="E333" t="s">
        <v>1098</v>
      </c>
      <c r="F333" t="s">
        <v>1118</v>
      </c>
      <c r="G333">
        <v>59368</v>
      </c>
      <c r="H333" t="s">
        <v>1104</v>
      </c>
      <c r="I333" t="s">
        <v>1105</v>
      </c>
      <c r="J333" t="s">
        <v>693</v>
      </c>
      <c r="K333">
        <v>30834</v>
      </c>
      <c r="L333" t="s">
        <v>33</v>
      </c>
      <c r="M333" t="s">
        <v>34</v>
      </c>
      <c r="N333" t="s">
        <v>33</v>
      </c>
      <c r="O333" t="s">
        <v>44</v>
      </c>
      <c r="P333" t="s">
        <v>62</v>
      </c>
      <c r="Q333" t="s">
        <v>33</v>
      </c>
      <c r="R333" t="s">
        <v>36</v>
      </c>
      <c r="S333">
        <v>0.33839999999999998</v>
      </c>
      <c r="T333" t="s">
        <v>47</v>
      </c>
      <c r="U333">
        <v>112.5</v>
      </c>
      <c r="V333">
        <v>112</v>
      </c>
      <c r="W333">
        <v>97.44</v>
      </c>
      <c r="X333">
        <v>40.69</v>
      </c>
      <c r="Y333">
        <v>162.43424940898345</v>
      </c>
    </row>
    <row r="334" spans="1:25" x14ac:dyDescent="0.35">
      <c r="A334" t="s">
        <v>25</v>
      </c>
      <c r="B334" t="s">
        <v>1119</v>
      </c>
      <c r="C334" t="str">
        <f>VLOOKUP(B334,Tabelle3!A:C,2,FALSE)</f>
        <v>Süd</v>
      </c>
      <c r="D334" t="s">
        <v>27</v>
      </c>
      <c r="E334" t="s">
        <v>1098</v>
      </c>
      <c r="F334" t="s">
        <v>1120</v>
      </c>
      <c r="G334">
        <v>41540</v>
      </c>
      <c r="H334" t="s">
        <v>1121</v>
      </c>
      <c r="I334" t="s">
        <v>1122</v>
      </c>
      <c r="J334" t="s">
        <v>693</v>
      </c>
      <c r="K334">
        <v>36730</v>
      </c>
      <c r="L334" t="s">
        <v>33</v>
      </c>
      <c r="M334" t="s">
        <v>34</v>
      </c>
      <c r="N334" t="s">
        <v>33</v>
      </c>
      <c r="O334" t="s">
        <v>25</v>
      </c>
      <c r="P334" t="s">
        <v>87</v>
      </c>
      <c r="Q334" t="s">
        <v>33</v>
      </c>
      <c r="R334" t="s">
        <v>46</v>
      </c>
      <c r="S334">
        <v>0.54</v>
      </c>
      <c r="T334" t="s">
        <v>47</v>
      </c>
      <c r="U334">
        <v>189</v>
      </c>
      <c r="V334">
        <v>184</v>
      </c>
      <c r="W334">
        <v>160.08000000000001</v>
      </c>
      <c r="X334">
        <v>40.69</v>
      </c>
      <c r="Y334">
        <v>102.66546296296296</v>
      </c>
    </row>
    <row r="335" spans="1:25" x14ac:dyDescent="0.35">
      <c r="A335" t="s">
        <v>25</v>
      </c>
      <c r="B335" t="s">
        <v>1123</v>
      </c>
      <c r="C335" t="str">
        <f>VLOOKUP(B335,Tabelle3!A:C,2,FALSE)</f>
        <v>Süd</v>
      </c>
      <c r="D335" t="s">
        <v>27</v>
      </c>
      <c r="E335" t="s">
        <v>1098</v>
      </c>
      <c r="F335" t="s">
        <v>1124</v>
      </c>
      <c r="G335">
        <v>41540</v>
      </c>
      <c r="H335" t="s">
        <v>1121</v>
      </c>
      <c r="I335" t="s">
        <v>1122</v>
      </c>
      <c r="J335" t="s">
        <v>693</v>
      </c>
      <c r="K335">
        <v>36730</v>
      </c>
      <c r="L335" t="s">
        <v>33</v>
      </c>
      <c r="M335" t="s">
        <v>34</v>
      </c>
      <c r="N335" t="s">
        <v>33</v>
      </c>
      <c r="O335" t="s">
        <v>25</v>
      </c>
      <c r="P335" t="s">
        <v>87</v>
      </c>
      <c r="Q335" t="s">
        <v>33</v>
      </c>
      <c r="R335" t="s">
        <v>46</v>
      </c>
      <c r="S335">
        <v>0.54</v>
      </c>
      <c r="T335" t="s">
        <v>47</v>
      </c>
      <c r="U335">
        <v>189</v>
      </c>
      <c r="V335">
        <v>184</v>
      </c>
      <c r="W335">
        <v>160.08000000000001</v>
      </c>
      <c r="X335">
        <v>40.69</v>
      </c>
      <c r="Y335">
        <v>102.66546296296296</v>
      </c>
    </row>
    <row r="336" spans="1:25" x14ac:dyDescent="0.35">
      <c r="A336" t="s">
        <v>25</v>
      </c>
      <c r="B336" t="s">
        <v>1125</v>
      </c>
      <c r="C336" t="str">
        <f>VLOOKUP(B336,Tabelle3!A:C,2,FALSE)</f>
        <v>Süd</v>
      </c>
      <c r="D336" t="s">
        <v>27</v>
      </c>
      <c r="E336" t="s">
        <v>1098</v>
      </c>
      <c r="F336" t="s">
        <v>1126</v>
      </c>
      <c r="G336">
        <v>41540</v>
      </c>
      <c r="H336" t="s">
        <v>1121</v>
      </c>
      <c r="I336" t="s">
        <v>1122</v>
      </c>
      <c r="J336" t="s">
        <v>693</v>
      </c>
      <c r="K336">
        <v>36730</v>
      </c>
      <c r="L336" t="s">
        <v>33</v>
      </c>
      <c r="N336" t="s">
        <v>33</v>
      </c>
      <c r="O336" t="s">
        <v>25</v>
      </c>
      <c r="P336" t="s">
        <v>82</v>
      </c>
      <c r="Q336" t="s">
        <v>33</v>
      </c>
      <c r="R336" t="s">
        <v>46</v>
      </c>
      <c r="S336">
        <v>0.54</v>
      </c>
      <c r="T336" t="s">
        <v>47</v>
      </c>
      <c r="U336">
        <v>194</v>
      </c>
      <c r="V336">
        <v>194</v>
      </c>
      <c r="W336">
        <v>168.78</v>
      </c>
      <c r="X336">
        <v>40.69</v>
      </c>
      <c r="Y336">
        <v>102.66546296296296</v>
      </c>
    </row>
    <row r="337" spans="1:25" x14ac:dyDescent="0.35">
      <c r="A337" t="s">
        <v>25</v>
      </c>
      <c r="B337" t="s">
        <v>1127</v>
      </c>
      <c r="C337" t="str">
        <f>VLOOKUP(B337,Tabelle3!A:C,2,FALSE)</f>
        <v>Süd</v>
      </c>
      <c r="D337" t="s">
        <v>27</v>
      </c>
      <c r="E337" t="s">
        <v>1098</v>
      </c>
      <c r="F337" t="s">
        <v>1128</v>
      </c>
      <c r="G337">
        <v>49808</v>
      </c>
      <c r="H337" t="s">
        <v>763</v>
      </c>
      <c r="I337" t="s">
        <v>1110</v>
      </c>
      <c r="J337" t="s">
        <v>765</v>
      </c>
      <c r="K337">
        <v>40429</v>
      </c>
      <c r="L337" t="s">
        <v>33</v>
      </c>
      <c r="M337" t="s">
        <v>34</v>
      </c>
      <c r="N337" t="s">
        <v>33</v>
      </c>
      <c r="O337" t="s">
        <v>25</v>
      </c>
      <c r="P337" t="s">
        <v>35</v>
      </c>
      <c r="Q337" t="s">
        <v>33</v>
      </c>
      <c r="R337" t="s">
        <v>36</v>
      </c>
      <c r="S337">
        <v>0.59199999999999997</v>
      </c>
      <c r="T337" t="s">
        <v>47</v>
      </c>
      <c r="U337">
        <v>297.93</v>
      </c>
      <c r="V337">
        <v>293.5</v>
      </c>
      <c r="W337">
        <v>255.345</v>
      </c>
      <c r="X337">
        <v>40.69</v>
      </c>
      <c r="Y337">
        <v>93.279307432432432</v>
      </c>
    </row>
    <row r="338" spans="1:25" x14ac:dyDescent="0.35">
      <c r="A338" t="s">
        <v>25</v>
      </c>
      <c r="B338" t="s">
        <v>1129</v>
      </c>
      <c r="C338" t="str">
        <f>VLOOKUP(B338,Tabelle3!A:C,2,FALSE)</f>
        <v>Süd</v>
      </c>
      <c r="D338" t="s">
        <v>27</v>
      </c>
      <c r="E338" t="s">
        <v>1098</v>
      </c>
      <c r="F338" t="s">
        <v>1130</v>
      </c>
      <c r="G338">
        <v>49808</v>
      </c>
      <c r="H338" t="s">
        <v>763</v>
      </c>
      <c r="I338" t="s">
        <v>1110</v>
      </c>
      <c r="J338" t="s">
        <v>765</v>
      </c>
      <c r="K338">
        <v>40429</v>
      </c>
      <c r="L338" t="s">
        <v>33</v>
      </c>
      <c r="M338" t="s">
        <v>34</v>
      </c>
      <c r="N338" t="s">
        <v>33</v>
      </c>
      <c r="O338" t="s">
        <v>25</v>
      </c>
      <c r="P338" t="s">
        <v>35</v>
      </c>
      <c r="Q338" t="s">
        <v>33</v>
      </c>
      <c r="R338" t="s">
        <v>36</v>
      </c>
      <c r="S338">
        <v>0.59199999999999997</v>
      </c>
      <c r="T338" t="s">
        <v>47</v>
      </c>
      <c r="U338">
        <v>297.93</v>
      </c>
      <c r="V338">
        <v>293.5</v>
      </c>
      <c r="W338">
        <v>255.345</v>
      </c>
      <c r="X338">
        <v>40.69</v>
      </c>
      <c r="Y338">
        <v>93.279307432432432</v>
      </c>
    </row>
    <row r="339" spans="1:25" x14ac:dyDescent="0.35">
      <c r="A339" t="s">
        <v>25</v>
      </c>
      <c r="B339" t="s">
        <v>1131</v>
      </c>
      <c r="C339" t="str">
        <f>VLOOKUP(B339,Tabelle3!A:C,2,FALSE)</f>
        <v>Süd</v>
      </c>
      <c r="D339" t="s">
        <v>27</v>
      </c>
      <c r="E339" t="s">
        <v>1098</v>
      </c>
      <c r="F339" t="s">
        <v>1132</v>
      </c>
      <c r="G339">
        <v>49808</v>
      </c>
      <c r="H339" t="s">
        <v>763</v>
      </c>
      <c r="I339" t="s">
        <v>1110</v>
      </c>
      <c r="J339" t="s">
        <v>765</v>
      </c>
      <c r="K339">
        <v>40429</v>
      </c>
      <c r="L339" t="s">
        <v>33</v>
      </c>
      <c r="M339" t="s">
        <v>34</v>
      </c>
      <c r="N339" t="s">
        <v>33</v>
      </c>
      <c r="O339" t="s">
        <v>25</v>
      </c>
      <c r="P339" t="s">
        <v>82</v>
      </c>
      <c r="Q339" t="s">
        <v>33</v>
      </c>
      <c r="R339" t="s">
        <v>46</v>
      </c>
      <c r="S339">
        <v>0.59199999999999997</v>
      </c>
      <c r="T339" t="s">
        <v>47</v>
      </c>
      <c r="U339">
        <v>345.13499999999999</v>
      </c>
      <c r="V339">
        <v>340</v>
      </c>
      <c r="W339">
        <v>295.8</v>
      </c>
      <c r="X339">
        <v>40.69</v>
      </c>
      <c r="Y339">
        <v>93.779307432432432</v>
      </c>
    </row>
    <row r="340" spans="1:25" x14ac:dyDescent="0.35">
      <c r="A340" t="s">
        <v>25</v>
      </c>
      <c r="B340" t="s">
        <v>1133</v>
      </c>
      <c r="C340" t="str">
        <f>VLOOKUP(B340,Tabelle3!A:C,2,FALSE)</f>
        <v>Süd</v>
      </c>
      <c r="D340" t="s">
        <v>27</v>
      </c>
      <c r="E340" t="s">
        <v>1098</v>
      </c>
      <c r="F340" t="s">
        <v>1134</v>
      </c>
      <c r="G340">
        <v>49808</v>
      </c>
      <c r="H340" t="s">
        <v>763</v>
      </c>
      <c r="I340" t="s">
        <v>1110</v>
      </c>
      <c r="J340" t="s">
        <v>765</v>
      </c>
      <c r="K340">
        <v>27030</v>
      </c>
      <c r="L340" t="s">
        <v>33</v>
      </c>
      <c r="M340" t="s">
        <v>34</v>
      </c>
      <c r="N340" t="s">
        <v>33</v>
      </c>
      <c r="O340" t="s">
        <v>25</v>
      </c>
      <c r="P340" t="s">
        <v>82</v>
      </c>
      <c r="Q340" t="s">
        <v>33</v>
      </c>
      <c r="R340" t="s">
        <v>46</v>
      </c>
      <c r="S340">
        <v>0.46</v>
      </c>
      <c r="T340" t="s">
        <v>47</v>
      </c>
      <c r="U340">
        <v>372.6</v>
      </c>
      <c r="V340">
        <v>359</v>
      </c>
      <c r="W340">
        <v>312.33</v>
      </c>
      <c r="X340">
        <v>40.69</v>
      </c>
      <c r="Y340">
        <v>120.25945652173911</v>
      </c>
    </row>
    <row r="341" spans="1:25" x14ac:dyDescent="0.35">
      <c r="A341" t="s">
        <v>25</v>
      </c>
      <c r="B341" t="s">
        <v>1135</v>
      </c>
      <c r="C341" t="str">
        <f>VLOOKUP(B341,Tabelle3!A:C,2,FALSE)</f>
        <v>Süd</v>
      </c>
      <c r="D341" t="s">
        <v>27</v>
      </c>
      <c r="E341" t="s">
        <v>1098</v>
      </c>
      <c r="F341" t="s">
        <v>1136</v>
      </c>
      <c r="G341">
        <v>49808</v>
      </c>
      <c r="H341" t="s">
        <v>763</v>
      </c>
      <c r="I341" t="s">
        <v>1110</v>
      </c>
      <c r="J341" t="s">
        <v>765</v>
      </c>
      <c r="K341">
        <v>27395</v>
      </c>
      <c r="L341" t="s">
        <v>33</v>
      </c>
      <c r="M341" t="s">
        <v>34</v>
      </c>
      <c r="N341" t="s">
        <v>33</v>
      </c>
      <c r="O341" t="s">
        <v>25</v>
      </c>
      <c r="P341" t="s">
        <v>82</v>
      </c>
      <c r="Q341" t="s">
        <v>33</v>
      </c>
      <c r="R341" t="s">
        <v>46</v>
      </c>
      <c r="S341">
        <v>0.46</v>
      </c>
      <c r="T341" t="s">
        <v>47</v>
      </c>
      <c r="U341">
        <v>372.6</v>
      </c>
      <c r="V341">
        <v>359</v>
      </c>
      <c r="W341">
        <v>312.33</v>
      </c>
      <c r="X341">
        <v>40.69</v>
      </c>
      <c r="Y341">
        <v>120.25945652173911</v>
      </c>
    </row>
    <row r="342" spans="1:25" x14ac:dyDescent="0.35">
      <c r="A342" t="s">
        <v>25</v>
      </c>
      <c r="B342" t="s">
        <v>1137</v>
      </c>
      <c r="C342" t="str">
        <f>VLOOKUP(B342,Tabelle3!A:C,2,FALSE)</f>
        <v>Süd</v>
      </c>
      <c r="D342" t="s">
        <v>27</v>
      </c>
      <c r="E342" t="s">
        <v>1138</v>
      </c>
      <c r="F342" t="s">
        <v>1139</v>
      </c>
      <c r="G342">
        <v>52249</v>
      </c>
      <c r="H342" t="s">
        <v>1047</v>
      </c>
      <c r="I342" t="s">
        <v>1140</v>
      </c>
      <c r="J342" t="s">
        <v>693</v>
      </c>
      <c r="K342">
        <v>38933</v>
      </c>
      <c r="L342" t="s">
        <v>33</v>
      </c>
      <c r="M342" t="s">
        <v>34</v>
      </c>
      <c r="N342" t="s">
        <v>33</v>
      </c>
      <c r="O342" t="s">
        <v>25</v>
      </c>
      <c r="P342" t="s">
        <v>82</v>
      </c>
      <c r="Q342" t="s">
        <v>33</v>
      </c>
      <c r="R342" t="s">
        <v>46</v>
      </c>
      <c r="S342">
        <v>0.5</v>
      </c>
      <c r="T342" t="s">
        <v>47</v>
      </c>
      <c r="U342">
        <v>202</v>
      </c>
      <c r="V342">
        <v>200</v>
      </c>
      <c r="W342">
        <v>174</v>
      </c>
      <c r="X342">
        <v>40.69</v>
      </c>
      <c r="Y342">
        <v>110.75869999999999</v>
      </c>
    </row>
    <row r="343" spans="1:25" x14ac:dyDescent="0.35">
      <c r="A343" t="s">
        <v>25</v>
      </c>
      <c r="B343" t="s">
        <v>1141</v>
      </c>
      <c r="C343" t="str">
        <f>VLOOKUP(B343,Tabelle3!A:C,2,FALSE)</f>
        <v>Süd</v>
      </c>
      <c r="D343" t="s">
        <v>27</v>
      </c>
      <c r="E343" t="s">
        <v>1138</v>
      </c>
      <c r="F343" t="s">
        <v>1142</v>
      </c>
      <c r="G343">
        <v>52249</v>
      </c>
      <c r="H343" t="s">
        <v>1047</v>
      </c>
      <c r="I343" t="s">
        <v>1140</v>
      </c>
      <c r="J343" t="s">
        <v>693</v>
      </c>
      <c r="K343">
        <v>39070</v>
      </c>
      <c r="L343" t="s">
        <v>33</v>
      </c>
      <c r="M343" t="s">
        <v>34</v>
      </c>
      <c r="N343" t="s">
        <v>33</v>
      </c>
      <c r="O343" t="s">
        <v>25</v>
      </c>
      <c r="P343" t="s">
        <v>82</v>
      </c>
      <c r="Q343" t="s">
        <v>33</v>
      </c>
      <c r="R343" t="s">
        <v>46</v>
      </c>
      <c r="S343">
        <v>0.5</v>
      </c>
      <c r="T343" t="s">
        <v>47</v>
      </c>
      <c r="U343">
        <v>202</v>
      </c>
      <c r="V343">
        <v>200</v>
      </c>
      <c r="W343">
        <v>174</v>
      </c>
      <c r="X343">
        <v>40.69</v>
      </c>
      <c r="Y343">
        <v>110.75869999999999</v>
      </c>
    </row>
    <row r="344" spans="1:25" x14ac:dyDescent="0.35">
      <c r="A344" t="s">
        <v>25</v>
      </c>
      <c r="B344" t="s">
        <v>1143</v>
      </c>
      <c r="C344" t="str">
        <f>VLOOKUP(B344,Tabelle3!A:C,2,FALSE)</f>
        <v>Süd</v>
      </c>
      <c r="D344" t="s">
        <v>27</v>
      </c>
      <c r="E344" t="s">
        <v>1144</v>
      </c>
      <c r="F344" t="s">
        <v>1145</v>
      </c>
      <c r="G344">
        <v>45699</v>
      </c>
      <c r="H344" t="s">
        <v>691</v>
      </c>
      <c r="I344" t="s">
        <v>692</v>
      </c>
      <c r="J344" t="s">
        <v>693</v>
      </c>
      <c r="K344">
        <v>43503</v>
      </c>
      <c r="L344" t="s">
        <v>171</v>
      </c>
      <c r="M344" t="s">
        <v>172</v>
      </c>
      <c r="N344" t="s">
        <v>173</v>
      </c>
      <c r="O344" t="s">
        <v>25</v>
      </c>
      <c r="P344" t="s">
        <v>50</v>
      </c>
      <c r="Q344" t="s">
        <v>173</v>
      </c>
      <c r="R344" t="s">
        <v>173</v>
      </c>
      <c r="S344">
        <v>0.33</v>
      </c>
      <c r="T344" t="s">
        <v>47</v>
      </c>
      <c r="U344">
        <v>12.3</v>
      </c>
      <c r="V344">
        <v>12.26</v>
      </c>
      <c r="W344">
        <v>10.420999999999999</v>
      </c>
      <c r="X344">
        <v>0</v>
      </c>
      <c r="Y344">
        <v>1</v>
      </c>
    </row>
    <row r="345" spans="1:25" x14ac:dyDescent="0.35">
      <c r="A345" t="s">
        <v>25</v>
      </c>
      <c r="B345" t="s">
        <v>1146</v>
      </c>
      <c r="C345" t="str">
        <f>VLOOKUP(B345,Tabelle3!A:C,2,FALSE)</f>
        <v>Süd</v>
      </c>
      <c r="D345" t="s">
        <v>27</v>
      </c>
      <c r="E345" t="s">
        <v>1144</v>
      </c>
      <c r="F345" t="s">
        <v>1147</v>
      </c>
      <c r="G345">
        <v>45699</v>
      </c>
      <c r="H345" t="s">
        <v>691</v>
      </c>
      <c r="I345" t="s">
        <v>692</v>
      </c>
      <c r="J345" t="s">
        <v>693</v>
      </c>
      <c r="K345">
        <v>39814</v>
      </c>
      <c r="L345" t="s">
        <v>171</v>
      </c>
      <c r="M345" t="s">
        <v>172</v>
      </c>
      <c r="N345" t="s">
        <v>173</v>
      </c>
      <c r="O345" t="s">
        <v>25</v>
      </c>
      <c r="P345" t="s">
        <v>82</v>
      </c>
      <c r="Q345" t="s">
        <v>173</v>
      </c>
      <c r="R345" t="s">
        <v>173</v>
      </c>
      <c r="S345">
        <v>0.33</v>
      </c>
      <c r="T345" t="s">
        <v>47</v>
      </c>
      <c r="U345">
        <v>23.585000000000001</v>
      </c>
      <c r="V345">
        <v>23.5</v>
      </c>
      <c r="W345">
        <v>19.974999999999998</v>
      </c>
      <c r="X345">
        <v>0</v>
      </c>
      <c r="Y345">
        <v>1</v>
      </c>
    </row>
    <row r="346" spans="1:25" x14ac:dyDescent="0.35">
      <c r="A346" t="s">
        <v>25</v>
      </c>
      <c r="B346" t="s">
        <v>1148</v>
      </c>
      <c r="C346" t="str">
        <f>VLOOKUP(B346,Tabelle3!A:C,2,FALSE)</f>
        <v>Süd</v>
      </c>
      <c r="D346" t="s">
        <v>27</v>
      </c>
      <c r="E346" t="s">
        <v>1149</v>
      </c>
      <c r="F346" t="s">
        <v>1150</v>
      </c>
      <c r="G346">
        <v>50997</v>
      </c>
      <c r="H346" t="s">
        <v>721</v>
      </c>
      <c r="I346" t="s">
        <v>1151</v>
      </c>
      <c r="J346" t="s">
        <v>693</v>
      </c>
      <c r="K346">
        <v>42370</v>
      </c>
      <c r="L346" t="s">
        <v>60</v>
      </c>
      <c r="M346" t="s">
        <v>1152</v>
      </c>
      <c r="N346" t="s">
        <v>60</v>
      </c>
      <c r="O346" t="s">
        <v>25</v>
      </c>
      <c r="P346" t="s">
        <v>71</v>
      </c>
      <c r="Q346" t="s">
        <v>63</v>
      </c>
      <c r="R346" t="s">
        <v>63</v>
      </c>
      <c r="S346">
        <v>0.38</v>
      </c>
      <c r="T346" t="s">
        <v>47</v>
      </c>
      <c r="U346">
        <v>107</v>
      </c>
      <c r="V346">
        <v>92</v>
      </c>
      <c r="W346">
        <v>78.2</v>
      </c>
      <c r="X346">
        <v>95.89</v>
      </c>
      <c r="Y346">
        <v>304.44210526315788</v>
      </c>
    </row>
    <row r="347" spans="1:25" x14ac:dyDescent="0.35">
      <c r="A347" t="s">
        <v>25</v>
      </c>
      <c r="B347" t="s">
        <v>1153</v>
      </c>
      <c r="C347" t="str">
        <f>VLOOKUP(B347,Tabelle3!A:C,2,FALSE)</f>
        <v>Süd</v>
      </c>
      <c r="D347" t="s">
        <v>27</v>
      </c>
      <c r="E347" t="s">
        <v>1154</v>
      </c>
      <c r="F347" t="s">
        <v>1155</v>
      </c>
      <c r="G347">
        <v>53909</v>
      </c>
      <c r="H347" t="s">
        <v>1156</v>
      </c>
      <c r="I347" t="s">
        <v>1157</v>
      </c>
      <c r="J347" t="s">
        <v>693</v>
      </c>
      <c r="K347">
        <v>40473</v>
      </c>
      <c r="L347" t="s">
        <v>33</v>
      </c>
      <c r="M347" t="s">
        <v>34</v>
      </c>
      <c r="N347" t="s">
        <v>33</v>
      </c>
      <c r="O347" t="s">
        <v>25</v>
      </c>
      <c r="P347" t="s">
        <v>266</v>
      </c>
      <c r="Q347" t="s">
        <v>33</v>
      </c>
      <c r="R347" t="s">
        <v>46</v>
      </c>
      <c r="S347">
        <v>0.58499999999999996</v>
      </c>
      <c r="T347" t="s">
        <v>37</v>
      </c>
      <c r="U347">
        <v>15.552</v>
      </c>
      <c r="V347">
        <v>14.382999999999999</v>
      </c>
      <c r="W347">
        <v>12.513209999999999</v>
      </c>
      <c r="X347">
        <v>40.69</v>
      </c>
      <c r="Y347">
        <v>94.883504273504272</v>
      </c>
    </row>
    <row r="348" spans="1:25" x14ac:dyDescent="0.35">
      <c r="A348" t="s">
        <v>25</v>
      </c>
      <c r="B348" t="s">
        <v>1158</v>
      </c>
      <c r="C348" t="str">
        <f>VLOOKUP(B348,Tabelle3!A:C,2,FALSE)</f>
        <v>Süd</v>
      </c>
      <c r="D348" t="s">
        <v>27</v>
      </c>
      <c r="E348" t="s">
        <v>439</v>
      </c>
      <c r="F348" t="s">
        <v>1159</v>
      </c>
      <c r="G348">
        <v>47495</v>
      </c>
      <c r="H348" t="s">
        <v>1160</v>
      </c>
      <c r="I348" t="s">
        <v>1161</v>
      </c>
      <c r="J348" t="s">
        <v>693</v>
      </c>
      <c r="K348">
        <v>32509</v>
      </c>
      <c r="L348" t="s">
        <v>69</v>
      </c>
      <c r="M348" t="s">
        <v>70</v>
      </c>
      <c r="N348" t="s">
        <v>69</v>
      </c>
      <c r="O348" t="s">
        <v>25</v>
      </c>
      <c r="P348" t="s">
        <v>50</v>
      </c>
      <c r="Q348" t="s">
        <v>71</v>
      </c>
      <c r="R348" t="s">
        <v>71</v>
      </c>
      <c r="S348">
        <v>0.34210000000000002</v>
      </c>
      <c r="T348" t="s">
        <v>47</v>
      </c>
      <c r="U348">
        <v>12.8</v>
      </c>
      <c r="V348">
        <v>12.8</v>
      </c>
      <c r="W348">
        <v>10.88</v>
      </c>
      <c r="X348">
        <v>95.59</v>
      </c>
      <c r="Y348">
        <v>323.80298158433203</v>
      </c>
    </row>
    <row r="349" spans="1:25" x14ac:dyDescent="0.35">
      <c r="A349" t="s">
        <v>25</v>
      </c>
      <c r="B349" t="s">
        <v>1162</v>
      </c>
      <c r="C349" t="str">
        <f>VLOOKUP(B349,Tabelle3!A:C,2,FALSE)</f>
        <v>Süd</v>
      </c>
      <c r="D349" t="s">
        <v>27</v>
      </c>
      <c r="E349" t="s">
        <v>439</v>
      </c>
      <c r="F349" t="s">
        <v>1163</v>
      </c>
      <c r="G349">
        <v>47495</v>
      </c>
      <c r="H349" t="s">
        <v>1160</v>
      </c>
      <c r="I349" t="s">
        <v>1161</v>
      </c>
      <c r="J349" t="s">
        <v>693</v>
      </c>
      <c r="K349">
        <v>44378</v>
      </c>
      <c r="L349" t="s">
        <v>69</v>
      </c>
      <c r="M349" t="s">
        <v>70</v>
      </c>
      <c r="N349" t="s">
        <v>69</v>
      </c>
      <c r="O349" t="s">
        <v>25</v>
      </c>
      <c r="P349" t="s">
        <v>266</v>
      </c>
      <c r="Q349" t="s">
        <v>71</v>
      </c>
      <c r="R349" t="s">
        <v>71</v>
      </c>
      <c r="S349">
        <v>0.34210000000000002</v>
      </c>
      <c r="T349" t="s">
        <v>47</v>
      </c>
      <c r="U349">
        <v>15.94</v>
      </c>
      <c r="V349">
        <v>15.94</v>
      </c>
      <c r="W349">
        <v>13.548999999999999</v>
      </c>
      <c r="X349">
        <v>95.59</v>
      </c>
      <c r="Y349">
        <v>323.80298158433203</v>
      </c>
    </row>
    <row r="350" spans="1:25" x14ac:dyDescent="0.35">
      <c r="A350" t="s">
        <v>25</v>
      </c>
      <c r="B350" t="s">
        <v>1164</v>
      </c>
      <c r="C350" t="str">
        <f>VLOOKUP(B350,Tabelle3!A:C,2,FALSE)</f>
        <v>Süd</v>
      </c>
      <c r="D350" t="s">
        <v>27</v>
      </c>
      <c r="E350" t="s">
        <v>439</v>
      </c>
      <c r="F350" t="s">
        <v>1165</v>
      </c>
      <c r="G350">
        <v>47495</v>
      </c>
      <c r="H350" t="s">
        <v>1160</v>
      </c>
      <c r="I350" t="s">
        <v>1161</v>
      </c>
      <c r="J350" t="s">
        <v>693</v>
      </c>
      <c r="K350">
        <v>27760</v>
      </c>
      <c r="L350" t="s">
        <v>69</v>
      </c>
      <c r="M350" t="s">
        <v>70</v>
      </c>
      <c r="N350" t="s">
        <v>69</v>
      </c>
      <c r="O350" t="s">
        <v>25</v>
      </c>
      <c r="P350" t="s">
        <v>266</v>
      </c>
      <c r="Q350" t="s">
        <v>71</v>
      </c>
      <c r="R350" t="s">
        <v>71</v>
      </c>
      <c r="S350">
        <v>0.34210000000000002</v>
      </c>
      <c r="T350" t="s">
        <v>47</v>
      </c>
      <c r="U350">
        <v>27.2</v>
      </c>
      <c r="V350">
        <v>27.2</v>
      </c>
      <c r="W350">
        <v>23.119999999999997</v>
      </c>
      <c r="X350">
        <v>95.59</v>
      </c>
      <c r="Y350">
        <v>323.80298158433203</v>
      </c>
    </row>
    <row r="351" spans="1:25" x14ac:dyDescent="0.35">
      <c r="A351" t="s">
        <v>25</v>
      </c>
      <c r="B351" t="s">
        <v>1166</v>
      </c>
      <c r="C351" t="str">
        <f>VLOOKUP(B351,Tabelle3!A:C,2,FALSE)</f>
        <v>Süd</v>
      </c>
      <c r="D351" t="s">
        <v>27</v>
      </c>
      <c r="E351" t="s">
        <v>439</v>
      </c>
      <c r="F351" t="s">
        <v>1167</v>
      </c>
      <c r="G351">
        <v>47495</v>
      </c>
      <c r="H351" t="s">
        <v>1160</v>
      </c>
      <c r="I351" t="s">
        <v>1161</v>
      </c>
      <c r="J351" t="s">
        <v>693</v>
      </c>
      <c r="K351">
        <v>30317</v>
      </c>
      <c r="L351" t="s">
        <v>69</v>
      </c>
      <c r="M351" t="s">
        <v>70</v>
      </c>
      <c r="N351" t="s">
        <v>69</v>
      </c>
      <c r="O351" t="s">
        <v>25</v>
      </c>
      <c r="P351" t="s">
        <v>266</v>
      </c>
      <c r="Q351" t="s">
        <v>71</v>
      </c>
      <c r="R351" t="s">
        <v>71</v>
      </c>
      <c r="S351">
        <v>0.34210000000000002</v>
      </c>
      <c r="T351" t="s">
        <v>47</v>
      </c>
      <c r="U351">
        <v>27.2</v>
      </c>
      <c r="V351">
        <v>27.2</v>
      </c>
      <c r="W351">
        <v>23.119999999999997</v>
      </c>
      <c r="X351">
        <v>95.59</v>
      </c>
      <c r="Y351">
        <v>323.80298158433203</v>
      </c>
    </row>
    <row r="352" spans="1:25" x14ac:dyDescent="0.35">
      <c r="A352" t="s">
        <v>25</v>
      </c>
      <c r="B352" t="s">
        <v>1168</v>
      </c>
      <c r="C352" t="str">
        <f>VLOOKUP(B352,Tabelle3!A:C,2,FALSE)</f>
        <v>Süd</v>
      </c>
      <c r="D352" t="s">
        <v>27</v>
      </c>
      <c r="E352" t="s">
        <v>439</v>
      </c>
      <c r="F352" t="s">
        <v>1169</v>
      </c>
      <c r="G352">
        <v>47495</v>
      </c>
      <c r="H352" t="s">
        <v>1160</v>
      </c>
      <c r="I352" t="s">
        <v>1161</v>
      </c>
      <c r="J352" t="s">
        <v>693</v>
      </c>
      <c r="K352">
        <v>35430</v>
      </c>
      <c r="L352" t="s">
        <v>33</v>
      </c>
      <c r="M352" t="s">
        <v>34</v>
      </c>
      <c r="N352" t="s">
        <v>33</v>
      </c>
      <c r="O352" t="s">
        <v>25</v>
      </c>
      <c r="P352" t="s">
        <v>87</v>
      </c>
      <c r="Q352" t="s">
        <v>33</v>
      </c>
      <c r="R352" t="s">
        <v>46</v>
      </c>
      <c r="S352">
        <v>0.34210000000000002</v>
      </c>
      <c r="T352" t="s">
        <v>47</v>
      </c>
      <c r="U352">
        <v>54</v>
      </c>
      <c r="V352">
        <v>54</v>
      </c>
      <c r="W352">
        <v>46.98</v>
      </c>
      <c r="X352">
        <v>40.69</v>
      </c>
      <c r="Y352">
        <v>161.18824904998536</v>
      </c>
    </row>
    <row r="353" spans="1:25" x14ac:dyDescent="0.35">
      <c r="A353" t="s">
        <v>25</v>
      </c>
      <c r="B353" t="s">
        <v>1170</v>
      </c>
      <c r="C353" t="str">
        <f>VLOOKUP(B353,Tabelle3!A:C,2,FALSE)</f>
        <v>Süd</v>
      </c>
      <c r="D353" t="s">
        <v>27</v>
      </c>
      <c r="E353" t="s">
        <v>1171</v>
      </c>
      <c r="F353" t="s">
        <v>1172</v>
      </c>
      <c r="G353">
        <v>86152</v>
      </c>
      <c r="H353" t="s">
        <v>1030</v>
      </c>
      <c r="I353" t="s">
        <v>1173</v>
      </c>
      <c r="J353" t="s">
        <v>701</v>
      </c>
      <c r="K353">
        <v>28109</v>
      </c>
      <c r="L353" t="s">
        <v>33</v>
      </c>
      <c r="M353" t="s">
        <v>34</v>
      </c>
      <c r="N353" t="s">
        <v>33</v>
      </c>
      <c r="O353" t="s">
        <v>25</v>
      </c>
      <c r="P353" t="s">
        <v>50</v>
      </c>
      <c r="Q353" t="s">
        <v>33</v>
      </c>
      <c r="R353" t="s">
        <v>46</v>
      </c>
      <c r="S353">
        <v>0.35859999999999997</v>
      </c>
      <c r="T353" t="s">
        <v>47</v>
      </c>
      <c r="U353">
        <v>20.9</v>
      </c>
      <c r="V353">
        <v>20.399999999999999</v>
      </c>
      <c r="W353">
        <v>17.747999999999998</v>
      </c>
      <c r="X353">
        <v>40.69</v>
      </c>
      <c r="Y353">
        <v>153.84063022866704</v>
      </c>
    </row>
    <row r="354" spans="1:25" x14ac:dyDescent="0.35">
      <c r="A354" t="s">
        <v>25</v>
      </c>
      <c r="B354" t="s">
        <v>1174</v>
      </c>
      <c r="C354" t="str">
        <f>VLOOKUP(B354,Tabelle3!A:C,2,FALSE)</f>
        <v>Süd</v>
      </c>
      <c r="D354" t="s">
        <v>27</v>
      </c>
      <c r="E354" t="s">
        <v>1171</v>
      </c>
      <c r="F354" t="s">
        <v>1175</v>
      </c>
      <c r="G354">
        <v>86167</v>
      </c>
      <c r="H354" t="s">
        <v>1030</v>
      </c>
      <c r="I354" t="s">
        <v>1176</v>
      </c>
      <c r="J354" t="s">
        <v>701</v>
      </c>
      <c r="K354">
        <v>38001</v>
      </c>
      <c r="L354" t="s">
        <v>33</v>
      </c>
      <c r="M354" t="s">
        <v>34</v>
      </c>
      <c r="N354" t="s">
        <v>33</v>
      </c>
      <c r="O354" t="s">
        <v>25</v>
      </c>
      <c r="P354" t="s">
        <v>87</v>
      </c>
      <c r="Q354" t="s">
        <v>33</v>
      </c>
      <c r="R354" t="s">
        <v>46</v>
      </c>
      <c r="S354">
        <v>0.39040000000000002</v>
      </c>
      <c r="T354" t="s">
        <v>47</v>
      </c>
      <c r="U354">
        <v>31</v>
      </c>
      <c r="V354">
        <v>30.7</v>
      </c>
      <c r="W354">
        <v>26.709</v>
      </c>
      <c r="X354">
        <v>40.69</v>
      </c>
      <c r="Y354">
        <v>141.43173668032784</v>
      </c>
    </row>
    <row r="355" spans="1:25" x14ac:dyDescent="0.35">
      <c r="A355" t="s">
        <v>25</v>
      </c>
      <c r="B355" t="s">
        <v>1177</v>
      </c>
      <c r="C355" t="str">
        <f>VLOOKUP(B355,Tabelle3!A:C,2,FALSE)</f>
        <v>Süd</v>
      </c>
      <c r="D355" t="s">
        <v>27</v>
      </c>
      <c r="E355" t="s">
        <v>1178</v>
      </c>
      <c r="F355" t="s">
        <v>1179</v>
      </c>
      <c r="G355">
        <v>44805</v>
      </c>
      <c r="H355" t="s">
        <v>1180</v>
      </c>
      <c r="I355" t="s">
        <v>1181</v>
      </c>
      <c r="J355" t="s">
        <v>693</v>
      </c>
      <c r="K355">
        <v>27626</v>
      </c>
      <c r="L355" t="s">
        <v>33</v>
      </c>
      <c r="M355" t="s">
        <v>34</v>
      </c>
      <c r="N355" t="s">
        <v>33</v>
      </c>
      <c r="O355" t="s">
        <v>25</v>
      </c>
      <c r="P355" t="s">
        <v>35</v>
      </c>
      <c r="Q355" t="s">
        <v>33</v>
      </c>
      <c r="R355" t="s">
        <v>36</v>
      </c>
      <c r="S355">
        <v>0.39929999999999999</v>
      </c>
      <c r="T355" t="s">
        <v>47</v>
      </c>
      <c r="U355">
        <v>45</v>
      </c>
      <c r="V355">
        <v>43.411999999999999</v>
      </c>
      <c r="W355">
        <v>37.768439999999998</v>
      </c>
      <c r="X355">
        <v>40.69</v>
      </c>
      <c r="Y355">
        <v>137.81279739544203</v>
      </c>
    </row>
    <row r="356" spans="1:25" x14ac:dyDescent="0.35">
      <c r="A356" t="s">
        <v>25</v>
      </c>
      <c r="B356" t="s">
        <v>1182</v>
      </c>
      <c r="C356" t="str">
        <f>VLOOKUP(B356,Tabelle3!A:C,2,FALSE)</f>
        <v>Süd</v>
      </c>
      <c r="D356" t="s">
        <v>27</v>
      </c>
      <c r="E356" t="s">
        <v>1183</v>
      </c>
      <c r="F356" t="s">
        <v>1184</v>
      </c>
      <c r="G356">
        <v>47249</v>
      </c>
      <c r="H356" t="s">
        <v>1185</v>
      </c>
      <c r="I356" t="s">
        <v>1186</v>
      </c>
      <c r="J356" t="s">
        <v>693</v>
      </c>
      <c r="K356">
        <v>27364</v>
      </c>
      <c r="L356" t="s">
        <v>33</v>
      </c>
      <c r="M356" t="s">
        <v>34</v>
      </c>
      <c r="N356" t="s">
        <v>33</v>
      </c>
      <c r="O356" t="s">
        <v>25</v>
      </c>
      <c r="P356" t="s">
        <v>87</v>
      </c>
      <c r="Q356" t="s">
        <v>33</v>
      </c>
      <c r="R356" t="s">
        <v>46</v>
      </c>
      <c r="S356">
        <v>0.38719999999999999</v>
      </c>
      <c r="T356" t="s">
        <v>47</v>
      </c>
      <c r="U356">
        <v>40.799999999999997</v>
      </c>
      <c r="V356">
        <v>40.200000000000003</v>
      </c>
      <c r="W356">
        <v>34.974000000000004</v>
      </c>
      <c r="X356">
        <v>40.69</v>
      </c>
      <c r="Y356">
        <v>142.58819731404958</v>
      </c>
    </row>
    <row r="357" spans="1:25" x14ac:dyDescent="0.35">
      <c r="A357" t="s">
        <v>25</v>
      </c>
      <c r="B357" t="s">
        <v>1187</v>
      </c>
      <c r="C357" t="str">
        <f>VLOOKUP(B357,Tabelle3!A:C,2,FALSE)</f>
        <v>Süd</v>
      </c>
      <c r="D357" t="s">
        <v>27</v>
      </c>
      <c r="E357" t="s">
        <v>1183</v>
      </c>
      <c r="F357" t="s">
        <v>1188</v>
      </c>
      <c r="G357">
        <v>47249</v>
      </c>
      <c r="H357" t="s">
        <v>1185</v>
      </c>
      <c r="I357" t="s">
        <v>1186</v>
      </c>
      <c r="J357" t="s">
        <v>693</v>
      </c>
      <c r="K357">
        <v>38243</v>
      </c>
      <c r="L357" t="s">
        <v>33</v>
      </c>
      <c r="M357" t="s">
        <v>34</v>
      </c>
      <c r="N357" t="s">
        <v>33</v>
      </c>
      <c r="O357" t="s">
        <v>25</v>
      </c>
      <c r="P357" t="s">
        <v>87</v>
      </c>
      <c r="Q357" t="s">
        <v>33</v>
      </c>
      <c r="R357" t="s">
        <v>46</v>
      </c>
      <c r="S357">
        <v>0.5625</v>
      </c>
      <c r="T357" t="s">
        <v>47</v>
      </c>
      <c r="U357">
        <v>75.3</v>
      </c>
      <c r="V357">
        <v>75.2</v>
      </c>
      <c r="W357">
        <v>65.424000000000007</v>
      </c>
      <c r="X357">
        <v>40.69</v>
      </c>
      <c r="Y357">
        <v>98.618844444444434</v>
      </c>
    </row>
    <row r="358" spans="1:25" x14ac:dyDescent="0.35">
      <c r="A358" t="s">
        <v>25</v>
      </c>
      <c r="B358" t="s">
        <v>1189</v>
      </c>
      <c r="C358" t="str">
        <f>VLOOKUP(B358,Tabelle3!A:C,2,FALSE)</f>
        <v>Süd</v>
      </c>
      <c r="D358" t="s">
        <v>27</v>
      </c>
      <c r="E358" t="s">
        <v>1183</v>
      </c>
      <c r="F358" t="s">
        <v>1188</v>
      </c>
      <c r="G358">
        <v>47249</v>
      </c>
      <c r="H358" t="s">
        <v>1185</v>
      </c>
      <c r="I358" t="s">
        <v>1186</v>
      </c>
      <c r="J358" t="s">
        <v>693</v>
      </c>
      <c r="K358">
        <v>38253</v>
      </c>
      <c r="L358" t="s">
        <v>33</v>
      </c>
      <c r="M358" t="s">
        <v>34</v>
      </c>
      <c r="N358" t="s">
        <v>33</v>
      </c>
      <c r="O358" t="s">
        <v>25</v>
      </c>
      <c r="P358" t="s">
        <v>87</v>
      </c>
      <c r="Q358" t="s">
        <v>33</v>
      </c>
      <c r="R358" t="s">
        <v>46</v>
      </c>
      <c r="S358">
        <v>0.5625</v>
      </c>
      <c r="T358" t="s">
        <v>47</v>
      </c>
      <c r="U358">
        <v>75.3</v>
      </c>
      <c r="V358">
        <v>75.2</v>
      </c>
      <c r="W358">
        <v>65.424000000000007</v>
      </c>
      <c r="X358">
        <v>40.69</v>
      </c>
      <c r="Y358">
        <v>98.618844444444434</v>
      </c>
    </row>
    <row r="359" spans="1:25" x14ac:dyDescent="0.35">
      <c r="A359" t="s">
        <v>25</v>
      </c>
      <c r="B359" t="s">
        <v>1190</v>
      </c>
      <c r="C359" t="str">
        <f>VLOOKUP(B359,Tabelle3!A:C,2,FALSE)</f>
        <v>Süd</v>
      </c>
      <c r="D359" t="s">
        <v>27</v>
      </c>
      <c r="E359" t="s">
        <v>1183</v>
      </c>
      <c r="F359" t="s">
        <v>1188</v>
      </c>
      <c r="G359">
        <v>47249</v>
      </c>
      <c r="H359" t="s">
        <v>1185</v>
      </c>
      <c r="I359" t="s">
        <v>1186</v>
      </c>
      <c r="J359" t="s">
        <v>693</v>
      </c>
      <c r="K359">
        <v>38408</v>
      </c>
      <c r="L359" t="s">
        <v>69</v>
      </c>
      <c r="M359" t="s">
        <v>70</v>
      </c>
      <c r="N359" t="s">
        <v>69</v>
      </c>
      <c r="O359" t="s">
        <v>25</v>
      </c>
      <c r="P359" t="s">
        <v>82</v>
      </c>
      <c r="Q359" t="s">
        <v>71</v>
      </c>
      <c r="R359" t="s">
        <v>71</v>
      </c>
      <c r="S359">
        <v>0.5625</v>
      </c>
      <c r="T359" t="s">
        <v>47</v>
      </c>
      <c r="U359">
        <v>88.3</v>
      </c>
      <c r="V359">
        <v>84</v>
      </c>
      <c r="W359">
        <v>71.399999999999991</v>
      </c>
      <c r="X359">
        <v>95.59</v>
      </c>
      <c r="Y359">
        <v>197.32160000000002</v>
      </c>
    </row>
    <row r="360" spans="1:25" x14ac:dyDescent="0.35">
      <c r="A360" t="s">
        <v>25</v>
      </c>
      <c r="B360" t="s">
        <v>1191</v>
      </c>
      <c r="C360" t="str">
        <f>VLOOKUP(B360,Tabelle3!A:C,2,FALSE)</f>
        <v>Süd</v>
      </c>
      <c r="D360" t="s">
        <v>27</v>
      </c>
      <c r="E360" t="s">
        <v>1192</v>
      </c>
      <c r="F360" t="s">
        <v>1193</v>
      </c>
      <c r="G360">
        <v>40221</v>
      </c>
      <c r="H360" t="s">
        <v>928</v>
      </c>
      <c r="I360" t="s">
        <v>1194</v>
      </c>
      <c r="J360" t="s">
        <v>693</v>
      </c>
      <c r="K360">
        <v>27446</v>
      </c>
      <c r="L360" t="s">
        <v>33</v>
      </c>
      <c r="M360" t="s">
        <v>34</v>
      </c>
      <c r="N360" t="s">
        <v>33</v>
      </c>
      <c r="O360" t="s">
        <v>44</v>
      </c>
      <c r="P360" t="s">
        <v>62</v>
      </c>
      <c r="Q360" t="s">
        <v>33</v>
      </c>
      <c r="R360" t="s">
        <v>36</v>
      </c>
      <c r="S360">
        <v>0.315</v>
      </c>
      <c r="T360" t="s">
        <v>47</v>
      </c>
      <c r="U360">
        <v>65.5</v>
      </c>
      <c r="V360">
        <v>64.7</v>
      </c>
      <c r="W360">
        <v>56.289000000000001</v>
      </c>
      <c r="X360">
        <v>40.69</v>
      </c>
      <c r="Y360">
        <v>174.42650793650793</v>
      </c>
    </row>
    <row r="361" spans="1:25" x14ac:dyDescent="0.35">
      <c r="A361" t="s">
        <v>25</v>
      </c>
      <c r="B361" t="s">
        <v>1195</v>
      </c>
      <c r="C361" t="str">
        <f>VLOOKUP(B361,Tabelle3!A:C,2,FALSE)</f>
        <v>Süd</v>
      </c>
      <c r="D361" t="s">
        <v>27</v>
      </c>
      <c r="E361" t="s">
        <v>1192</v>
      </c>
      <c r="F361" t="s">
        <v>1196</v>
      </c>
      <c r="G361">
        <v>40221</v>
      </c>
      <c r="H361" t="s">
        <v>928</v>
      </c>
      <c r="I361" t="s">
        <v>1194</v>
      </c>
      <c r="J361" t="s">
        <v>693</v>
      </c>
      <c r="K361">
        <v>27352</v>
      </c>
      <c r="L361" t="s">
        <v>33</v>
      </c>
      <c r="M361" t="s">
        <v>34</v>
      </c>
      <c r="N361" t="s">
        <v>33</v>
      </c>
      <c r="O361" t="s">
        <v>44</v>
      </c>
      <c r="P361" t="s">
        <v>62</v>
      </c>
      <c r="Q361" t="s">
        <v>33</v>
      </c>
      <c r="R361" t="s">
        <v>36</v>
      </c>
      <c r="S361">
        <v>0.31240000000000001</v>
      </c>
      <c r="T361" t="s">
        <v>47</v>
      </c>
      <c r="U361">
        <v>67.5</v>
      </c>
      <c r="V361">
        <v>66.7</v>
      </c>
      <c r="W361">
        <v>58.029000000000003</v>
      </c>
      <c r="X361">
        <v>40.69</v>
      </c>
      <c r="Y361">
        <v>175.86987836107551</v>
      </c>
    </row>
    <row r="362" spans="1:25" x14ac:dyDescent="0.35">
      <c r="A362" t="s">
        <v>25</v>
      </c>
      <c r="B362" t="s">
        <v>1197</v>
      </c>
      <c r="C362" t="str">
        <f>VLOOKUP(B362,Tabelle3!A:C,2,FALSE)</f>
        <v>Süd</v>
      </c>
      <c r="D362" t="s">
        <v>27</v>
      </c>
      <c r="E362" t="s">
        <v>1192</v>
      </c>
      <c r="F362" t="s">
        <v>1198</v>
      </c>
      <c r="G362">
        <v>40221</v>
      </c>
      <c r="H362" t="s">
        <v>928</v>
      </c>
      <c r="I362" t="s">
        <v>1194</v>
      </c>
      <c r="J362" t="s">
        <v>693</v>
      </c>
      <c r="K362">
        <v>36735</v>
      </c>
      <c r="L362" t="s">
        <v>33</v>
      </c>
      <c r="M362" t="s">
        <v>34</v>
      </c>
      <c r="N362" t="s">
        <v>33</v>
      </c>
      <c r="O362" t="s">
        <v>25</v>
      </c>
      <c r="P362" t="s">
        <v>35</v>
      </c>
      <c r="Q362" t="s">
        <v>33</v>
      </c>
      <c r="R362" t="s">
        <v>36</v>
      </c>
      <c r="S362">
        <v>0.54</v>
      </c>
      <c r="T362" t="s">
        <v>47</v>
      </c>
      <c r="U362">
        <v>102</v>
      </c>
      <c r="V362">
        <v>100</v>
      </c>
      <c r="W362">
        <v>87</v>
      </c>
      <c r="X362">
        <v>40.69</v>
      </c>
      <c r="Y362">
        <v>102.16546296296296</v>
      </c>
    </row>
    <row r="363" spans="1:25" x14ac:dyDescent="0.35">
      <c r="A363" t="s">
        <v>25</v>
      </c>
      <c r="B363" t="s">
        <v>1199</v>
      </c>
      <c r="C363" t="str">
        <f>VLOOKUP(B363,Tabelle3!A:C,2,FALSE)</f>
        <v>Süd</v>
      </c>
      <c r="D363" t="s">
        <v>27</v>
      </c>
      <c r="E363" t="s">
        <v>1192</v>
      </c>
      <c r="F363" t="s">
        <v>1200</v>
      </c>
      <c r="G363">
        <v>40221</v>
      </c>
      <c r="H363" t="s">
        <v>928</v>
      </c>
      <c r="I363" t="s">
        <v>1194</v>
      </c>
      <c r="J363" t="s">
        <v>693</v>
      </c>
      <c r="K363">
        <v>42391</v>
      </c>
      <c r="L363" t="s">
        <v>33</v>
      </c>
      <c r="M363" t="s">
        <v>34</v>
      </c>
      <c r="N363" t="s">
        <v>33</v>
      </c>
      <c r="O363" t="s">
        <v>25</v>
      </c>
      <c r="P363" t="s">
        <v>35</v>
      </c>
      <c r="Q363" t="s">
        <v>33</v>
      </c>
      <c r="R363" t="s">
        <v>36</v>
      </c>
      <c r="S363">
        <v>0.61199999999999999</v>
      </c>
      <c r="T363" t="s">
        <v>47</v>
      </c>
      <c r="U363">
        <v>605</v>
      </c>
      <c r="V363">
        <v>595</v>
      </c>
      <c r="W363">
        <v>517.65</v>
      </c>
      <c r="X363">
        <v>40.69</v>
      </c>
      <c r="Y363">
        <v>90.26364379084967</v>
      </c>
    </row>
    <row r="364" spans="1:25" x14ac:dyDescent="0.35">
      <c r="A364" t="s">
        <v>25</v>
      </c>
      <c r="B364" t="s">
        <v>1201</v>
      </c>
      <c r="C364" t="str">
        <f>VLOOKUP(B364,Tabelle3!A:C,2,FALSE)</f>
        <v>Süd</v>
      </c>
      <c r="D364" t="s">
        <v>27</v>
      </c>
      <c r="E364" t="s">
        <v>1202</v>
      </c>
      <c r="F364" t="s">
        <v>1203</v>
      </c>
      <c r="G364">
        <v>48155</v>
      </c>
      <c r="H364" t="s">
        <v>1204</v>
      </c>
      <c r="I364" t="s">
        <v>1205</v>
      </c>
      <c r="J364" t="s">
        <v>693</v>
      </c>
      <c r="K364">
        <v>38716</v>
      </c>
      <c r="L364" t="s">
        <v>33</v>
      </c>
      <c r="M364" t="s">
        <v>34</v>
      </c>
      <c r="N364" t="s">
        <v>33</v>
      </c>
      <c r="O364" t="s">
        <v>25</v>
      </c>
      <c r="P364" t="s">
        <v>87</v>
      </c>
      <c r="Q364" t="s">
        <v>33</v>
      </c>
      <c r="R364" t="s">
        <v>46</v>
      </c>
      <c r="S364">
        <v>0.5625</v>
      </c>
      <c r="T364" t="s">
        <v>47</v>
      </c>
      <c r="U364">
        <v>32</v>
      </c>
      <c r="V364">
        <v>31</v>
      </c>
      <c r="W364">
        <v>26.97</v>
      </c>
      <c r="X364">
        <v>40.69</v>
      </c>
      <c r="Y364">
        <v>98.618844444444434</v>
      </c>
    </row>
    <row r="365" spans="1:25" x14ac:dyDescent="0.35">
      <c r="A365" t="s">
        <v>25</v>
      </c>
      <c r="B365" t="s">
        <v>1206</v>
      </c>
      <c r="C365" t="str">
        <f>VLOOKUP(B365,Tabelle3!A:C,2,FALSE)</f>
        <v>Süd</v>
      </c>
      <c r="D365" t="s">
        <v>27</v>
      </c>
      <c r="E365" t="s">
        <v>1202</v>
      </c>
      <c r="F365" t="s">
        <v>1207</v>
      </c>
      <c r="G365">
        <v>48155</v>
      </c>
      <c r="H365" t="s">
        <v>1204</v>
      </c>
      <c r="I365" t="s">
        <v>1205</v>
      </c>
      <c r="J365" t="s">
        <v>693</v>
      </c>
      <c r="K365">
        <v>38716</v>
      </c>
      <c r="L365" t="s">
        <v>33</v>
      </c>
      <c r="M365" t="s">
        <v>34</v>
      </c>
      <c r="N365" t="s">
        <v>33</v>
      </c>
      <c r="O365" t="s">
        <v>25</v>
      </c>
      <c r="P365" t="s">
        <v>87</v>
      </c>
      <c r="Q365" t="s">
        <v>33</v>
      </c>
      <c r="R365" t="s">
        <v>46</v>
      </c>
      <c r="S365">
        <v>0.5625</v>
      </c>
      <c r="T365" t="s">
        <v>47</v>
      </c>
      <c r="U365">
        <v>32</v>
      </c>
      <c r="V365">
        <v>31</v>
      </c>
      <c r="W365">
        <v>26.97</v>
      </c>
      <c r="X365">
        <v>40.69</v>
      </c>
      <c r="Y365">
        <v>98.618844444444434</v>
      </c>
    </row>
    <row r="366" spans="1:25" x14ac:dyDescent="0.35">
      <c r="A366" t="s">
        <v>25</v>
      </c>
      <c r="B366" t="s">
        <v>1208</v>
      </c>
      <c r="C366" t="str">
        <f>VLOOKUP(B366,Tabelle3!A:C,2,FALSE)</f>
        <v>Süd</v>
      </c>
      <c r="D366" t="s">
        <v>27</v>
      </c>
      <c r="E366" t="s">
        <v>1202</v>
      </c>
      <c r="F366" t="s">
        <v>409</v>
      </c>
      <c r="G366">
        <v>48155</v>
      </c>
      <c r="H366" t="s">
        <v>1204</v>
      </c>
      <c r="I366" t="s">
        <v>1205</v>
      </c>
      <c r="J366" t="s">
        <v>693</v>
      </c>
      <c r="K366">
        <v>38700</v>
      </c>
      <c r="L366" t="s">
        <v>69</v>
      </c>
      <c r="M366" t="s">
        <v>70</v>
      </c>
      <c r="N366" t="s">
        <v>69</v>
      </c>
      <c r="O366" t="s">
        <v>25</v>
      </c>
      <c r="P366" t="s">
        <v>50</v>
      </c>
      <c r="Q366" t="s">
        <v>71</v>
      </c>
      <c r="R366" t="s">
        <v>71</v>
      </c>
      <c r="S366">
        <v>0.5625</v>
      </c>
      <c r="T366" t="s">
        <v>47</v>
      </c>
      <c r="U366">
        <v>38</v>
      </c>
      <c r="V366">
        <v>35.200000000000003</v>
      </c>
      <c r="W366">
        <v>29.92</v>
      </c>
      <c r="X366">
        <v>95.59</v>
      </c>
      <c r="Y366">
        <v>197.32160000000002</v>
      </c>
    </row>
    <row r="367" spans="1:25" x14ac:dyDescent="0.35">
      <c r="A367" t="s">
        <v>25</v>
      </c>
      <c r="B367" t="s">
        <v>1209</v>
      </c>
      <c r="C367" t="str">
        <f>VLOOKUP(B367,Tabelle3!A:C,2,FALSE)</f>
        <v>Süd</v>
      </c>
      <c r="D367" t="s">
        <v>27</v>
      </c>
      <c r="E367" t="s">
        <v>1210</v>
      </c>
      <c r="F367" t="s">
        <v>1211</v>
      </c>
      <c r="G367">
        <v>66117</v>
      </c>
      <c r="H367" t="s">
        <v>834</v>
      </c>
      <c r="I367" t="s">
        <v>1212</v>
      </c>
      <c r="J367" t="s">
        <v>823</v>
      </c>
      <c r="K367">
        <v>40997</v>
      </c>
      <c r="L367" t="s">
        <v>33</v>
      </c>
      <c r="M367" t="s">
        <v>34</v>
      </c>
      <c r="N367" t="s">
        <v>33</v>
      </c>
      <c r="O367" t="s">
        <v>25</v>
      </c>
      <c r="P367" t="s">
        <v>35</v>
      </c>
      <c r="Q367" t="s">
        <v>33</v>
      </c>
      <c r="R367" t="s">
        <v>36</v>
      </c>
      <c r="S367">
        <v>0.3982</v>
      </c>
      <c r="T367" t="s">
        <v>47</v>
      </c>
      <c r="U367">
        <v>39.029199999999996</v>
      </c>
      <c r="V367">
        <v>38.610199999999999</v>
      </c>
      <c r="W367">
        <v>33.590873999999999</v>
      </c>
      <c r="X367">
        <v>40.69</v>
      </c>
      <c r="Y367">
        <v>138.19073329984931</v>
      </c>
    </row>
    <row r="368" spans="1:25" x14ac:dyDescent="0.35">
      <c r="A368" t="s">
        <v>25</v>
      </c>
      <c r="B368" t="s">
        <v>1213</v>
      </c>
      <c r="C368" t="str">
        <f>VLOOKUP(B368,Tabelle3!A:C,2,FALSE)</f>
        <v>Süd</v>
      </c>
      <c r="D368" t="s">
        <v>27</v>
      </c>
      <c r="E368" t="s">
        <v>1214</v>
      </c>
      <c r="F368" t="s">
        <v>1215</v>
      </c>
      <c r="G368">
        <v>50354</v>
      </c>
      <c r="H368" t="s">
        <v>811</v>
      </c>
      <c r="I368" t="s">
        <v>812</v>
      </c>
      <c r="J368" t="s">
        <v>693</v>
      </c>
      <c r="K368">
        <v>41426</v>
      </c>
      <c r="L368" t="s">
        <v>33</v>
      </c>
      <c r="M368" t="s">
        <v>34</v>
      </c>
      <c r="N368" t="s">
        <v>33</v>
      </c>
      <c r="O368" t="s">
        <v>44</v>
      </c>
      <c r="P368" t="s">
        <v>87</v>
      </c>
      <c r="Q368" t="s">
        <v>33</v>
      </c>
      <c r="R368" t="s">
        <v>46</v>
      </c>
      <c r="S368">
        <v>0.59199999999999997</v>
      </c>
      <c r="T368" t="s">
        <v>47</v>
      </c>
      <c r="U368">
        <v>450</v>
      </c>
      <c r="V368">
        <v>430</v>
      </c>
      <c r="W368">
        <v>374.1</v>
      </c>
      <c r="X368">
        <v>40.69</v>
      </c>
      <c r="Y368">
        <v>93.779307432432432</v>
      </c>
    </row>
    <row r="369" spans="1:25" x14ac:dyDescent="0.35">
      <c r="A369" t="s">
        <v>25</v>
      </c>
      <c r="B369" t="s">
        <v>1216</v>
      </c>
      <c r="C369" t="str">
        <f>VLOOKUP(B369,Tabelle3!A:C,2,FALSE)</f>
        <v>Süd</v>
      </c>
      <c r="D369" t="s">
        <v>27</v>
      </c>
      <c r="E369" t="s">
        <v>1217</v>
      </c>
      <c r="F369" t="s">
        <v>1218</v>
      </c>
      <c r="G369">
        <v>52070</v>
      </c>
      <c r="H369" t="s">
        <v>1219</v>
      </c>
      <c r="I369" t="s">
        <v>1220</v>
      </c>
      <c r="J369" t="s">
        <v>693</v>
      </c>
      <c r="K369">
        <v>45021</v>
      </c>
      <c r="L369" t="s">
        <v>33</v>
      </c>
      <c r="M369" t="s">
        <v>34</v>
      </c>
      <c r="N369" t="s">
        <v>33</v>
      </c>
      <c r="O369" t="s">
        <v>25</v>
      </c>
      <c r="P369" t="s">
        <v>137</v>
      </c>
      <c r="Q369" t="s">
        <v>33</v>
      </c>
      <c r="R369" t="s">
        <v>46</v>
      </c>
      <c r="S369">
        <v>0.63</v>
      </c>
      <c r="T369" t="s">
        <v>37</v>
      </c>
      <c r="U369">
        <v>22.535</v>
      </c>
      <c r="V369">
        <v>21.504999999999999</v>
      </c>
      <c r="W369">
        <v>18.709350000000001</v>
      </c>
      <c r="X369">
        <v>40.69</v>
      </c>
      <c r="Y369">
        <v>88.213253968253966</v>
      </c>
    </row>
    <row r="370" spans="1:25" x14ac:dyDescent="0.35">
      <c r="A370" t="s">
        <v>25</v>
      </c>
      <c r="B370" t="s">
        <v>1221</v>
      </c>
      <c r="C370" t="s">
        <v>4081</v>
      </c>
      <c r="D370" t="s">
        <v>27</v>
      </c>
      <c r="E370" t="s">
        <v>673</v>
      </c>
      <c r="F370" t="s">
        <v>1222</v>
      </c>
      <c r="G370">
        <v>86641</v>
      </c>
      <c r="H370" t="s">
        <v>1223</v>
      </c>
      <c r="I370" t="s">
        <v>1224</v>
      </c>
      <c r="J370" t="s">
        <v>701</v>
      </c>
      <c r="K370">
        <v>22569</v>
      </c>
      <c r="L370" t="s">
        <v>69</v>
      </c>
      <c r="M370" t="s">
        <v>70</v>
      </c>
      <c r="N370" t="s">
        <v>69</v>
      </c>
      <c r="O370" t="s">
        <v>25</v>
      </c>
      <c r="P370" t="s">
        <v>266</v>
      </c>
      <c r="Q370" t="s">
        <v>71</v>
      </c>
      <c r="R370" t="s">
        <v>71</v>
      </c>
      <c r="S370">
        <v>0.33</v>
      </c>
      <c r="T370" t="s">
        <v>108</v>
      </c>
      <c r="U370">
        <v>11</v>
      </c>
      <c r="V370">
        <v>10.36</v>
      </c>
      <c r="W370">
        <v>8.8059999999999992</v>
      </c>
      <c r="X370">
        <v>95.59</v>
      </c>
      <c r="Y370">
        <v>335.6390909090909</v>
      </c>
    </row>
    <row r="371" spans="1:25" x14ac:dyDescent="0.35">
      <c r="A371" t="s">
        <v>25</v>
      </c>
      <c r="B371" t="s">
        <v>1225</v>
      </c>
      <c r="C371" t="str">
        <f>VLOOKUP(B371,Tabelle3!A:C,2,FALSE)</f>
        <v>Süd</v>
      </c>
      <c r="D371" t="s">
        <v>27</v>
      </c>
      <c r="E371" t="s">
        <v>673</v>
      </c>
      <c r="F371" t="s">
        <v>1226</v>
      </c>
      <c r="G371">
        <v>67283</v>
      </c>
      <c r="H371" t="s">
        <v>1227</v>
      </c>
      <c r="I371" t="s">
        <v>1228</v>
      </c>
      <c r="J371" t="s">
        <v>712</v>
      </c>
      <c r="K371">
        <v>29587</v>
      </c>
      <c r="L371" t="s">
        <v>69</v>
      </c>
      <c r="M371" t="s">
        <v>70</v>
      </c>
      <c r="N371" t="s">
        <v>69</v>
      </c>
      <c r="O371" t="s">
        <v>25</v>
      </c>
      <c r="P371" t="s">
        <v>266</v>
      </c>
      <c r="Q371" t="s">
        <v>71</v>
      </c>
      <c r="R371" t="s">
        <v>71</v>
      </c>
      <c r="S371">
        <v>0.34210000000000002</v>
      </c>
      <c r="T371" t="s">
        <v>47</v>
      </c>
      <c r="U371">
        <v>14</v>
      </c>
      <c r="V371">
        <v>12.093200000000001</v>
      </c>
      <c r="W371">
        <v>10.27922</v>
      </c>
      <c r="X371">
        <v>95.59</v>
      </c>
      <c r="Y371">
        <v>323.80298158433203</v>
      </c>
    </row>
    <row r="372" spans="1:25" x14ac:dyDescent="0.35">
      <c r="A372" t="s">
        <v>25</v>
      </c>
      <c r="B372" t="s">
        <v>1229</v>
      </c>
      <c r="C372" t="str">
        <f>VLOOKUP(B372,Tabelle3!A:C,2,FALSE)</f>
        <v>Süd</v>
      </c>
      <c r="D372" t="s">
        <v>27</v>
      </c>
      <c r="E372" t="s">
        <v>1230</v>
      </c>
      <c r="F372" t="s">
        <v>1231</v>
      </c>
      <c r="G372">
        <v>67655</v>
      </c>
      <c r="H372" t="s">
        <v>1232</v>
      </c>
      <c r="I372" t="s">
        <v>1233</v>
      </c>
      <c r="J372" t="s">
        <v>712</v>
      </c>
      <c r="K372">
        <v>1</v>
      </c>
      <c r="L372" t="s">
        <v>33</v>
      </c>
      <c r="M372" t="s">
        <v>34</v>
      </c>
      <c r="N372" t="s">
        <v>33</v>
      </c>
      <c r="O372" t="s">
        <v>25</v>
      </c>
      <c r="P372" t="s">
        <v>50</v>
      </c>
      <c r="Q372" t="s">
        <v>33</v>
      </c>
      <c r="R372" t="s">
        <v>46</v>
      </c>
      <c r="S372">
        <v>0.37290000000000001</v>
      </c>
      <c r="T372" t="s">
        <v>47</v>
      </c>
      <c r="U372">
        <v>62.98</v>
      </c>
      <c r="V372">
        <v>60.8</v>
      </c>
      <c r="W372">
        <v>52.896000000000001</v>
      </c>
      <c r="X372">
        <v>40.69</v>
      </c>
      <c r="Y372">
        <v>147.99865915795118</v>
      </c>
    </row>
    <row r="373" spans="1:25" x14ac:dyDescent="0.35">
      <c r="A373" t="s">
        <v>25</v>
      </c>
      <c r="B373" t="s">
        <v>1234</v>
      </c>
      <c r="C373" t="str">
        <f>VLOOKUP(B373,Tabelle3!A:C,2,FALSE)</f>
        <v>Süd</v>
      </c>
      <c r="D373" t="s">
        <v>27</v>
      </c>
      <c r="E373" t="s">
        <v>1235</v>
      </c>
      <c r="F373" t="s">
        <v>1236</v>
      </c>
      <c r="G373">
        <v>67063</v>
      </c>
      <c r="H373" t="s">
        <v>735</v>
      </c>
      <c r="I373" t="s">
        <v>1237</v>
      </c>
      <c r="J373" t="s">
        <v>712</v>
      </c>
      <c r="K373">
        <v>32563</v>
      </c>
      <c r="L373" t="s">
        <v>69</v>
      </c>
      <c r="M373" t="s">
        <v>70</v>
      </c>
      <c r="N373" t="s">
        <v>69</v>
      </c>
      <c r="O373" t="s">
        <v>25</v>
      </c>
      <c r="P373" t="s">
        <v>50</v>
      </c>
      <c r="Q373" t="s">
        <v>71</v>
      </c>
      <c r="R373" t="s">
        <v>71</v>
      </c>
      <c r="S373">
        <v>0.33</v>
      </c>
      <c r="T373" t="s">
        <v>47</v>
      </c>
      <c r="U373">
        <v>13.2</v>
      </c>
      <c r="V373">
        <v>12.07</v>
      </c>
      <c r="W373">
        <v>10.259499999999999</v>
      </c>
      <c r="X373">
        <v>95.59</v>
      </c>
      <c r="Y373">
        <v>335.6390909090909</v>
      </c>
    </row>
    <row r="374" spans="1:25" x14ac:dyDescent="0.35">
      <c r="A374" t="s">
        <v>25</v>
      </c>
      <c r="B374" t="s">
        <v>1238</v>
      </c>
      <c r="C374" t="str">
        <f>VLOOKUP(B374,Tabelle3!A:C,2,FALSE)</f>
        <v>Süd</v>
      </c>
      <c r="D374" t="s">
        <v>27</v>
      </c>
      <c r="E374" t="s">
        <v>1239</v>
      </c>
      <c r="F374" t="s">
        <v>1240</v>
      </c>
      <c r="G374">
        <v>59071</v>
      </c>
      <c r="H374" t="s">
        <v>1241</v>
      </c>
      <c r="I374" t="s">
        <v>1242</v>
      </c>
      <c r="J374" t="s">
        <v>693</v>
      </c>
      <c r="K374">
        <v>39409</v>
      </c>
      <c r="L374" t="s">
        <v>33</v>
      </c>
      <c r="M374" t="s">
        <v>34</v>
      </c>
      <c r="N374" t="s">
        <v>33</v>
      </c>
      <c r="O374" t="s">
        <v>44</v>
      </c>
      <c r="P374" t="s">
        <v>35</v>
      </c>
      <c r="Q374" t="s">
        <v>33</v>
      </c>
      <c r="R374" t="s">
        <v>36</v>
      </c>
      <c r="S374">
        <v>0.57699999999999996</v>
      </c>
      <c r="T374" t="s">
        <v>47</v>
      </c>
      <c r="U374">
        <v>453</v>
      </c>
      <c r="V374">
        <v>445</v>
      </c>
      <c r="W374">
        <v>387.15</v>
      </c>
      <c r="X374">
        <v>40.69</v>
      </c>
      <c r="Y374">
        <v>95.678249566724432</v>
      </c>
    </row>
    <row r="375" spans="1:25" x14ac:dyDescent="0.35">
      <c r="A375" t="s">
        <v>25</v>
      </c>
      <c r="B375" t="s">
        <v>1243</v>
      </c>
      <c r="C375" t="str">
        <f>VLOOKUP(B375,Tabelle3!A:C,2,FALSE)</f>
        <v>Süd</v>
      </c>
      <c r="D375" t="s">
        <v>27</v>
      </c>
      <c r="E375" t="s">
        <v>1239</v>
      </c>
      <c r="F375" t="s">
        <v>1244</v>
      </c>
      <c r="G375">
        <v>59071</v>
      </c>
      <c r="H375" t="s">
        <v>1241</v>
      </c>
      <c r="I375" t="s">
        <v>1242</v>
      </c>
      <c r="J375" t="s">
        <v>693</v>
      </c>
      <c r="K375">
        <v>39439</v>
      </c>
      <c r="L375" t="s">
        <v>33</v>
      </c>
      <c r="M375" t="s">
        <v>34</v>
      </c>
      <c r="N375" t="s">
        <v>33</v>
      </c>
      <c r="O375" t="s">
        <v>44</v>
      </c>
      <c r="P375" t="s">
        <v>35</v>
      </c>
      <c r="Q375" t="s">
        <v>33</v>
      </c>
      <c r="R375" t="s">
        <v>36</v>
      </c>
      <c r="S375">
        <v>0.57699999999999996</v>
      </c>
      <c r="T375" t="s">
        <v>47</v>
      </c>
      <c r="U375">
        <v>453</v>
      </c>
      <c r="V375">
        <v>445</v>
      </c>
      <c r="W375">
        <v>387.15</v>
      </c>
      <c r="X375">
        <v>40.69</v>
      </c>
      <c r="Y375">
        <v>95.678249566724432</v>
      </c>
    </row>
    <row r="376" spans="1:25" x14ac:dyDescent="0.35">
      <c r="A376" t="s">
        <v>25</v>
      </c>
      <c r="B376" t="s">
        <v>1245</v>
      </c>
      <c r="C376" t="str">
        <f>VLOOKUP(B376,Tabelle3!A:C,2,FALSE)</f>
        <v>Süd</v>
      </c>
      <c r="D376" t="s">
        <v>27</v>
      </c>
      <c r="E376" t="s">
        <v>569</v>
      </c>
      <c r="F376" t="s">
        <v>1246</v>
      </c>
      <c r="G376">
        <v>45896</v>
      </c>
      <c r="H376" t="s">
        <v>1247</v>
      </c>
      <c r="I376" t="s">
        <v>1248</v>
      </c>
      <c r="J376" t="s">
        <v>693</v>
      </c>
      <c r="K376">
        <v>45140</v>
      </c>
      <c r="L376" t="s">
        <v>69</v>
      </c>
      <c r="M376" t="s">
        <v>70</v>
      </c>
      <c r="N376" t="s">
        <v>69</v>
      </c>
      <c r="O376" t="s">
        <v>25</v>
      </c>
      <c r="P376" t="s">
        <v>50</v>
      </c>
      <c r="Q376" t="s">
        <v>33</v>
      </c>
      <c r="R376" t="s">
        <v>46</v>
      </c>
      <c r="S376">
        <v>0.40699999999999997</v>
      </c>
      <c r="T376" t="s">
        <v>37</v>
      </c>
      <c r="U376">
        <v>30.802</v>
      </c>
      <c r="V376">
        <v>30</v>
      </c>
      <c r="W376">
        <v>26.1</v>
      </c>
      <c r="X376">
        <v>40.69</v>
      </c>
      <c r="Y376">
        <v>135.72444717444716</v>
      </c>
    </row>
    <row r="377" spans="1:25" x14ac:dyDescent="0.35">
      <c r="A377" t="s">
        <v>25</v>
      </c>
      <c r="B377" t="s">
        <v>1249</v>
      </c>
      <c r="C377" t="str">
        <f>VLOOKUP(B377,Tabelle3!A:C,2,FALSE)</f>
        <v>Süd</v>
      </c>
      <c r="D377" t="s">
        <v>27</v>
      </c>
      <c r="E377" t="s">
        <v>569</v>
      </c>
      <c r="F377" t="s">
        <v>1250</v>
      </c>
      <c r="G377">
        <v>45896</v>
      </c>
      <c r="H377" t="s">
        <v>1247</v>
      </c>
      <c r="I377" t="s">
        <v>1248</v>
      </c>
      <c r="J377" t="s">
        <v>693</v>
      </c>
      <c r="K377">
        <v>45071</v>
      </c>
      <c r="L377" t="s">
        <v>33</v>
      </c>
      <c r="M377" t="s">
        <v>34</v>
      </c>
      <c r="N377" t="s">
        <v>33</v>
      </c>
      <c r="O377" t="s">
        <v>25</v>
      </c>
      <c r="P377" t="s">
        <v>35</v>
      </c>
      <c r="Q377" t="s">
        <v>33</v>
      </c>
      <c r="R377" t="s">
        <v>36</v>
      </c>
      <c r="S377">
        <v>0.432</v>
      </c>
      <c r="T377" t="s">
        <v>37</v>
      </c>
      <c r="U377">
        <v>55</v>
      </c>
      <c r="V377">
        <v>54</v>
      </c>
      <c r="W377">
        <v>46.98</v>
      </c>
      <c r="X377">
        <v>40.69</v>
      </c>
      <c r="Y377">
        <v>127.45682870370371</v>
      </c>
    </row>
    <row r="378" spans="1:25" x14ac:dyDescent="0.35">
      <c r="A378" t="s">
        <v>25</v>
      </c>
      <c r="B378" t="s">
        <v>1251</v>
      </c>
      <c r="C378" t="str">
        <f>VLOOKUP(B378,Tabelle3!A:C,2,FALSE)</f>
        <v>Süd</v>
      </c>
      <c r="D378" t="s">
        <v>27</v>
      </c>
      <c r="E378" t="s">
        <v>569</v>
      </c>
      <c r="F378" t="s">
        <v>1252</v>
      </c>
      <c r="G378">
        <v>45896</v>
      </c>
      <c r="H378" t="s">
        <v>1247</v>
      </c>
      <c r="I378" t="s">
        <v>1248</v>
      </c>
      <c r="J378" t="s">
        <v>693</v>
      </c>
      <c r="K378">
        <v>45084</v>
      </c>
      <c r="L378" t="s">
        <v>33</v>
      </c>
      <c r="M378" t="s">
        <v>34</v>
      </c>
      <c r="N378" t="s">
        <v>33</v>
      </c>
      <c r="O378" t="s">
        <v>25</v>
      </c>
      <c r="P378" t="s">
        <v>35</v>
      </c>
      <c r="Q378" t="s">
        <v>33</v>
      </c>
      <c r="R378" t="s">
        <v>36</v>
      </c>
      <c r="S378">
        <v>0.432</v>
      </c>
      <c r="T378" t="s">
        <v>37</v>
      </c>
      <c r="U378">
        <v>55</v>
      </c>
      <c r="V378">
        <v>54</v>
      </c>
      <c r="W378">
        <v>46.98</v>
      </c>
      <c r="X378">
        <v>40.69</v>
      </c>
      <c r="Y378">
        <v>127.45682870370371</v>
      </c>
    </row>
    <row r="379" spans="1:25" x14ac:dyDescent="0.35">
      <c r="A379" t="s">
        <v>25</v>
      </c>
      <c r="B379" t="s">
        <v>1253</v>
      </c>
      <c r="C379" t="str">
        <f>VLOOKUP(B379,Tabelle3!A:C,2,FALSE)</f>
        <v>Süd</v>
      </c>
      <c r="D379" t="s">
        <v>27</v>
      </c>
      <c r="E379" t="s">
        <v>1254</v>
      </c>
      <c r="F379" t="s">
        <v>1255</v>
      </c>
      <c r="G379">
        <v>86956</v>
      </c>
      <c r="H379" t="s">
        <v>1256</v>
      </c>
      <c r="I379" t="s">
        <v>1257</v>
      </c>
      <c r="J379" t="s">
        <v>701</v>
      </c>
      <c r="K379">
        <v>41993</v>
      </c>
      <c r="L379" t="s">
        <v>33</v>
      </c>
      <c r="M379" t="s">
        <v>34</v>
      </c>
      <c r="N379" t="s">
        <v>33</v>
      </c>
      <c r="O379" t="s">
        <v>25</v>
      </c>
      <c r="P379" t="s">
        <v>71</v>
      </c>
      <c r="Q379" t="s">
        <v>33</v>
      </c>
      <c r="R379" t="s">
        <v>46</v>
      </c>
      <c r="S379">
        <v>0.40039999999999998</v>
      </c>
      <c r="T379" t="s">
        <v>47</v>
      </c>
      <c r="U379">
        <v>30.17</v>
      </c>
      <c r="V379">
        <v>29.67</v>
      </c>
      <c r="W379">
        <v>25.812900000000003</v>
      </c>
      <c r="X379">
        <v>40.69</v>
      </c>
      <c r="Y379">
        <v>137.93693806193806</v>
      </c>
    </row>
    <row r="380" spans="1:25" x14ac:dyDescent="0.35">
      <c r="A380" t="s">
        <v>25</v>
      </c>
      <c r="B380" t="s">
        <v>1258</v>
      </c>
      <c r="C380" t="str">
        <f>VLOOKUP(B380,Tabelle3!A:C,2,FALSE)</f>
        <v>Süd</v>
      </c>
      <c r="D380" t="s">
        <v>27</v>
      </c>
      <c r="E380" t="s">
        <v>1254</v>
      </c>
      <c r="F380" t="s">
        <v>1259</v>
      </c>
      <c r="G380">
        <v>86956</v>
      </c>
      <c r="H380" t="s">
        <v>1256</v>
      </c>
      <c r="I380" t="s">
        <v>1257</v>
      </c>
      <c r="J380" t="s">
        <v>701</v>
      </c>
      <c r="K380">
        <v>41993</v>
      </c>
      <c r="L380" t="s">
        <v>33</v>
      </c>
      <c r="M380" t="s">
        <v>34</v>
      </c>
      <c r="N380" t="s">
        <v>33</v>
      </c>
      <c r="O380" t="s">
        <v>25</v>
      </c>
      <c r="P380" t="s">
        <v>87</v>
      </c>
      <c r="Q380" t="s">
        <v>33</v>
      </c>
      <c r="R380" t="s">
        <v>46</v>
      </c>
      <c r="S380">
        <v>0.40039999999999998</v>
      </c>
      <c r="T380" t="s">
        <v>47</v>
      </c>
      <c r="U380">
        <v>47</v>
      </c>
      <c r="V380">
        <v>44.328000000000003</v>
      </c>
      <c r="W380">
        <v>38.565360000000005</v>
      </c>
      <c r="X380">
        <v>40.69</v>
      </c>
      <c r="Y380">
        <v>137.93693806193806</v>
      </c>
    </row>
    <row r="381" spans="1:25" x14ac:dyDescent="0.35">
      <c r="A381" t="s">
        <v>25</v>
      </c>
      <c r="B381" t="s">
        <v>1260</v>
      </c>
      <c r="C381" t="str">
        <f>VLOOKUP(B381,Tabelle3!A:C,2,FALSE)</f>
        <v>Süd</v>
      </c>
      <c r="D381" t="s">
        <v>27</v>
      </c>
      <c r="E381" t="s">
        <v>1261</v>
      </c>
      <c r="F381" t="s">
        <v>872</v>
      </c>
      <c r="G381">
        <v>42275</v>
      </c>
      <c r="H381" t="s">
        <v>827</v>
      </c>
      <c r="I381" t="s">
        <v>1262</v>
      </c>
      <c r="J381" t="s">
        <v>693</v>
      </c>
      <c r="K381">
        <v>38716</v>
      </c>
      <c r="L381" t="s">
        <v>33</v>
      </c>
      <c r="M381" t="s">
        <v>34</v>
      </c>
      <c r="N381" t="s">
        <v>33</v>
      </c>
      <c r="O381" t="s">
        <v>25</v>
      </c>
      <c r="P381" t="s">
        <v>87</v>
      </c>
      <c r="Q381" t="s">
        <v>33</v>
      </c>
      <c r="R381" t="s">
        <v>46</v>
      </c>
      <c r="S381">
        <v>0.5625</v>
      </c>
      <c r="T381" t="s">
        <v>47</v>
      </c>
      <c r="U381">
        <v>28.5</v>
      </c>
      <c r="V381">
        <v>27.6</v>
      </c>
      <c r="W381">
        <v>24.012</v>
      </c>
      <c r="X381">
        <v>40.69</v>
      </c>
      <c r="Y381">
        <v>98.618844444444434</v>
      </c>
    </row>
    <row r="382" spans="1:25" x14ac:dyDescent="0.35">
      <c r="A382" t="s">
        <v>25</v>
      </c>
      <c r="B382" t="s">
        <v>1263</v>
      </c>
      <c r="C382" t="str">
        <f>VLOOKUP(B382,Tabelle3!A:C,2,FALSE)</f>
        <v>Süd</v>
      </c>
      <c r="D382" t="s">
        <v>27</v>
      </c>
      <c r="E382" t="s">
        <v>1261</v>
      </c>
      <c r="F382" t="s">
        <v>876</v>
      </c>
      <c r="G382">
        <v>42275</v>
      </c>
      <c r="H382" t="s">
        <v>827</v>
      </c>
      <c r="I382" t="s">
        <v>1262</v>
      </c>
      <c r="J382" t="s">
        <v>693</v>
      </c>
      <c r="K382">
        <v>38716</v>
      </c>
      <c r="L382" t="s">
        <v>33</v>
      </c>
      <c r="M382" t="s">
        <v>34</v>
      </c>
      <c r="N382" t="s">
        <v>33</v>
      </c>
      <c r="O382" t="s">
        <v>25</v>
      </c>
      <c r="P382" t="s">
        <v>87</v>
      </c>
      <c r="Q382" t="s">
        <v>33</v>
      </c>
      <c r="R382" t="s">
        <v>46</v>
      </c>
      <c r="S382">
        <v>0.5625</v>
      </c>
      <c r="T382" t="s">
        <v>47</v>
      </c>
      <c r="U382">
        <v>28.5</v>
      </c>
      <c r="V382">
        <v>27.6</v>
      </c>
      <c r="W382">
        <v>24.012</v>
      </c>
      <c r="X382">
        <v>40.69</v>
      </c>
      <c r="Y382">
        <v>98.618844444444434</v>
      </c>
    </row>
    <row r="383" spans="1:25" x14ac:dyDescent="0.35">
      <c r="A383" t="s">
        <v>25</v>
      </c>
      <c r="B383" t="s">
        <v>1264</v>
      </c>
      <c r="C383" t="str">
        <f>VLOOKUP(B383,Tabelle3!A:C,2,FALSE)</f>
        <v>Süd</v>
      </c>
      <c r="D383" t="s">
        <v>27</v>
      </c>
      <c r="E383" t="s">
        <v>1261</v>
      </c>
      <c r="F383" t="s">
        <v>1265</v>
      </c>
      <c r="G383">
        <v>42275</v>
      </c>
      <c r="H383" t="s">
        <v>827</v>
      </c>
      <c r="I383" t="s">
        <v>1262</v>
      </c>
      <c r="J383" t="s">
        <v>693</v>
      </c>
      <c r="K383">
        <v>38716</v>
      </c>
      <c r="L383" t="s">
        <v>33</v>
      </c>
      <c r="M383" t="s">
        <v>34</v>
      </c>
      <c r="N383" t="s">
        <v>33</v>
      </c>
      <c r="O383" t="s">
        <v>25</v>
      </c>
      <c r="P383" t="s">
        <v>82</v>
      </c>
      <c r="Q383" t="s">
        <v>33</v>
      </c>
      <c r="R383" t="s">
        <v>46</v>
      </c>
      <c r="S383">
        <v>0.5625</v>
      </c>
      <c r="T383" t="s">
        <v>47</v>
      </c>
      <c r="U383">
        <v>30</v>
      </c>
      <c r="V383">
        <v>29.2</v>
      </c>
      <c r="W383">
        <v>25.404</v>
      </c>
      <c r="X383">
        <v>40.69</v>
      </c>
      <c r="Y383">
        <v>98.618844444444434</v>
      </c>
    </row>
    <row r="384" spans="1:25" x14ac:dyDescent="0.35">
      <c r="A384" t="s">
        <v>25</v>
      </c>
      <c r="B384" t="s">
        <v>1266</v>
      </c>
      <c r="C384" t="str">
        <f>VLOOKUP(B384,Tabelle3!A:C,2,FALSE)</f>
        <v>Süd</v>
      </c>
      <c r="D384" t="s">
        <v>27</v>
      </c>
      <c r="E384" t="s">
        <v>1267</v>
      </c>
      <c r="F384" t="s">
        <v>1268</v>
      </c>
      <c r="G384">
        <v>51465</v>
      </c>
      <c r="H384" t="s">
        <v>1269</v>
      </c>
      <c r="I384" t="s">
        <v>1270</v>
      </c>
      <c r="J384" t="s">
        <v>693</v>
      </c>
      <c r="K384">
        <v>32509</v>
      </c>
      <c r="L384" t="s">
        <v>33</v>
      </c>
      <c r="M384" t="s">
        <v>34</v>
      </c>
      <c r="N384" t="s">
        <v>33</v>
      </c>
      <c r="O384" t="s">
        <v>25</v>
      </c>
      <c r="P384" t="s">
        <v>50</v>
      </c>
      <c r="Q384" t="s">
        <v>33</v>
      </c>
      <c r="R384" t="s">
        <v>46</v>
      </c>
      <c r="S384">
        <v>0.37290000000000001</v>
      </c>
      <c r="T384" t="s">
        <v>37</v>
      </c>
      <c r="U384">
        <v>21.56</v>
      </c>
      <c r="V384">
        <v>21.06</v>
      </c>
      <c r="W384">
        <v>18.322199999999999</v>
      </c>
      <c r="X384">
        <v>40.69</v>
      </c>
      <c r="Y384">
        <v>147.99865915795118</v>
      </c>
    </row>
    <row r="385" spans="1:25" x14ac:dyDescent="0.35">
      <c r="A385" t="s">
        <v>25</v>
      </c>
      <c r="B385" t="s">
        <v>1271</v>
      </c>
      <c r="C385" t="str">
        <f>VLOOKUP(B385,Tabelle3!A:C,2,FALSE)</f>
        <v>Süd</v>
      </c>
      <c r="D385" t="s">
        <v>27</v>
      </c>
      <c r="E385" t="s">
        <v>1272</v>
      </c>
      <c r="F385" t="s">
        <v>704</v>
      </c>
      <c r="G385">
        <v>64293</v>
      </c>
      <c r="H385" t="s">
        <v>873</v>
      </c>
      <c r="I385" t="s">
        <v>1273</v>
      </c>
      <c r="J385" t="s">
        <v>865</v>
      </c>
      <c r="K385">
        <v>33520</v>
      </c>
      <c r="L385" t="s">
        <v>171</v>
      </c>
      <c r="M385" t="s">
        <v>172</v>
      </c>
      <c r="N385" t="s">
        <v>173</v>
      </c>
      <c r="O385" t="s">
        <v>25</v>
      </c>
      <c r="P385" t="s">
        <v>82</v>
      </c>
      <c r="Q385" t="s">
        <v>173</v>
      </c>
      <c r="R385" t="s">
        <v>173</v>
      </c>
      <c r="S385">
        <v>0.33</v>
      </c>
      <c r="T385" t="s">
        <v>47</v>
      </c>
      <c r="U385">
        <v>10.56</v>
      </c>
      <c r="V385">
        <v>10.222</v>
      </c>
      <c r="W385">
        <v>8.688699999999999</v>
      </c>
      <c r="X385">
        <v>0</v>
      </c>
      <c r="Y385">
        <v>1</v>
      </c>
    </row>
    <row r="386" spans="1:25" x14ac:dyDescent="0.35">
      <c r="A386" t="s">
        <v>25</v>
      </c>
      <c r="B386" t="s">
        <v>1274</v>
      </c>
      <c r="C386" t="s">
        <v>4081</v>
      </c>
      <c r="D386" t="s">
        <v>27</v>
      </c>
      <c r="E386" t="s">
        <v>1275</v>
      </c>
      <c r="F386" t="s">
        <v>1276</v>
      </c>
      <c r="G386">
        <v>66763</v>
      </c>
      <c r="H386" t="s">
        <v>1277</v>
      </c>
      <c r="I386" t="s">
        <v>608</v>
      </c>
      <c r="J386" t="s">
        <v>823</v>
      </c>
      <c r="K386">
        <v>39925</v>
      </c>
      <c r="L386" t="s">
        <v>593</v>
      </c>
      <c r="M386" t="s">
        <v>594</v>
      </c>
      <c r="N386" t="s">
        <v>595</v>
      </c>
      <c r="O386" t="s">
        <v>25</v>
      </c>
      <c r="P386" t="s">
        <v>82</v>
      </c>
      <c r="Q386" t="s">
        <v>71</v>
      </c>
      <c r="R386" t="s">
        <v>71</v>
      </c>
      <c r="S386">
        <v>0.58499999999999996</v>
      </c>
      <c r="T386" t="s">
        <v>37</v>
      </c>
      <c r="U386">
        <v>95.558000000000007</v>
      </c>
      <c r="V386">
        <v>89.337000000000003</v>
      </c>
      <c r="W386">
        <v>75.936450000000008</v>
      </c>
      <c r="X386">
        <v>95.59</v>
      </c>
      <c r="Y386">
        <v>189.77076923076925</v>
      </c>
    </row>
    <row r="387" spans="1:25" x14ac:dyDescent="0.35">
      <c r="A387" t="s">
        <v>25</v>
      </c>
      <c r="B387" t="s">
        <v>1278</v>
      </c>
      <c r="C387" t="s">
        <v>4081</v>
      </c>
      <c r="D387" t="s">
        <v>27</v>
      </c>
      <c r="E387" t="s">
        <v>1279</v>
      </c>
      <c r="F387" t="s">
        <v>1279</v>
      </c>
      <c r="G387">
        <v>66127</v>
      </c>
      <c r="H387" t="s">
        <v>834</v>
      </c>
      <c r="I387" t="s">
        <v>1280</v>
      </c>
      <c r="J387" t="s">
        <v>823</v>
      </c>
      <c r="K387">
        <v>35649</v>
      </c>
      <c r="L387" t="s">
        <v>171</v>
      </c>
      <c r="M387" t="s">
        <v>172</v>
      </c>
      <c r="N387" t="s">
        <v>173</v>
      </c>
      <c r="O387" t="s">
        <v>25</v>
      </c>
      <c r="P387" t="s">
        <v>82</v>
      </c>
      <c r="Q387" t="s">
        <v>173</v>
      </c>
      <c r="R387" t="s">
        <v>173</v>
      </c>
      <c r="S387">
        <v>0.33</v>
      </c>
      <c r="T387" t="s">
        <v>47</v>
      </c>
      <c r="U387">
        <v>21</v>
      </c>
      <c r="V387">
        <v>16</v>
      </c>
      <c r="W387">
        <v>13.6</v>
      </c>
      <c r="X387">
        <v>0</v>
      </c>
      <c r="Y387">
        <v>1</v>
      </c>
    </row>
    <row r="388" spans="1:25" x14ac:dyDescent="0.35">
      <c r="A388" t="s">
        <v>25</v>
      </c>
      <c r="B388" t="s">
        <v>1281</v>
      </c>
      <c r="C388" t="s">
        <v>4081</v>
      </c>
      <c r="D388" t="s">
        <v>27</v>
      </c>
      <c r="E388" t="s">
        <v>1282</v>
      </c>
      <c r="F388" t="s">
        <v>1283</v>
      </c>
      <c r="G388">
        <v>47053</v>
      </c>
      <c r="H388" t="s">
        <v>1185</v>
      </c>
      <c r="I388" t="s">
        <v>1284</v>
      </c>
      <c r="J388" t="s">
        <v>693</v>
      </c>
      <c r="K388">
        <v>40575</v>
      </c>
      <c r="L388" t="s">
        <v>33</v>
      </c>
      <c r="M388" t="s">
        <v>594</v>
      </c>
      <c r="N388" t="s">
        <v>33</v>
      </c>
      <c r="O388" t="s">
        <v>25</v>
      </c>
      <c r="P388" t="s">
        <v>82</v>
      </c>
      <c r="Q388" t="s">
        <v>33</v>
      </c>
      <c r="R388" t="s">
        <v>46</v>
      </c>
      <c r="S388">
        <v>0.58499999999999996</v>
      </c>
      <c r="T388" t="s">
        <v>37</v>
      </c>
      <c r="U388">
        <v>22.1</v>
      </c>
      <c r="V388">
        <v>20.85</v>
      </c>
      <c r="W388">
        <v>18.139500000000002</v>
      </c>
      <c r="X388">
        <v>40.69</v>
      </c>
      <c r="Y388">
        <v>94.883504273504272</v>
      </c>
    </row>
    <row r="389" spans="1:25" x14ac:dyDescent="0.35">
      <c r="A389" t="s">
        <v>25</v>
      </c>
      <c r="B389" t="s">
        <v>1285</v>
      </c>
      <c r="C389" t="s">
        <v>4081</v>
      </c>
      <c r="D389" t="s">
        <v>27</v>
      </c>
      <c r="E389" t="s">
        <v>1286</v>
      </c>
      <c r="F389" t="s">
        <v>1287</v>
      </c>
      <c r="G389">
        <v>47259</v>
      </c>
      <c r="H389" t="s">
        <v>1185</v>
      </c>
      <c r="I389" t="s">
        <v>1288</v>
      </c>
      <c r="J389" t="s">
        <v>693</v>
      </c>
      <c r="K389">
        <v>27638</v>
      </c>
      <c r="L389" t="s">
        <v>593</v>
      </c>
      <c r="M389" t="s">
        <v>594</v>
      </c>
      <c r="N389" t="s">
        <v>595</v>
      </c>
      <c r="O389" t="s">
        <v>25</v>
      </c>
      <c r="P389" t="s">
        <v>82</v>
      </c>
      <c r="Q389" t="s">
        <v>71</v>
      </c>
      <c r="R389" t="s">
        <v>71</v>
      </c>
      <c r="S389">
        <v>0.45</v>
      </c>
      <c r="T389" t="s">
        <v>37</v>
      </c>
      <c r="U389">
        <v>320</v>
      </c>
      <c r="V389">
        <v>303</v>
      </c>
      <c r="W389">
        <v>257.55</v>
      </c>
      <c r="X389">
        <v>95.59</v>
      </c>
      <c r="Y389">
        <v>246.40199999999999</v>
      </c>
    </row>
    <row r="390" spans="1:25" x14ac:dyDescent="0.35">
      <c r="A390" t="s">
        <v>25</v>
      </c>
      <c r="B390" t="s">
        <v>1289</v>
      </c>
      <c r="C390" t="s">
        <v>4081</v>
      </c>
      <c r="D390" t="s">
        <v>27</v>
      </c>
      <c r="E390" t="s">
        <v>1286</v>
      </c>
      <c r="F390" t="s">
        <v>1290</v>
      </c>
      <c r="G390">
        <v>47259</v>
      </c>
      <c r="H390" t="s">
        <v>1185</v>
      </c>
      <c r="I390" t="s">
        <v>1288</v>
      </c>
      <c r="J390" t="s">
        <v>693</v>
      </c>
      <c r="K390">
        <v>28095</v>
      </c>
      <c r="L390" t="s">
        <v>593</v>
      </c>
      <c r="M390" t="s">
        <v>594</v>
      </c>
      <c r="N390" t="s">
        <v>595</v>
      </c>
      <c r="O390" t="s">
        <v>25</v>
      </c>
      <c r="P390" t="s">
        <v>82</v>
      </c>
      <c r="Q390" t="s">
        <v>71</v>
      </c>
      <c r="R390" t="s">
        <v>71</v>
      </c>
      <c r="S390">
        <v>0.45</v>
      </c>
      <c r="T390" t="s">
        <v>37</v>
      </c>
      <c r="U390">
        <v>320</v>
      </c>
      <c r="V390">
        <v>303</v>
      </c>
      <c r="W390">
        <v>257.55</v>
      </c>
      <c r="X390">
        <v>95.59</v>
      </c>
      <c r="Y390">
        <v>246.40199999999999</v>
      </c>
    </row>
    <row r="391" spans="1:25" x14ac:dyDescent="0.35">
      <c r="A391" t="s">
        <v>25</v>
      </c>
      <c r="B391" t="s">
        <v>1291</v>
      </c>
      <c r="C391" t="s">
        <v>4081</v>
      </c>
      <c r="D391" t="s">
        <v>27</v>
      </c>
      <c r="E391" t="s">
        <v>1292</v>
      </c>
      <c r="F391" t="s">
        <v>1293</v>
      </c>
      <c r="G391">
        <v>44147</v>
      </c>
      <c r="H391" t="s">
        <v>1294</v>
      </c>
      <c r="I391" t="s">
        <v>1295</v>
      </c>
      <c r="J391" t="s">
        <v>693</v>
      </c>
      <c r="K391">
        <v>32843</v>
      </c>
      <c r="L391" t="s">
        <v>69</v>
      </c>
      <c r="M391" t="s">
        <v>70</v>
      </c>
      <c r="N391" t="s">
        <v>69</v>
      </c>
      <c r="O391" t="s">
        <v>25</v>
      </c>
      <c r="P391" t="s">
        <v>50</v>
      </c>
      <c r="Q391" t="s">
        <v>71</v>
      </c>
      <c r="R391" t="s">
        <v>71</v>
      </c>
      <c r="S391">
        <v>0.37</v>
      </c>
      <c r="T391" t="s">
        <v>37</v>
      </c>
      <c r="U391">
        <v>18.239999999999998</v>
      </c>
      <c r="V391">
        <v>16.616</v>
      </c>
      <c r="W391">
        <v>14.1236</v>
      </c>
      <c r="X391">
        <v>95.59</v>
      </c>
      <c r="Y391">
        <v>299.46189189189187</v>
      </c>
    </row>
    <row r="392" spans="1:25" x14ac:dyDescent="0.35">
      <c r="A392" t="s">
        <v>25</v>
      </c>
      <c r="B392" t="s">
        <v>1296</v>
      </c>
      <c r="C392" t="s">
        <v>4081</v>
      </c>
      <c r="D392" t="s">
        <v>27</v>
      </c>
      <c r="E392" t="s">
        <v>1098</v>
      </c>
      <c r="F392" t="s">
        <v>1297</v>
      </c>
      <c r="G392">
        <v>68647</v>
      </c>
      <c r="H392" t="s">
        <v>1298</v>
      </c>
      <c r="I392" t="s">
        <v>1299</v>
      </c>
      <c r="J392" t="s">
        <v>865</v>
      </c>
      <c r="K392">
        <v>44991</v>
      </c>
      <c r="L392" t="s">
        <v>33</v>
      </c>
      <c r="M392" t="s">
        <v>34</v>
      </c>
      <c r="N392" t="s">
        <v>33</v>
      </c>
      <c r="O392" t="s">
        <v>44</v>
      </c>
      <c r="P392" t="s">
        <v>62</v>
      </c>
      <c r="Q392" t="s">
        <v>33</v>
      </c>
      <c r="R392" t="s">
        <v>36</v>
      </c>
      <c r="S392">
        <v>0.39500000000000002</v>
      </c>
      <c r="T392" t="s">
        <v>1300</v>
      </c>
      <c r="U392">
        <v>34.799999999999997</v>
      </c>
      <c r="V392">
        <v>34.4</v>
      </c>
      <c r="W392">
        <v>29.927999999999997</v>
      </c>
      <c r="X392">
        <v>40.69</v>
      </c>
      <c r="Y392">
        <v>139.30215189873417</v>
      </c>
    </row>
    <row r="393" spans="1:25" x14ac:dyDescent="0.35">
      <c r="A393" t="s">
        <v>25</v>
      </c>
      <c r="B393" t="s">
        <v>1301</v>
      </c>
      <c r="C393" t="s">
        <v>4081</v>
      </c>
      <c r="D393" t="s">
        <v>27</v>
      </c>
      <c r="E393" t="s">
        <v>1098</v>
      </c>
      <c r="F393" t="s">
        <v>1302</v>
      </c>
      <c r="G393">
        <v>68647</v>
      </c>
      <c r="H393" t="s">
        <v>1298</v>
      </c>
      <c r="I393" t="s">
        <v>1299</v>
      </c>
      <c r="J393" t="s">
        <v>865</v>
      </c>
      <c r="K393">
        <v>44991</v>
      </c>
      <c r="L393" t="s">
        <v>33</v>
      </c>
      <c r="M393" t="s">
        <v>34</v>
      </c>
      <c r="N393" t="s">
        <v>33</v>
      </c>
      <c r="O393" t="s">
        <v>44</v>
      </c>
      <c r="P393" t="s">
        <v>62</v>
      </c>
      <c r="Q393" t="s">
        <v>33</v>
      </c>
      <c r="R393" t="s">
        <v>36</v>
      </c>
      <c r="S393">
        <v>0.39500000000000002</v>
      </c>
      <c r="T393" t="s">
        <v>1300</v>
      </c>
      <c r="U393">
        <v>34.799999999999997</v>
      </c>
      <c r="V393">
        <v>34.4</v>
      </c>
      <c r="W393">
        <v>29.927999999999997</v>
      </c>
      <c r="X393">
        <v>40.69</v>
      </c>
      <c r="Y393">
        <v>139.30215189873417</v>
      </c>
    </row>
    <row r="394" spans="1:25" x14ac:dyDescent="0.35">
      <c r="A394" t="s">
        <v>25</v>
      </c>
      <c r="B394" t="s">
        <v>1303</v>
      </c>
      <c r="C394" t="s">
        <v>4081</v>
      </c>
      <c r="D394" t="s">
        <v>27</v>
      </c>
      <c r="E394" t="s">
        <v>1098</v>
      </c>
      <c r="F394" t="s">
        <v>1304</v>
      </c>
      <c r="G394">
        <v>68647</v>
      </c>
      <c r="H394" t="s">
        <v>1298</v>
      </c>
      <c r="I394" t="s">
        <v>1299</v>
      </c>
      <c r="J394" t="s">
        <v>865</v>
      </c>
      <c r="K394">
        <v>44991</v>
      </c>
      <c r="L394" t="s">
        <v>33</v>
      </c>
      <c r="M394" t="s">
        <v>34</v>
      </c>
      <c r="N394" t="s">
        <v>33</v>
      </c>
      <c r="O394" t="s">
        <v>44</v>
      </c>
      <c r="P394" t="s">
        <v>62</v>
      </c>
      <c r="Q394" t="s">
        <v>33</v>
      </c>
      <c r="R394" t="s">
        <v>36</v>
      </c>
      <c r="S394">
        <v>0.39500000000000002</v>
      </c>
      <c r="T394" t="s">
        <v>1300</v>
      </c>
      <c r="U394">
        <v>34.799999999999997</v>
      </c>
      <c r="V394">
        <v>34.4</v>
      </c>
      <c r="W394">
        <v>29.927999999999997</v>
      </c>
      <c r="X394">
        <v>40.69</v>
      </c>
      <c r="Y394">
        <v>139.30215189873417</v>
      </c>
    </row>
    <row r="395" spans="1:25" x14ac:dyDescent="0.35">
      <c r="A395" t="s">
        <v>25</v>
      </c>
      <c r="B395" t="s">
        <v>1305</v>
      </c>
      <c r="C395" t="s">
        <v>4081</v>
      </c>
      <c r="D395" t="s">
        <v>27</v>
      </c>
      <c r="E395" t="s">
        <v>1098</v>
      </c>
      <c r="F395" t="s">
        <v>1306</v>
      </c>
      <c r="G395">
        <v>68647</v>
      </c>
      <c r="H395" t="s">
        <v>1298</v>
      </c>
      <c r="I395" t="s">
        <v>1299</v>
      </c>
      <c r="J395" t="s">
        <v>865</v>
      </c>
      <c r="K395">
        <v>44991</v>
      </c>
      <c r="L395" t="s">
        <v>33</v>
      </c>
      <c r="N395" t="s">
        <v>33</v>
      </c>
      <c r="O395" t="s">
        <v>44</v>
      </c>
      <c r="P395" t="s">
        <v>62</v>
      </c>
      <c r="Q395" t="s">
        <v>33</v>
      </c>
      <c r="R395" t="s">
        <v>36</v>
      </c>
      <c r="S395">
        <v>0.39500000000000002</v>
      </c>
      <c r="T395" t="s">
        <v>1300</v>
      </c>
      <c r="U395">
        <v>34.799999999999997</v>
      </c>
      <c r="V395">
        <v>34.4</v>
      </c>
      <c r="W395">
        <v>29.927999999999997</v>
      </c>
      <c r="X395">
        <v>40.69</v>
      </c>
      <c r="Y395">
        <v>139.30215189873417</v>
      </c>
    </row>
    <row r="396" spans="1:25" x14ac:dyDescent="0.35">
      <c r="A396" t="s">
        <v>25</v>
      </c>
      <c r="B396" t="s">
        <v>1307</v>
      </c>
      <c r="C396" t="s">
        <v>4081</v>
      </c>
      <c r="D396" t="s">
        <v>27</v>
      </c>
      <c r="E396" t="s">
        <v>1098</v>
      </c>
      <c r="F396" t="s">
        <v>1308</v>
      </c>
      <c r="G396">
        <v>68647</v>
      </c>
      <c r="H396" t="s">
        <v>1298</v>
      </c>
      <c r="I396" t="s">
        <v>1299</v>
      </c>
      <c r="J396" t="s">
        <v>865</v>
      </c>
      <c r="K396">
        <v>44991</v>
      </c>
      <c r="L396" t="s">
        <v>33</v>
      </c>
      <c r="M396" t="s">
        <v>34</v>
      </c>
      <c r="N396" t="s">
        <v>33</v>
      </c>
      <c r="O396" t="s">
        <v>44</v>
      </c>
      <c r="P396" t="s">
        <v>62</v>
      </c>
      <c r="Q396" t="s">
        <v>33</v>
      </c>
      <c r="R396" t="s">
        <v>36</v>
      </c>
      <c r="S396">
        <v>0.39500000000000002</v>
      </c>
      <c r="T396" t="s">
        <v>1300</v>
      </c>
      <c r="U396">
        <v>34.799999999999997</v>
      </c>
      <c r="V396">
        <v>34.4</v>
      </c>
      <c r="W396">
        <v>29.927999999999997</v>
      </c>
      <c r="X396">
        <v>40.69</v>
      </c>
      <c r="Y396">
        <v>139.30215189873417</v>
      </c>
    </row>
    <row r="397" spans="1:25" x14ac:dyDescent="0.35">
      <c r="A397" t="s">
        <v>25</v>
      </c>
      <c r="B397" t="s">
        <v>1309</v>
      </c>
      <c r="C397" t="s">
        <v>4081</v>
      </c>
      <c r="D397" t="s">
        <v>27</v>
      </c>
      <c r="E397" t="s">
        <v>1098</v>
      </c>
      <c r="F397" t="s">
        <v>1310</v>
      </c>
      <c r="G397">
        <v>68647</v>
      </c>
      <c r="H397" t="s">
        <v>1298</v>
      </c>
      <c r="I397" t="s">
        <v>1299</v>
      </c>
      <c r="J397" t="s">
        <v>865</v>
      </c>
      <c r="K397">
        <v>44991</v>
      </c>
      <c r="L397" t="s">
        <v>33</v>
      </c>
      <c r="M397" t="s">
        <v>34</v>
      </c>
      <c r="N397" t="s">
        <v>33</v>
      </c>
      <c r="O397" t="s">
        <v>44</v>
      </c>
      <c r="P397" t="s">
        <v>62</v>
      </c>
      <c r="Q397" t="s">
        <v>33</v>
      </c>
      <c r="R397" t="s">
        <v>36</v>
      </c>
      <c r="S397">
        <v>0.39500000000000002</v>
      </c>
      <c r="T397" t="s">
        <v>1300</v>
      </c>
      <c r="U397">
        <v>34.799999999999997</v>
      </c>
      <c r="V397">
        <v>34.4</v>
      </c>
      <c r="W397">
        <v>29.927999999999997</v>
      </c>
      <c r="X397">
        <v>40.69</v>
      </c>
      <c r="Y397">
        <v>139.30215189873417</v>
      </c>
    </row>
    <row r="398" spans="1:25" x14ac:dyDescent="0.35">
      <c r="A398" t="s">
        <v>25</v>
      </c>
      <c r="B398" t="s">
        <v>1311</v>
      </c>
      <c r="C398" t="s">
        <v>4081</v>
      </c>
      <c r="D398" t="s">
        <v>27</v>
      </c>
      <c r="E398" t="s">
        <v>1098</v>
      </c>
      <c r="F398" t="s">
        <v>1312</v>
      </c>
      <c r="G398">
        <v>68647</v>
      </c>
      <c r="H398" t="s">
        <v>1298</v>
      </c>
      <c r="I398" t="s">
        <v>1299</v>
      </c>
      <c r="J398" t="s">
        <v>865</v>
      </c>
      <c r="K398">
        <v>44991</v>
      </c>
      <c r="L398" t="s">
        <v>33</v>
      </c>
      <c r="M398" t="s">
        <v>34</v>
      </c>
      <c r="N398" t="s">
        <v>33</v>
      </c>
      <c r="O398" t="s">
        <v>44</v>
      </c>
      <c r="P398" t="s">
        <v>62</v>
      </c>
      <c r="Q398" t="s">
        <v>33</v>
      </c>
      <c r="R398" t="s">
        <v>36</v>
      </c>
      <c r="S398">
        <v>0.39500000000000002</v>
      </c>
      <c r="T398" t="s">
        <v>1300</v>
      </c>
      <c r="U398">
        <v>34.799999999999997</v>
      </c>
      <c r="V398">
        <v>34.4</v>
      </c>
      <c r="W398">
        <v>29.927999999999997</v>
      </c>
      <c r="X398">
        <v>40.69</v>
      </c>
      <c r="Y398">
        <v>139.30215189873417</v>
      </c>
    </row>
    <row r="399" spans="1:25" x14ac:dyDescent="0.35">
      <c r="A399" t="s">
        <v>25</v>
      </c>
      <c r="B399" t="s">
        <v>1313</v>
      </c>
      <c r="C399" t="s">
        <v>4081</v>
      </c>
      <c r="D399" t="s">
        <v>27</v>
      </c>
      <c r="E399" t="s">
        <v>1098</v>
      </c>
      <c r="F399" t="s">
        <v>1314</v>
      </c>
      <c r="G399">
        <v>68647</v>
      </c>
      <c r="H399" t="s">
        <v>1298</v>
      </c>
      <c r="I399" t="s">
        <v>1299</v>
      </c>
      <c r="J399" t="s">
        <v>865</v>
      </c>
      <c r="K399">
        <v>44991</v>
      </c>
      <c r="L399" t="s">
        <v>33</v>
      </c>
      <c r="M399" t="s">
        <v>34</v>
      </c>
      <c r="N399" t="s">
        <v>33</v>
      </c>
      <c r="O399" t="s">
        <v>44</v>
      </c>
      <c r="P399" t="s">
        <v>62</v>
      </c>
      <c r="Q399" t="s">
        <v>33</v>
      </c>
      <c r="R399" t="s">
        <v>36</v>
      </c>
      <c r="S399">
        <v>0.39500000000000002</v>
      </c>
      <c r="T399" t="s">
        <v>1300</v>
      </c>
      <c r="U399">
        <v>34.799999999999997</v>
      </c>
      <c r="V399">
        <v>34.4</v>
      </c>
      <c r="W399">
        <v>29.927999999999997</v>
      </c>
      <c r="X399">
        <v>40.69</v>
      </c>
      <c r="Y399">
        <v>139.30215189873417</v>
      </c>
    </row>
    <row r="400" spans="1:25" x14ac:dyDescent="0.35">
      <c r="A400" t="s">
        <v>25</v>
      </c>
      <c r="B400" t="s">
        <v>1315</v>
      </c>
      <c r="C400" t="s">
        <v>4081</v>
      </c>
      <c r="D400" t="s">
        <v>27</v>
      </c>
      <c r="E400" t="s">
        <v>1098</v>
      </c>
      <c r="F400" t="s">
        <v>1316</v>
      </c>
      <c r="G400">
        <v>68647</v>
      </c>
      <c r="H400" t="s">
        <v>1298</v>
      </c>
      <c r="I400" t="s">
        <v>1299</v>
      </c>
      <c r="J400" t="s">
        <v>865</v>
      </c>
      <c r="K400">
        <v>44991</v>
      </c>
      <c r="L400" t="s">
        <v>33</v>
      </c>
      <c r="M400" t="s">
        <v>34</v>
      </c>
      <c r="N400" t="s">
        <v>33</v>
      </c>
      <c r="O400" t="s">
        <v>44</v>
      </c>
      <c r="P400" t="s">
        <v>62</v>
      </c>
      <c r="Q400" t="s">
        <v>33</v>
      </c>
      <c r="R400" t="s">
        <v>36</v>
      </c>
      <c r="S400">
        <v>0.39500000000000002</v>
      </c>
      <c r="T400" t="s">
        <v>1300</v>
      </c>
      <c r="U400">
        <v>34.799999999999997</v>
      </c>
      <c r="V400">
        <v>34.4</v>
      </c>
      <c r="W400">
        <v>29.927999999999997</v>
      </c>
      <c r="X400">
        <v>40.69</v>
      </c>
      <c r="Y400">
        <v>139.30215189873417</v>
      </c>
    </row>
    <row r="401" spans="1:25" x14ac:dyDescent="0.35">
      <c r="A401" t="s">
        <v>25</v>
      </c>
      <c r="B401" t="s">
        <v>1317</v>
      </c>
      <c r="C401" t="s">
        <v>4081</v>
      </c>
      <c r="D401" t="s">
        <v>27</v>
      </c>
      <c r="E401" t="s">
        <v>1098</v>
      </c>
      <c r="F401" t="s">
        <v>1318</v>
      </c>
      <c r="G401">
        <v>68647</v>
      </c>
      <c r="H401" t="s">
        <v>1298</v>
      </c>
      <c r="I401" t="s">
        <v>1299</v>
      </c>
      <c r="J401" t="s">
        <v>865</v>
      </c>
      <c r="K401">
        <v>44991</v>
      </c>
      <c r="L401" t="s">
        <v>33</v>
      </c>
      <c r="M401" t="s">
        <v>34</v>
      </c>
      <c r="N401" t="s">
        <v>33</v>
      </c>
      <c r="O401" t="s">
        <v>44</v>
      </c>
      <c r="P401" t="s">
        <v>62</v>
      </c>
      <c r="Q401" t="s">
        <v>33</v>
      </c>
      <c r="R401" t="s">
        <v>36</v>
      </c>
      <c r="S401">
        <v>0.39500000000000002</v>
      </c>
      <c r="T401" t="s">
        <v>1300</v>
      </c>
      <c r="U401">
        <v>34.799999999999997</v>
      </c>
      <c r="V401">
        <v>34.4</v>
      </c>
      <c r="W401">
        <v>29.927999999999997</v>
      </c>
      <c r="X401">
        <v>40.69</v>
      </c>
      <c r="Y401">
        <v>139.30215189873417</v>
      </c>
    </row>
    <row r="402" spans="1:25" x14ac:dyDescent="0.35">
      <c r="A402" t="s">
        <v>25</v>
      </c>
      <c r="B402" t="s">
        <v>1319</v>
      </c>
      <c r="C402" t="s">
        <v>4081</v>
      </c>
      <c r="D402" t="s">
        <v>27</v>
      </c>
      <c r="E402" t="s">
        <v>1098</v>
      </c>
      <c r="F402" t="s">
        <v>1320</v>
      </c>
      <c r="G402">
        <v>68647</v>
      </c>
      <c r="H402" t="s">
        <v>1298</v>
      </c>
      <c r="I402" t="s">
        <v>1299</v>
      </c>
      <c r="J402" t="s">
        <v>865</v>
      </c>
      <c r="K402">
        <v>44991</v>
      </c>
      <c r="L402" t="s">
        <v>33</v>
      </c>
      <c r="M402" t="s">
        <v>34</v>
      </c>
      <c r="N402" t="s">
        <v>33</v>
      </c>
      <c r="O402" t="s">
        <v>44</v>
      </c>
      <c r="P402" t="s">
        <v>62</v>
      </c>
      <c r="Q402" t="s">
        <v>33</v>
      </c>
      <c r="R402" t="s">
        <v>36</v>
      </c>
      <c r="S402">
        <v>0.39500000000000002</v>
      </c>
      <c r="T402" t="s">
        <v>1300</v>
      </c>
      <c r="U402">
        <v>34.799999999999997</v>
      </c>
      <c r="V402">
        <v>34.4</v>
      </c>
      <c r="W402">
        <v>29.927999999999997</v>
      </c>
      <c r="X402">
        <v>40.69</v>
      </c>
      <c r="Y402">
        <v>139.30215189873417</v>
      </c>
    </row>
    <row r="403" spans="1:25" x14ac:dyDescent="0.35">
      <c r="A403" t="s">
        <v>44</v>
      </c>
      <c r="B403" t="s">
        <v>1321</v>
      </c>
      <c r="C403" t="s">
        <v>4081</v>
      </c>
      <c r="D403" t="s">
        <v>329</v>
      </c>
      <c r="E403" t="s">
        <v>1098</v>
      </c>
      <c r="F403" t="s">
        <v>1322</v>
      </c>
      <c r="G403">
        <v>59368</v>
      </c>
      <c r="H403" t="s">
        <v>1104</v>
      </c>
      <c r="I403" t="s">
        <v>1105</v>
      </c>
      <c r="J403" t="s">
        <v>693</v>
      </c>
      <c r="K403">
        <v>26665</v>
      </c>
      <c r="L403" t="s">
        <v>33</v>
      </c>
      <c r="M403" t="s">
        <v>34</v>
      </c>
      <c r="N403" t="s">
        <v>33</v>
      </c>
      <c r="O403" t="s">
        <v>44</v>
      </c>
      <c r="P403" t="s">
        <v>35</v>
      </c>
      <c r="Q403" t="s">
        <v>33</v>
      </c>
      <c r="R403" t="s">
        <v>36</v>
      </c>
      <c r="S403">
        <v>0.42</v>
      </c>
      <c r="T403" t="s">
        <v>1323</v>
      </c>
      <c r="U403">
        <v>72</v>
      </c>
      <c r="V403">
        <v>55</v>
      </c>
      <c r="W403">
        <v>47.85</v>
      </c>
      <c r="X403">
        <v>40.69</v>
      </c>
      <c r="Y403">
        <v>131.06988095238094</v>
      </c>
    </row>
    <row r="404" spans="1:25" x14ac:dyDescent="0.35">
      <c r="A404" t="s">
        <v>44</v>
      </c>
      <c r="B404" t="s">
        <v>1324</v>
      </c>
      <c r="C404" t="s">
        <v>4081</v>
      </c>
      <c r="D404" t="s">
        <v>329</v>
      </c>
      <c r="E404" t="s">
        <v>1098</v>
      </c>
      <c r="F404" t="s">
        <v>1325</v>
      </c>
      <c r="G404">
        <v>59368</v>
      </c>
      <c r="H404" t="s">
        <v>1104</v>
      </c>
      <c r="I404" t="s">
        <v>1105</v>
      </c>
      <c r="J404" t="s">
        <v>693</v>
      </c>
      <c r="K404">
        <v>26665</v>
      </c>
      <c r="L404" t="s">
        <v>33</v>
      </c>
      <c r="M404" t="s">
        <v>34</v>
      </c>
      <c r="N404" t="s">
        <v>33</v>
      </c>
      <c r="O404" t="s">
        <v>44</v>
      </c>
      <c r="P404" t="s">
        <v>35</v>
      </c>
      <c r="Q404" t="s">
        <v>33</v>
      </c>
      <c r="R404" t="s">
        <v>36</v>
      </c>
      <c r="S404">
        <v>0.42</v>
      </c>
      <c r="T404" t="s">
        <v>1323</v>
      </c>
      <c r="U404">
        <v>72</v>
      </c>
      <c r="V404">
        <v>55</v>
      </c>
      <c r="W404">
        <v>47.85</v>
      </c>
      <c r="X404">
        <v>40.69</v>
      </c>
      <c r="Y404">
        <v>131.06988095238094</v>
      </c>
    </row>
    <row r="405" spans="1:25" x14ac:dyDescent="0.35">
      <c r="A405" t="s">
        <v>44</v>
      </c>
      <c r="B405" t="s">
        <v>1326</v>
      </c>
      <c r="C405" t="s">
        <v>4081</v>
      </c>
      <c r="D405" t="s">
        <v>329</v>
      </c>
      <c r="E405" t="s">
        <v>1098</v>
      </c>
      <c r="F405" t="s">
        <v>1327</v>
      </c>
      <c r="G405">
        <v>59368</v>
      </c>
      <c r="H405" t="s">
        <v>1104</v>
      </c>
      <c r="I405" t="s">
        <v>1105</v>
      </c>
      <c r="J405" t="s">
        <v>693</v>
      </c>
      <c r="K405">
        <v>26299</v>
      </c>
      <c r="L405" t="s">
        <v>33</v>
      </c>
      <c r="M405" t="s">
        <v>34</v>
      </c>
      <c r="N405" t="s">
        <v>33</v>
      </c>
      <c r="O405" t="s">
        <v>44</v>
      </c>
      <c r="P405" t="s">
        <v>82</v>
      </c>
      <c r="Q405" t="s">
        <v>33</v>
      </c>
      <c r="R405" t="s">
        <v>46</v>
      </c>
      <c r="S405">
        <v>0.42</v>
      </c>
      <c r="T405" t="s">
        <v>1323</v>
      </c>
      <c r="U405">
        <v>355</v>
      </c>
      <c r="V405">
        <v>355</v>
      </c>
      <c r="W405">
        <v>308.85000000000002</v>
      </c>
      <c r="X405">
        <v>40.69</v>
      </c>
      <c r="Y405">
        <v>131.56988095238094</v>
      </c>
    </row>
    <row r="406" spans="1:25" x14ac:dyDescent="0.35">
      <c r="A406" t="s">
        <v>44</v>
      </c>
      <c r="B406" t="s">
        <v>1328</v>
      </c>
      <c r="C406" t="s">
        <v>4081</v>
      </c>
      <c r="D406" t="s">
        <v>329</v>
      </c>
      <c r="E406" t="s">
        <v>1098</v>
      </c>
      <c r="F406" t="s">
        <v>1329</v>
      </c>
      <c r="G406">
        <v>59368</v>
      </c>
      <c r="H406" t="s">
        <v>1104</v>
      </c>
      <c r="I406" t="s">
        <v>1105</v>
      </c>
      <c r="J406" t="s">
        <v>693</v>
      </c>
      <c r="K406">
        <v>26665</v>
      </c>
      <c r="L406" t="s">
        <v>33</v>
      </c>
      <c r="M406" t="s">
        <v>34</v>
      </c>
      <c r="N406" t="s">
        <v>33</v>
      </c>
      <c r="O406" t="s">
        <v>44</v>
      </c>
      <c r="P406" t="s">
        <v>82</v>
      </c>
      <c r="Q406" t="s">
        <v>33</v>
      </c>
      <c r="R406" t="s">
        <v>46</v>
      </c>
      <c r="S406">
        <v>0.42</v>
      </c>
      <c r="T406" t="s">
        <v>1323</v>
      </c>
      <c r="U406">
        <v>355</v>
      </c>
      <c r="V406">
        <v>355</v>
      </c>
      <c r="W406">
        <v>308.85000000000002</v>
      </c>
      <c r="X406">
        <v>40.69</v>
      </c>
      <c r="Y406">
        <v>131.56988095238094</v>
      </c>
    </row>
    <row r="407" spans="1:25" x14ac:dyDescent="0.35">
      <c r="A407" t="s">
        <v>25</v>
      </c>
      <c r="B407" t="s">
        <v>1330</v>
      </c>
      <c r="C407" t="s">
        <v>4081</v>
      </c>
      <c r="D407" t="s">
        <v>27</v>
      </c>
      <c r="E407" t="s">
        <v>1138</v>
      </c>
      <c r="F407" t="s">
        <v>1331</v>
      </c>
      <c r="G407">
        <v>50129</v>
      </c>
      <c r="H407" t="s">
        <v>1332</v>
      </c>
      <c r="I407" t="s">
        <v>1333</v>
      </c>
      <c r="J407" t="s">
        <v>693</v>
      </c>
      <c r="K407">
        <v>17685</v>
      </c>
      <c r="L407" t="s">
        <v>360</v>
      </c>
      <c r="M407" t="s">
        <v>361</v>
      </c>
      <c r="N407" t="s">
        <v>360</v>
      </c>
      <c r="O407" t="s">
        <v>25</v>
      </c>
      <c r="P407" t="s">
        <v>82</v>
      </c>
      <c r="Q407" t="s">
        <v>360</v>
      </c>
      <c r="R407" t="s">
        <v>360</v>
      </c>
      <c r="S407">
        <v>0.25359999999999999</v>
      </c>
      <c r="T407" t="s">
        <v>47</v>
      </c>
      <c r="U407">
        <v>30</v>
      </c>
      <c r="V407">
        <v>15</v>
      </c>
      <c r="W407">
        <v>13.05</v>
      </c>
      <c r="X407">
        <v>3.1</v>
      </c>
      <c r="Y407">
        <v>124.40268138801262</v>
      </c>
    </row>
    <row r="408" spans="1:25" x14ac:dyDescent="0.35">
      <c r="A408" t="s">
        <v>25</v>
      </c>
      <c r="B408" t="s">
        <v>1334</v>
      </c>
      <c r="C408" t="s">
        <v>4081</v>
      </c>
      <c r="D408" t="s">
        <v>27</v>
      </c>
      <c r="E408" t="s">
        <v>1138</v>
      </c>
      <c r="F408" t="s">
        <v>1335</v>
      </c>
      <c r="G408">
        <v>50226</v>
      </c>
      <c r="H408" t="s">
        <v>1336</v>
      </c>
      <c r="I408" t="s">
        <v>1337</v>
      </c>
      <c r="J408" t="s">
        <v>693</v>
      </c>
      <c r="K408">
        <v>23003</v>
      </c>
      <c r="L408" t="s">
        <v>360</v>
      </c>
      <c r="M408" t="s">
        <v>361</v>
      </c>
      <c r="N408" t="s">
        <v>360</v>
      </c>
      <c r="O408" t="s">
        <v>25</v>
      </c>
      <c r="P408" t="s">
        <v>82</v>
      </c>
      <c r="Q408" t="s">
        <v>360</v>
      </c>
      <c r="R408" t="s">
        <v>360</v>
      </c>
      <c r="S408">
        <v>0.37119999999999997</v>
      </c>
      <c r="T408" t="s">
        <v>47</v>
      </c>
      <c r="U408">
        <v>82</v>
      </c>
      <c r="V408">
        <v>56</v>
      </c>
      <c r="W408">
        <v>48.72</v>
      </c>
      <c r="X408">
        <v>3.1</v>
      </c>
      <c r="Y408">
        <v>85.529202586206893</v>
      </c>
    </row>
    <row r="409" spans="1:25" x14ac:dyDescent="0.35">
      <c r="A409" t="s">
        <v>25</v>
      </c>
      <c r="B409" t="s">
        <v>1338</v>
      </c>
      <c r="C409" t="s">
        <v>4081</v>
      </c>
      <c r="D409" t="s">
        <v>27</v>
      </c>
      <c r="E409" t="s">
        <v>1138</v>
      </c>
      <c r="F409" t="s">
        <v>1339</v>
      </c>
      <c r="G409">
        <v>50354</v>
      </c>
      <c r="H409" t="s">
        <v>811</v>
      </c>
      <c r="I409" t="s">
        <v>1340</v>
      </c>
      <c r="J409" t="s">
        <v>693</v>
      </c>
      <c r="K409">
        <v>33939</v>
      </c>
      <c r="L409" t="s">
        <v>360</v>
      </c>
      <c r="M409" t="s">
        <v>361</v>
      </c>
      <c r="N409" t="s">
        <v>360</v>
      </c>
      <c r="O409" t="s">
        <v>25</v>
      </c>
      <c r="P409" t="s">
        <v>82</v>
      </c>
      <c r="Q409" t="s">
        <v>360</v>
      </c>
      <c r="R409" t="s">
        <v>360</v>
      </c>
      <c r="S409">
        <v>0.38319999999999999</v>
      </c>
      <c r="T409" t="s">
        <v>47</v>
      </c>
      <c r="U409">
        <v>83</v>
      </c>
      <c r="V409">
        <v>63</v>
      </c>
      <c r="W409">
        <v>54.81</v>
      </c>
      <c r="X409">
        <v>3.1</v>
      </c>
      <c r="Y409">
        <v>82.90407098121085</v>
      </c>
    </row>
    <row r="410" spans="1:25" x14ac:dyDescent="0.35">
      <c r="A410" t="s">
        <v>25</v>
      </c>
      <c r="B410" t="s">
        <v>1341</v>
      </c>
      <c r="C410" t="s">
        <v>4081</v>
      </c>
      <c r="D410" t="s">
        <v>27</v>
      </c>
      <c r="E410" t="s">
        <v>1138</v>
      </c>
      <c r="F410" t="s">
        <v>1342</v>
      </c>
      <c r="G410">
        <v>50354</v>
      </c>
      <c r="H410" t="s">
        <v>811</v>
      </c>
      <c r="I410" t="s">
        <v>1343</v>
      </c>
      <c r="J410" t="s">
        <v>693</v>
      </c>
      <c r="K410">
        <v>33662</v>
      </c>
      <c r="L410" t="s">
        <v>360</v>
      </c>
      <c r="M410" t="s">
        <v>361</v>
      </c>
      <c r="N410" t="s">
        <v>360</v>
      </c>
      <c r="O410" t="s">
        <v>25</v>
      </c>
      <c r="P410" t="s">
        <v>50</v>
      </c>
      <c r="Q410" t="s">
        <v>360</v>
      </c>
      <c r="R410" t="s">
        <v>360</v>
      </c>
      <c r="S410">
        <v>0.20080000000000001</v>
      </c>
      <c r="T410" t="s">
        <v>47</v>
      </c>
      <c r="U410">
        <v>107</v>
      </c>
      <c r="V410">
        <v>98</v>
      </c>
      <c r="W410">
        <v>85.26</v>
      </c>
      <c r="X410">
        <v>3.1</v>
      </c>
      <c r="Y410">
        <v>156.66713147410357</v>
      </c>
    </row>
    <row r="411" spans="1:25" x14ac:dyDescent="0.35">
      <c r="A411" t="s">
        <v>25</v>
      </c>
      <c r="B411" t="s">
        <v>1344</v>
      </c>
      <c r="C411" t="s">
        <v>4081</v>
      </c>
      <c r="D411" t="s">
        <v>27</v>
      </c>
      <c r="E411" t="s">
        <v>1138</v>
      </c>
      <c r="F411" t="s">
        <v>1345</v>
      </c>
      <c r="G411">
        <v>50129</v>
      </c>
      <c r="H411" t="s">
        <v>1332</v>
      </c>
      <c r="I411" t="s">
        <v>1346</v>
      </c>
      <c r="J411" t="s">
        <v>693</v>
      </c>
      <c r="K411">
        <v>27325</v>
      </c>
      <c r="L411" t="s">
        <v>360</v>
      </c>
      <c r="M411" t="s">
        <v>361</v>
      </c>
      <c r="N411" t="s">
        <v>360</v>
      </c>
      <c r="O411" t="s">
        <v>25</v>
      </c>
      <c r="P411" t="s">
        <v>82</v>
      </c>
      <c r="Q411" t="s">
        <v>360</v>
      </c>
      <c r="R411" t="s">
        <v>360</v>
      </c>
      <c r="S411">
        <v>0.41920000000000002</v>
      </c>
      <c r="T411" t="s">
        <v>47</v>
      </c>
      <c r="U411">
        <v>668</v>
      </c>
      <c r="V411">
        <v>628</v>
      </c>
      <c r="W411">
        <v>546.36</v>
      </c>
      <c r="X411">
        <v>3.1</v>
      </c>
      <c r="Y411">
        <v>75.930438931297715</v>
      </c>
    </row>
    <row r="412" spans="1:25" x14ac:dyDescent="0.35">
      <c r="A412" t="s">
        <v>25</v>
      </c>
      <c r="B412" t="s">
        <v>1347</v>
      </c>
      <c r="C412" t="s">
        <v>4081</v>
      </c>
      <c r="D412" t="s">
        <v>27</v>
      </c>
      <c r="E412" t="s">
        <v>1138</v>
      </c>
      <c r="F412" t="s">
        <v>1348</v>
      </c>
      <c r="G412">
        <v>50129</v>
      </c>
      <c r="H412" t="s">
        <v>1332</v>
      </c>
      <c r="I412" t="s">
        <v>1346</v>
      </c>
      <c r="J412" t="s">
        <v>693</v>
      </c>
      <c r="K412">
        <v>27288</v>
      </c>
      <c r="L412" t="s">
        <v>360</v>
      </c>
      <c r="M412" t="s">
        <v>361</v>
      </c>
      <c r="N412" t="s">
        <v>360</v>
      </c>
      <c r="O412" t="s">
        <v>25</v>
      </c>
      <c r="P412" t="s">
        <v>82</v>
      </c>
      <c r="Q412" t="s">
        <v>360</v>
      </c>
      <c r="R412" t="s">
        <v>360</v>
      </c>
      <c r="S412">
        <v>0.42159999999999997</v>
      </c>
      <c r="T412" t="s">
        <v>47</v>
      </c>
      <c r="U412">
        <v>690</v>
      </c>
      <c r="V412">
        <v>648</v>
      </c>
      <c r="W412">
        <v>563.76</v>
      </c>
      <c r="X412">
        <v>3.1</v>
      </c>
      <c r="Y412">
        <v>75.507874762808356</v>
      </c>
    </row>
    <row r="413" spans="1:25" x14ac:dyDescent="0.35">
      <c r="A413" t="s">
        <v>25</v>
      </c>
      <c r="B413" t="s">
        <v>1349</v>
      </c>
      <c r="C413" t="s">
        <v>4081</v>
      </c>
      <c r="D413" t="s">
        <v>27</v>
      </c>
      <c r="E413" t="s">
        <v>1138</v>
      </c>
      <c r="F413" t="s">
        <v>1350</v>
      </c>
      <c r="G413">
        <v>52249</v>
      </c>
      <c r="H413" t="s">
        <v>1047</v>
      </c>
      <c r="I413" t="s">
        <v>1140</v>
      </c>
      <c r="J413" t="s">
        <v>693</v>
      </c>
      <c r="K413">
        <v>27412</v>
      </c>
      <c r="L413" t="s">
        <v>360</v>
      </c>
      <c r="M413" t="s">
        <v>361</v>
      </c>
      <c r="N413" t="s">
        <v>360</v>
      </c>
      <c r="O413" t="s">
        <v>25</v>
      </c>
      <c r="P413" t="s">
        <v>82</v>
      </c>
      <c r="Q413" t="s">
        <v>360</v>
      </c>
      <c r="R413" t="s">
        <v>360</v>
      </c>
      <c r="S413">
        <v>0.36</v>
      </c>
      <c r="T413" t="s">
        <v>47</v>
      </c>
      <c r="U413">
        <v>696</v>
      </c>
      <c r="V413">
        <v>656</v>
      </c>
      <c r="W413">
        <v>570.72</v>
      </c>
      <c r="X413">
        <v>3.1</v>
      </c>
      <c r="Y413">
        <v>88.137222222222221</v>
      </c>
    </row>
    <row r="414" spans="1:25" x14ac:dyDescent="0.35">
      <c r="A414" t="s">
        <v>25</v>
      </c>
      <c r="B414" t="s">
        <v>1351</v>
      </c>
      <c r="C414" t="s">
        <v>4081</v>
      </c>
      <c r="D414" t="s">
        <v>27</v>
      </c>
      <c r="E414" t="s">
        <v>1138</v>
      </c>
      <c r="F414" t="s">
        <v>1352</v>
      </c>
      <c r="G414">
        <v>52249</v>
      </c>
      <c r="H414" t="s">
        <v>1047</v>
      </c>
      <c r="I414" t="s">
        <v>1140</v>
      </c>
      <c r="J414" t="s">
        <v>693</v>
      </c>
      <c r="K414">
        <v>27074</v>
      </c>
      <c r="L414" t="s">
        <v>360</v>
      </c>
      <c r="M414" t="s">
        <v>361</v>
      </c>
      <c r="N414" t="s">
        <v>360</v>
      </c>
      <c r="O414" t="s">
        <v>25</v>
      </c>
      <c r="P414" t="s">
        <v>82</v>
      </c>
      <c r="Q414" t="s">
        <v>360</v>
      </c>
      <c r="R414" t="s">
        <v>360</v>
      </c>
      <c r="S414">
        <v>0.36</v>
      </c>
      <c r="T414" t="s">
        <v>47</v>
      </c>
      <c r="U414">
        <v>703</v>
      </c>
      <c r="V414">
        <v>663</v>
      </c>
      <c r="W414">
        <v>576.80999999999995</v>
      </c>
      <c r="X414">
        <v>3.1</v>
      </c>
      <c r="Y414">
        <v>88.137222222222221</v>
      </c>
    </row>
    <row r="415" spans="1:25" x14ac:dyDescent="0.35">
      <c r="A415" t="s">
        <v>25</v>
      </c>
      <c r="B415" t="s">
        <v>1353</v>
      </c>
      <c r="C415" t="s">
        <v>4081</v>
      </c>
      <c r="D415" t="s">
        <v>27</v>
      </c>
      <c r="E415" t="s">
        <v>1138</v>
      </c>
      <c r="F415" t="s">
        <v>1354</v>
      </c>
      <c r="G415">
        <v>50129</v>
      </c>
      <c r="H415" t="s">
        <v>1332</v>
      </c>
      <c r="I415" t="s">
        <v>1346</v>
      </c>
      <c r="J415" t="s">
        <v>693</v>
      </c>
      <c r="K415">
        <v>37649</v>
      </c>
      <c r="L415" t="s">
        <v>360</v>
      </c>
      <c r="M415" t="s">
        <v>361</v>
      </c>
      <c r="N415" t="s">
        <v>360</v>
      </c>
      <c r="O415" t="s">
        <v>25</v>
      </c>
      <c r="P415" t="s">
        <v>82</v>
      </c>
      <c r="Q415" t="s">
        <v>360</v>
      </c>
      <c r="R415" t="s">
        <v>360</v>
      </c>
      <c r="S415">
        <v>0.43</v>
      </c>
      <c r="T415" t="s">
        <v>47</v>
      </c>
      <c r="U415">
        <v>998</v>
      </c>
      <c r="V415">
        <v>944</v>
      </c>
      <c r="W415">
        <v>821.28</v>
      </c>
      <c r="X415">
        <v>3.1</v>
      </c>
      <c r="Y415">
        <v>74.066046511627903</v>
      </c>
    </row>
    <row r="416" spans="1:25" x14ac:dyDescent="0.35">
      <c r="A416" t="s">
        <v>25</v>
      </c>
      <c r="B416" t="s">
        <v>1355</v>
      </c>
      <c r="C416" t="s">
        <v>4081</v>
      </c>
      <c r="D416" t="s">
        <v>27</v>
      </c>
      <c r="E416" t="s">
        <v>1138</v>
      </c>
      <c r="F416" t="s">
        <v>1356</v>
      </c>
      <c r="G416">
        <v>41517</v>
      </c>
      <c r="H416" t="s">
        <v>1357</v>
      </c>
      <c r="I416" t="s">
        <v>1358</v>
      </c>
      <c r="J416" t="s">
        <v>693</v>
      </c>
      <c r="K416">
        <v>41124</v>
      </c>
      <c r="L416" t="s">
        <v>360</v>
      </c>
      <c r="M416" t="s">
        <v>361</v>
      </c>
      <c r="N416" t="s">
        <v>360</v>
      </c>
      <c r="O416" t="s">
        <v>25</v>
      </c>
      <c r="P416" t="s">
        <v>82</v>
      </c>
      <c r="Q416" t="s">
        <v>360</v>
      </c>
      <c r="R416" t="s">
        <v>360</v>
      </c>
      <c r="S416">
        <v>0.43</v>
      </c>
      <c r="T416" t="s">
        <v>47</v>
      </c>
      <c r="U416">
        <v>1110</v>
      </c>
      <c r="V416">
        <v>1060</v>
      </c>
      <c r="W416">
        <v>922.2</v>
      </c>
      <c r="X416">
        <v>3.1</v>
      </c>
      <c r="Y416">
        <v>74.066046511627903</v>
      </c>
    </row>
    <row r="417" spans="1:25" x14ac:dyDescent="0.35">
      <c r="A417" t="s">
        <v>25</v>
      </c>
      <c r="B417" t="s">
        <v>1359</v>
      </c>
      <c r="C417" t="s">
        <v>4081</v>
      </c>
      <c r="D417" t="s">
        <v>27</v>
      </c>
      <c r="E417" t="s">
        <v>1138</v>
      </c>
      <c r="F417" t="s">
        <v>1360</v>
      </c>
      <c r="G417">
        <v>41517</v>
      </c>
      <c r="H417" t="s">
        <v>1357</v>
      </c>
      <c r="I417" t="s">
        <v>1358</v>
      </c>
      <c r="J417" t="s">
        <v>693</v>
      </c>
      <c r="K417">
        <v>41098</v>
      </c>
      <c r="L417" t="s">
        <v>360</v>
      </c>
      <c r="M417" t="s">
        <v>361</v>
      </c>
      <c r="N417" t="s">
        <v>360</v>
      </c>
      <c r="O417" t="s">
        <v>25</v>
      </c>
      <c r="P417" t="s">
        <v>82</v>
      </c>
      <c r="Q417" t="s">
        <v>360</v>
      </c>
      <c r="R417" t="s">
        <v>360</v>
      </c>
      <c r="S417">
        <v>0.43</v>
      </c>
      <c r="T417" t="s">
        <v>47</v>
      </c>
      <c r="U417">
        <v>1110</v>
      </c>
      <c r="V417">
        <v>1060</v>
      </c>
      <c r="W417">
        <v>922.2</v>
      </c>
      <c r="X417">
        <v>3.1</v>
      </c>
      <c r="Y417">
        <v>74.066046511627903</v>
      </c>
    </row>
    <row r="418" spans="1:25" x14ac:dyDescent="0.35">
      <c r="A418" t="s">
        <v>25</v>
      </c>
      <c r="B418" t="s">
        <v>1361</v>
      </c>
      <c r="C418" t="s">
        <v>4081</v>
      </c>
      <c r="D418" t="s">
        <v>27</v>
      </c>
      <c r="E418" t="s">
        <v>1149</v>
      </c>
      <c r="F418" t="s">
        <v>1362</v>
      </c>
      <c r="G418">
        <v>50389</v>
      </c>
      <c r="H418" t="s">
        <v>728</v>
      </c>
      <c r="I418" t="s">
        <v>1363</v>
      </c>
      <c r="J418" t="s">
        <v>693</v>
      </c>
      <c r="K418">
        <v>28856</v>
      </c>
      <c r="L418" t="s">
        <v>60</v>
      </c>
      <c r="M418" t="s">
        <v>1364</v>
      </c>
      <c r="N418" t="s">
        <v>60</v>
      </c>
      <c r="O418" t="s">
        <v>25</v>
      </c>
      <c r="P418" t="s">
        <v>82</v>
      </c>
      <c r="Q418" t="s">
        <v>63</v>
      </c>
      <c r="R418" t="s">
        <v>63</v>
      </c>
      <c r="S418">
        <v>0.36299999999999999</v>
      </c>
      <c r="T418" t="s">
        <v>37</v>
      </c>
      <c r="U418">
        <v>34.299999999999997</v>
      </c>
      <c r="V418">
        <v>30</v>
      </c>
      <c r="W418">
        <v>25.5</v>
      </c>
      <c r="X418">
        <v>95.89</v>
      </c>
      <c r="Y418">
        <v>318.65289256198349</v>
      </c>
    </row>
    <row r="419" spans="1:25" x14ac:dyDescent="0.35">
      <c r="A419" t="s">
        <v>25</v>
      </c>
      <c r="B419" t="s">
        <v>1365</v>
      </c>
      <c r="C419" t="s">
        <v>4081</v>
      </c>
      <c r="D419" t="s">
        <v>27</v>
      </c>
      <c r="E419" t="s">
        <v>1149</v>
      </c>
      <c r="F419" t="s">
        <v>1366</v>
      </c>
      <c r="G419">
        <v>50389</v>
      </c>
      <c r="H419" t="s">
        <v>728</v>
      </c>
      <c r="I419" t="s">
        <v>1363</v>
      </c>
      <c r="J419" t="s">
        <v>693</v>
      </c>
      <c r="K419">
        <v>33970</v>
      </c>
      <c r="L419" t="s">
        <v>60</v>
      </c>
      <c r="M419" t="s">
        <v>1364</v>
      </c>
      <c r="N419" t="s">
        <v>60</v>
      </c>
      <c r="O419" t="s">
        <v>25</v>
      </c>
      <c r="P419" t="s">
        <v>82</v>
      </c>
      <c r="Q419" t="s">
        <v>63</v>
      </c>
      <c r="R419" t="s">
        <v>63</v>
      </c>
      <c r="S419">
        <v>0.374</v>
      </c>
      <c r="T419" t="s">
        <v>37</v>
      </c>
      <c r="U419">
        <v>35</v>
      </c>
      <c r="V419">
        <v>31</v>
      </c>
      <c r="W419">
        <v>26.349999999999998</v>
      </c>
      <c r="X419">
        <v>95.89</v>
      </c>
      <c r="Y419">
        <v>309.31016042780749</v>
      </c>
    </row>
    <row r="420" spans="1:25" x14ac:dyDescent="0.35">
      <c r="A420" t="s">
        <v>25</v>
      </c>
      <c r="B420" t="s">
        <v>1367</v>
      </c>
      <c r="C420" t="s">
        <v>4081</v>
      </c>
      <c r="D420" t="s">
        <v>27</v>
      </c>
      <c r="E420" t="s">
        <v>1192</v>
      </c>
      <c r="F420" t="s">
        <v>1368</v>
      </c>
      <c r="G420">
        <v>40233</v>
      </c>
      <c r="H420" t="s">
        <v>928</v>
      </c>
      <c r="I420" t="s">
        <v>1369</v>
      </c>
      <c r="J420" t="s">
        <v>693</v>
      </c>
      <c r="K420">
        <v>26514</v>
      </c>
      <c r="L420" t="s">
        <v>60</v>
      </c>
      <c r="M420" t="s">
        <v>61</v>
      </c>
      <c r="N420" t="s">
        <v>60</v>
      </c>
      <c r="O420" t="s">
        <v>44</v>
      </c>
      <c r="P420" t="s">
        <v>62</v>
      </c>
      <c r="Q420" t="s">
        <v>63</v>
      </c>
      <c r="R420" t="s">
        <v>63</v>
      </c>
      <c r="S420">
        <v>0.30719999999999997</v>
      </c>
      <c r="T420" t="s">
        <v>47</v>
      </c>
      <c r="U420">
        <v>87.6</v>
      </c>
      <c r="V420">
        <v>86.2</v>
      </c>
      <c r="W420">
        <v>73.27</v>
      </c>
      <c r="X420">
        <v>95.89</v>
      </c>
      <c r="Y420">
        <v>376.35156250000006</v>
      </c>
    </row>
    <row r="421" spans="1:25" x14ac:dyDescent="0.35">
      <c r="A421" t="s">
        <v>25</v>
      </c>
      <c r="B421" t="s">
        <v>1370</v>
      </c>
      <c r="C421" t="s">
        <v>4081</v>
      </c>
      <c r="D421" t="s">
        <v>27</v>
      </c>
      <c r="E421" t="s">
        <v>1371</v>
      </c>
      <c r="F421" t="s">
        <v>1372</v>
      </c>
      <c r="G421">
        <v>66333</v>
      </c>
      <c r="H421" t="s">
        <v>1373</v>
      </c>
      <c r="I421" t="s">
        <v>1374</v>
      </c>
      <c r="J421" t="s">
        <v>823</v>
      </c>
      <c r="K421">
        <v>30189</v>
      </c>
      <c r="L421" t="s">
        <v>60</v>
      </c>
      <c r="M421" t="s">
        <v>61</v>
      </c>
      <c r="N421" t="s">
        <v>60</v>
      </c>
      <c r="O421" t="s">
        <v>25</v>
      </c>
      <c r="P421" t="s">
        <v>87</v>
      </c>
      <c r="Q421" t="s">
        <v>63</v>
      </c>
      <c r="R421" t="s">
        <v>63</v>
      </c>
      <c r="S421">
        <v>0.4</v>
      </c>
      <c r="T421" t="s">
        <v>108</v>
      </c>
      <c r="U421">
        <v>35</v>
      </c>
      <c r="V421">
        <v>34.86</v>
      </c>
      <c r="W421">
        <v>29.631</v>
      </c>
      <c r="X421">
        <v>95.89</v>
      </c>
      <c r="Y421">
        <v>289.27</v>
      </c>
    </row>
    <row r="422" spans="1:25" x14ac:dyDescent="0.35">
      <c r="A422" t="s">
        <v>44</v>
      </c>
      <c r="B422" t="s">
        <v>1375</v>
      </c>
      <c r="C422" t="s">
        <v>4081</v>
      </c>
      <c r="D422" t="s">
        <v>870</v>
      </c>
      <c r="E422" t="s">
        <v>1371</v>
      </c>
      <c r="F422" t="s">
        <v>1376</v>
      </c>
      <c r="G422">
        <v>66333</v>
      </c>
      <c r="H422" t="s">
        <v>1373</v>
      </c>
      <c r="I422" t="s">
        <v>1374</v>
      </c>
      <c r="J422" t="s">
        <v>823</v>
      </c>
      <c r="K422">
        <v>30189</v>
      </c>
      <c r="L422" t="s">
        <v>92</v>
      </c>
      <c r="M422" t="s">
        <v>93</v>
      </c>
      <c r="N422" t="s">
        <v>92</v>
      </c>
      <c r="O422" t="s">
        <v>25</v>
      </c>
      <c r="P422" t="s">
        <v>82</v>
      </c>
      <c r="Q422" t="s">
        <v>92</v>
      </c>
      <c r="R422" t="s">
        <v>92</v>
      </c>
      <c r="S422">
        <v>0.4</v>
      </c>
      <c r="T422" t="s">
        <v>47</v>
      </c>
      <c r="U422">
        <v>195</v>
      </c>
      <c r="V422">
        <v>179</v>
      </c>
      <c r="W422">
        <v>143.20000000000002</v>
      </c>
      <c r="X422">
        <v>15.55</v>
      </c>
      <c r="Y422">
        <v>98.602374999999995</v>
      </c>
    </row>
    <row r="423" spans="1:25" x14ac:dyDescent="0.35">
      <c r="A423" t="s">
        <v>44</v>
      </c>
      <c r="B423" t="s">
        <v>1377</v>
      </c>
      <c r="C423" t="s">
        <v>4081</v>
      </c>
      <c r="D423" t="s">
        <v>870</v>
      </c>
      <c r="E423" t="s">
        <v>1371</v>
      </c>
      <c r="F423" t="s">
        <v>1378</v>
      </c>
      <c r="G423">
        <v>66333</v>
      </c>
      <c r="H423" t="s">
        <v>1373</v>
      </c>
      <c r="I423" t="s">
        <v>1374</v>
      </c>
      <c r="J423" t="s">
        <v>823</v>
      </c>
      <c r="K423">
        <v>32842</v>
      </c>
      <c r="L423" t="s">
        <v>92</v>
      </c>
      <c r="M423" t="s">
        <v>93</v>
      </c>
      <c r="N423" t="s">
        <v>92</v>
      </c>
      <c r="O423" t="s">
        <v>25</v>
      </c>
      <c r="P423" t="s">
        <v>82</v>
      </c>
      <c r="Q423" t="s">
        <v>92</v>
      </c>
      <c r="R423" t="s">
        <v>92</v>
      </c>
      <c r="S423">
        <v>0.37</v>
      </c>
      <c r="T423" t="s">
        <v>47</v>
      </c>
      <c r="U423">
        <v>236</v>
      </c>
      <c r="V423">
        <v>211</v>
      </c>
      <c r="W423">
        <v>168.8</v>
      </c>
      <c r="X423">
        <v>15.55</v>
      </c>
      <c r="Y423">
        <v>106.49175675675676</v>
      </c>
    </row>
    <row r="424" spans="1:25" x14ac:dyDescent="0.35">
      <c r="A424" t="s">
        <v>44</v>
      </c>
      <c r="B424" t="s">
        <v>1379</v>
      </c>
      <c r="C424" t="s">
        <v>4081</v>
      </c>
      <c r="D424" t="s">
        <v>870</v>
      </c>
      <c r="E424" t="s">
        <v>1371</v>
      </c>
      <c r="F424" t="s">
        <v>1380</v>
      </c>
      <c r="G424">
        <v>44653</v>
      </c>
      <c r="H424" t="s">
        <v>923</v>
      </c>
      <c r="I424" t="s">
        <v>924</v>
      </c>
      <c r="J424" t="s">
        <v>693</v>
      </c>
      <c r="K424">
        <v>32714</v>
      </c>
      <c r="L424" t="s">
        <v>92</v>
      </c>
      <c r="M424" t="s">
        <v>93</v>
      </c>
      <c r="N424" t="s">
        <v>92</v>
      </c>
      <c r="O424" t="s">
        <v>25</v>
      </c>
      <c r="P424" t="s">
        <v>82</v>
      </c>
      <c r="Q424" t="s">
        <v>92</v>
      </c>
      <c r="R424" t="s">
        <v>92</v>
      </c>
      <c r="S424">
        <v>0.4</v>
      </c>
      <c r="T424" t="s">
        <v>47</v>
      </c>
      <c r="U424">
        <v>490</v>
      </c>
      <c r="V424">
        <v>435</v>
      </c>
      <c r="W424">
        <v>348</v>
      </c>
      <c r="X424">
        <v>15.55</v>
      </c>
      <c r="Y424">
        <v>98.602374999999995</v>
      </c>
    </row>
    <row r="425" spans="1:25" x14ac:dyDescent="0.35">
      <c r="A425" t="s">
        <v>44</v>
      </c>
      <c r="B425" t="s">
        <v>1381</v>
      </c>
      <c r="C425" t="s">
        <v>4081</v>
      </c>
      <c r="D425" t="s">
        <v>870</v>
      </c>
      <c r="E425" t="s">
        <v>1371</v>
      </c>
      <c r="F425" t="s">
        <v>1382</v>
      </c>
      <c r="G425">
        <v>66287</v>
      </c>
      <c r="H425" t="s">
        <v>1383</v>
      </c>
      <c r="I425" t="s">
        <v>1384</v>
      </c>
      <c r="J425" t="s">
        <v>823</v>
      </c>
      <c r="K425">
        <v>28027</v>
      </c>
      <c r="L425" t="s">
        <v>92</v>
      </c>
      <c r="M425" t="s">
        <v>93</v>
      </c>
      <c r="N425" t="s">
        <v>92</v>
      </c>
      <c r="O425" t="s">
        <v>44</v>
      </c>
      <c r="P425" t="s">
        <v>45</v>
      </c>
      <c r="Q425" t="s">
        <v>92</v>
      </c>
      <c r="R425" t="s">
        <v>92</v>
      </c>
      <c r="S425">
        <v>0.36499999999999999</v>
      </c>
      <c r="T425" t="s">
        <v>47</v>
      </c>
      <c r="U425">
        <v>724</v>
      </c>
      <c r="V425">
        <v>655.6</v>
      </c>
      <c r="W425">
        <v>524.48</v>
      </c>
      <c r="X425">
        <v>15.55</v>
      </c>
      <c r="Y425">
        <v>107.93273972602741</v>
      </c>
    </row>
    <row r="426" spans="1:25" x14ac:dyDescent="0.35">
      <c r="A426" t="s">
        <v>44</v>
      </c>
      <c r="B426" t="s">
        <v>1385</v>
      </c>
      <c r="C426" t="s">
        <v>4081</v>
      </c>
      <c r="D426" t="s">
        <v>870</v>
      </c>
      <c r="E426" t="s">
        <v>1371</v>
      </c>
      <c r="F426" t="s">
        <v>1386</v>
      </c>
      <c r="G426">
        <v>59192</v>
      </c>
      <c r="H426" t="s">
        <v>1387</v>
      </c>
      <c r="I426" t="s">
        <v>1388</v>
      </c>
      <c r="J426" t="s">
        <v>693</v>
      </c>
      <c r="K426">
        <v>29860</v>
      </c>
      <c r="L426" t="s">
        <v>92</v>
      </c>
      <c r="M426" t="s">
        <v>93</v>
      </c>
      <c r="N426" t="s">
        <v>92</v>
      </c>
      <c r="O426" t="s">
        <v>44</v>
      </c>
      <c r="P426" t="s">
        <v>45</v>
      </c>
      <c r="Q426" t="s">
        <v>92</v>
      </c>
      <c r="R426" t="s">
        <v>92</v>
      </c>
      <c r="S426">
        <v>0.3775</v>
      </c>
      <c r="T426" t="s">
        <v>47</v>
      </c>
      <c r="U426">
        <v>780</v>
      </c>
      <c r="V426">
        <v>720</v>
      </c>
      <c r="W426">
        <v>576</v>
      </c>
      <c r="X426">
        <v>15.55</v>
      </c>
      <c r="Y426">
        <v>104.40185430463576</v>
      </c>
    </row>
    <row r="427" spans="1:25" x14ac:dyDescent="0.35">
      <c r="A427" t="s">
        <v>25</v>
      </c>
      <c r="B427" t="s">
        <v>1389</v>
      </c>
      <c r="C427" t="s">
        <v>4081</v>
      </c>
      <c r="D427" t="s">
        <v>27</v>
      </c>
      <c r="E427" t="s">
        <v>1371</v>
      </c>
      <c r="F427" t="s">
        <v>1390</v>
      </c>
      <c r="G427">
        <v>47179</v>
      </c>
      <c r="H427" t="s">
        <v>1185</v>
      </c>
      <c r="I427" t="s">
        <v>1391</v>
      </c>
      <c r="J427" t="s">
        <v>693</v>
      </c>
      <c r="K427">
        <v>41628</v>
      </c>
      <c r="L427" t="s">
        <v>92</v>
      </c>
      <c r="M427" t="s">
        <v>93</v>
      </c>
      <c r="N427" t="s">
        <v>92</v>
      </c>
      <c r="O427" t="s">
        <v>25</v>
      </c>
      <c r="P427" t="s">
        <v>82</v>
      </c>
      <c r="Q427" t="s">
        <v>92</v>
      </c>
      <c r="R427" t="s">
        <v>92</v>
      </c>
      <c r="S427">
        <v>0.45</v>
      </c>
      <c r="T427" t="s">
        <v>47</v>
      </c>
      <c r="U427">
        <v>790</v>
      </c>
      <c r="V427">
        <v>725</v>
      </c>
      <c r="W427">
        <v>580</v>
      </c>
      <c r="X427">
        <v>15.55</v>
      </c>
      <c r="Y427">
        <v>87.790999999999997</v>
      </c>
    </row>
    <row r="428" spans="1:25" x14ac:dyDescent="0.35">
      <c r="A428" t="s">
        <v>44</v>
      </c>
      <c r="B428" t="s">
        <v>1392</v>
      </c>
      <c r="C428" t="s">
        <v>4081</v>
      </c>
      <c r="D428" t="s">
        <v>870</v>
      </c>
      <c r="E428" t="s">
        <v>1371</v>
      </c>
      <c r="F428" t="s">
        <v>1393</v>
      </c>
      <c r="G428">
        <v>66450</v>
      </c>
      <c r="H428" t="s">
        <v>1393</v>
      </c>
      <c r="I428" t="s">
        <v>1394</v>
      </c>
      <c r="J428" t="s">
        <v>823</v>
      </c>
      <c r="K428">
        <v>30590</v>
      </c>
      <c r="L428" t="s">
        <v>92</v>
      </c>
      <c r="M428" t="s">
        <v>93</v>
      </c>
      <c r="N428" t="s">
        <v>92</v>
      </c>
      <c r="O428" t="s">
        <v>44</v>
      </c>
      <c r="P428" t="s">
        <v>45</v>
      </c>
      <c r="Q428" t="s">
        <v>92</v>
      </c>
      <c r="R428" t="s">
        <v>92</v>
      </c>
      <c r="S428">
        <v>0.38250000000000001</v>
      </c>
      <c r="T428" t="s">
        <v>47</v>
      </c>
      <c r="U428">
        <v>780</v>
      </c>
      <c r="V428">
        <v>726</v>
      </c>
      <c r="W428">
        <v>580.80000000000007</v>
      </c>
      <c r="X428">
        <v>15.55</v>
      </c>
      <c r="Y428">
        <v>103.05411764705882</v>
      </c>
    </row>
    <row r="429" spans="1:25" x14ac:dyDescent="0.35">
      <c r="A429" t="s">
        <v>25</v>
      </c>
      <c r="B429" t="s">
        <v>1395</v>
      </c>
      <c r="C429" t="s">
        <v>4081</v>
      </c>
      <c r="D429" t="s">
        <v>27</v>
      </c>
      <c r="E429" t="s">
        <v>1396</v>
      </c>
      <c r="F429" t="s">
        <v>1397</v>
      </c>
      <c r="G429">
        <v>63741</v>
      </c>
      <c r="H429" t="s">
        <v>1398</v>
      </c>
      <c r="I429" t="s">
        <v>1399</v>
      </c>
      <c r="J429" t="s">
        <v>701</v>
      </c>
      <c r="K429">
        <v>41302</v>
      </c>
      <c r="L429" t="s">
        <v>69</v>
      </c>
      <c r="M429" t="s">
        <v>70</v>
      </c>
      <c r="N429" t="s">
        <v>69</v>
      </c>
      <c r="O429" t="s">
        <v>25</v>
      </c>
      <c r="P429" t="s">
        <v>50</v>
      </c>
      <c r="Q429" t="s">
        <v>71</v>
      </c>
      <c r="R429" t="s">
        <v>71</v>
      </c>
      <c r="S429">
        <v>0.4</v>
      </c>
      <c r="T429" t="s">
        <v>267</v>
      </c>
      <c r="U429">
        <v>16.463000000000001</v>
      </c>
      <c r="V429">
        <v>16.2</v>
      </c>
      <c r="W429">
        <v>13.77</v>
      </c>
      <c r="X429">
        <v>95.59</v>
      </c>
      <c r="Y429">
        <v>277.07724999999999</v>
      </c>
    </row>
    <row r="430" spans="1:25" x14ac:dyDescent="0.35">
      <c r="A430" t="s">
        <v>25</v>
      </c>
      <c r="B430" t="s">
        <v>1400</v>
      </c>
      <c r="C430" t="s">
        <v>4081</v>
      </c>
      <c r="D430" t="s">
        <v>27</v>
      </c>
      <c r="E430" t="s">
        <v>1401</v>
      </c>
      <c r="F430" t="s">
        <v>1402</v>
      </c>
      <c r="G430">
        <v>47166</v>
      </c>
      <c r="H430" t="s">
        <v>1185</v>
      </c>
      <c r="I430" t="s">
        <v>1403</v>
      </c>
      <c r="J430" t="s">
        <v>693</v>
      </c>
      <c r="K430">
        <v>29952</v>
      </c>
      <c r="L430" t="s">
        <v>1404</v>
      </c>
      <c r="N430" t="s">
        <v>595</v>
      </c>
      <c r="O430" t="s">
        <v>44</v>
      </c>
      <c r="P430" t="s">
        <v>71</v>
      </c>
      <c r="Q430" t="s">
        <v>71</v>
      </c>
      <c r="R430" t="s">
        <v>71</v>
      </c>
      <c r="S430">
        <v>0.4</v>
      </c>
      <c r="T430" t="s">
        <v>267</v>
      </c>
      <c r="U430">
        <v>16</v>
      </c>
      <c r="V430">
        <v>16</v>
      </c>
      <c r="W430">
        <v>13.6</v>
      </c>
      <c r="X430">
        <v>95.59</v>
      </c>
      <c r="Y430">
        <v>277.07724999999999</v>
      </c>
    </row>
    <row r="431" spans="1:25" x14ac:dyDescent="0.35">
      <c r="A431" t="s">
        <v>25</v>
      </c>
      <c r="B431" t="s">
        <v>1405</v>
      </c>
      <c r="C431" t="s">
        <v>4081</v>
      </c>
      <c r="D431" t="s">
        <v>27</v>
      </c>
      <c r="E431" t="s">
        <v>1401</v>
      </c>
      <c r="F431" t="s">
        <v>1406</v>
      </c>
      <c r="G431">
        <v>47166</v>
      </c>
      <c r="H431" t="s">
        <v>1185</v>
      </c>
      <c r="I431" t="s">
        <v>1403</v>
      </c>
      <c r="J431" t="s">
        <v>693</v>
      </c>
      <c r="K431">
        <v>33970</v>
      </c>
      <c r="L431" t="s">
        <v>1404</v>
      </c>
      <c r="N431" t="s">
        <v>595</v>
      </c>
      <c r="O431" t="s">
        <v>44</v>
      </c>
      <c r="P431" t="s">
        <v>71</v>
      </c>
      <c r="Q431" t="s">
        <v>71</v>
      </c>
      <c r="R431" t="s">
        <v>71</v>
      </c>
      <c r="S431">
        <v>0.4</v>
      </c>
      <c r="T431" t="s">
        <v>267</v>
      </c>
      <c r="U431">
        <v>18</v>
      </c>
      <c r="V431">
        <v>18</v>
      </c>
      <c r="W431">
        <v>15.299999999999999</v>
      </c>
      <c r="X431">
        <v>95.59</v>
      </c>
      <c r="Y431">
        <v>277.07724999999999</v>
      </c>
    </row>
    <row r="432" spans="1:25" x14ac:dyDescent="0.35">
      <c r="A432" t="s">
        <v>25</v>
      </c>
      <c r="B432" t="s">
        <v>1407</v>
      </c>
      <c r="C432" t="s">
        <v>4081</v>
      </c>
      <c r="D432" t="s">
        <v>27</v>
      </c>
      <c r="E432" t="s">
        <v>1401</v>
      </c>
      <c r="F432" t="s">
        <v>1408</v>
      </c>
      <c r="G432">
        <v>47166</v>
      </c>
      <c r="H432" t="s">
        <v>1185</v>
      </c>
      <c r="I432" t="s">
        <v>1403</v>
      </c>
      <c r="J432" t="s">
        <v>693</v>
      </c>
      <c r="K432">
        <v>21186</v>
      </c>
      <c r="L432" t="s">
        <v>593</v>
      </c>
      <c r="M432" t="s">
        <v>594</v>
      </c>
      <c r="N432" t="s">
        <v>595</v>
      </c>
      <c r="O432" t="s">
        <v>25</v>
      </c>
      <c r="P432" t="s">
        <v>82</v>
      </c>
      <c r="Q432" t="s">
        <v>71</v>
      </c>
      <c r="R432" t="s">
        <v>71</v>
      </c>
      <c r="S432">
        <v>0.33</v>
      </c>
      <c r="T432" t="s">
        <v>37</v>
      </c>
      <c r="U432">
        <v>64</v>
      </c>
      <c r="V432">
        <v>59.6</v>
      </c>
      <c r="W432">
        <v>50.66</v>
      </c>
      <c r="X432">
        <v>95.59</v>
      </c>
      <c r="Y432">
        <v>335.6390909090909</v>
      </c>
    </row>
    <row r="433" spans="1:25" x14ac:dyDescent="0.35">
      <c r="A433" t="s">
        <v>25</v>
      </c>
      <c r="B433" t="s">
        <v>1409</v>
      </c>
      <c r="C433" t="s">
        <v>4081</v>
      </c>
      <c r="D433" t="s">
        <v>27</v>
      </c>
      <c r="E433" t="s">
        <v>1401</v>
      </c>
      <c r="F433" t="s">
        <v>1410</v>
      </c>
      <c r="G433">
        <v>47166</v>
      </c>
      <c r="H433" t="s">
        <v>1185</v>
      </c>
      <c r="I433" t="s">
        <v>1403</v>
      </c>
      <c r="J433" t="s">
        <v>693</v>
      </c>
      <c r="K433">
        <v>20090</v>
      </c>
      <c r="L433" t="s">
        <v>593</v>
      </c>
      <c r="M433" t="s">
        <v>594</v>
      </c>
      <c r="N433" t="s">
        <v>595</v>
      </c>
      <c r="O433" t="s">
        <v>25</v>
      </c>
      <c r="P433" t="s">
        <v>82</v>
      </c>
      <c r="Q433" t="s">
        <v>71</v>
      </c>
      <c r="R433" t="s">
        <v>71</v>
      </c>
      <c r="S433">
        <v>0.33</v>
      </c>
      <c r="T433" t="s">
        <v>37</v>
      </c>
      <c r="U433">
        <v>64</v>
      </c>
      <c r="V433">
        <v>59.6</v>
      </c>
      <c r="W433">
        <v>50.66</v>
      </c>
      <c r="X433">
        <v>95.59</v>
      </c>
      <c r="Y433">
        <v>335.6390909090909</v>
      </c>
    </row>
    <row r="434" spans="1:25" x14ac:dyDescent="0.35">
      <c r="A434" t="s">
        <v>25</v>
      </c>
      <c r="B434" t="s">
        <v>1411</v>
      </c>
      <c r="C434" t="s">
        <v>4081</v>
      </c>
      <c r="D434" t="s">
        <v>27</v>
      </c>
      <c r="E434" t="s">
        <v>1401</v>
      </c>
      <c r="F434" t="s">
        <v>1412</v>
      </c>
      <c r="G434">
        <v>47166</v>
      </c>
      <c r="H434" t="s">
        <v>1185</v>
      </c>
      <c r="I434" t="s">
        <v>1403</v>
      </c>
      <c r="J434" t="s">
        <v>693</v>
      </c>
      <c r="K434">
        <v>23012</v>
      </c>
      <c r="L434" t="s">
        <v>593</v>
      </c>
      <c r="M434" t="s">
        <v>594</v>
      </c>
      <c r="N434" t="s">
        <v>595</v>
      </c>
      <c r="O434" t="s">
        <v>25</v>
      </c>
      <c r="P434" t="s">
        <v>82</v>
      </c>
      <c r="Q434" t="s">
        <v>71</v>
      </c>
      <c r="R434" t="s">
        <v>71</v>
      </c>
      <c r="S434">
        <v>0.34100000000000003</v>
      </c>
      <c r="T434" t="s">
        <v>37</v>
      </c>
      <c r="U434">
        <v>101</v>
      </c>
      <c r="V434">
        <v>94</v>
      </c>
      <c r="W434">
        <v>79.899999999999991</v>
      </c>
      <c r="X434">
        <v>95.59</v>
      </c>
      <c r="Y434">
        <v>324.84428152492666</v>
      </c>
    </row>
    <row r="435" spans="1:25" x14ac:dyDescent="0.35">
      <c r="A435" t="s">
        <v>25</v>
      </c>
      <c r="B435" t="s">
        <v>1413</v>
      </c>
      <c r="C435" t="s">
        <v>4081</v>
      </c>
      <c r="D435" t="s">
        <v>27</v>
      </c>
      <c r="E435" t="s">
        <v>1401</v>
      </c>
      <c r="F435" t="s">
        <v>1414</v>
      </c>
      <c r="G435">
        <v>47166</v>
      </c>
      <c r="H435" t="s">
        <v>1185</v>
      </c>
      <c r="I435" t="s">
        <v>1403</v>
      </c>
      <c r="J435" t="s">
        <v>693</v>
      </c>
      <c r="K435">
        <v>27760</v>
      </c>
      <c r="L435" t="s">
        <v>593</v>
      </c>
      <c r="M435" t="s">
        <v>594</v>
      </c>
      <c r="N435" t="s">
        <v>595</v>
      </c>
      <c r="O435" t="s">
        <v>25</v>
      </c>
      <c r="P435" t="s">
        <v>82</v>
      </c>
      <c r="Q435" t="s">
        <v>71</v>
      </c>
      <c r="R435" t="s">
        <v>71</v>
      </c>
      <c r="S435">
        <v>0.45</v>
      </c>
      <c r="T435" t="s">
        <v>37</v>
      </c>
      <c r="U435">
        <v>108</v>
      </c>
      <c r="V435">
        <v>101.3</v>
      </c>
      <c r="W435">
        <v>86.10499999999999</v>
      </c>
      <c r="X435">
        <v>95.59</v>
      </c>
      <c r="Y435">
        <v>246.40199999999999</v>
      </c>
    </row>
    <row r="436" spans="1:25" x14ac:dyDescent="0.35">
      <c r="A436" t="s">
        <v>25</v>
      </c>
      <c r="B436" t="s">
        <v>1415</v>
      </c>
      <c r="C436" t="s">
        <v>4081</v>
      </c>
      <c r="D436" t="s">
        <v>27</v>
      </c>
      <c r="E436" t="s">
        <v>1401</v>
      </c>
      <c r="F436" t="s">
        <v>1416</v>
      </c>
      <c r="G436">
        <v>47166</v>
      </c>
      <c r="H436" t="s">
        <v>1185</v>
      </c>
      <c r="I436" t="s">
        <v>1403</v>
      </c>
      <c r="J436" t="s">
        <v>693</v>
      </c>
      <c r="K436">
        <v>25204</v>
      </c>
      <c r="L436" t="s">
        <v>593</v>
      </c>
      <c r="M436" t="s">
        <v>594</v>
      </c>
      <c r="N436" t="s">
        <v>595</v>
      </c>
      <c r="O436" t="s">
        <v>25</v>
      </c>
      <c r="P436" t="s">
        <v>82</v>
      </c>
      <c r="Q436" t="s">
        <v>71</v>
      </c>
      <c r="R436" t="s">
        <v>71</v>
      </c>
      <c r="S436">
        <v>0.34100000000000003</v>
      </c>
      <c r="T436" t="s">
        <v>37</v>
      </c>
      <c r="U436">
        <v>177</v>
      </c>
      <c r="V436">
        <v>164.7</v>
      </c>
      <c r="W436">
        <v>139.99499999999998</v>
      </c>
      <c r="X436">
        <v>95.59</v>
      </c>
      <c r="Y436">
        <v>324.84428152492666</v>
      </c>
    </row>
    <row r="437" spans="1:25" x14ac:dyDescent="0.35">
      <c r="A437" t="s">
        <v>25</v>
      </c>
      <c r="B437" t="s">
        <v>1417</v>
      </c>
      <c r="C437" t="s">
        <v>4081</v>
      </c>
      <c r="D437" t="s">
        <v>27</v>
      </c>
      <c r="E437" t="s">
        <v>1401</v>
      </c>
      <c r="F437" t="s">
        <v>1418</v>
      </c>
      <c r="G437">
        <v>47166</v>
      </c>
      <c r="H437" t="s">
        <v>1185</v>
      </c>
      <c r="I437" t="s">
        <v>1403</v>
      </c>
      <c r="J437" t="s">
        <v>693</v>
      </c>
      <c r="K437">
        <v>37622</v>
      </c>
      <c r="L437" t="s">
        <v>593</v>
      </c>
      <c r="M437" t="s">
        <v>594</v>
      </c>
      <c r="N437" t="s">
        <v>595</v>
      </c>
      <c r="O437" t="s">
        <v>25</v>
      </c>
      <c r="P437" t="s">
        <v>82</v>
      </c>
      <c r="Q437" t="s">
        <v>71</v>
      </c>
      <c r="R437" t="s">
        <v>71</v>
      </c>
      <c r="S437">
        <v>0.54</v>
      </c>
      <c r="T437" t="s">
        <v>37</v>
      </c>
      <c r="U437">
        <v>241</v>
      </c>
      <c r="V437">
        <v>225</v>
      </c>
      <c r="W437">
        <v>191.25</v>
      </c>
      <c r="X437">
        <v>95.59</v>
      </c>
      <c r="Y437">
        <v>205.50166666666664</v>
      </c>
    </row>
    <row r="438" spans="1:25" x14ac:dyDescent="0.35">
      <c r="A438" t="s">
        <v>25</v>
      </c>
      <c r="B438" t="s">
        <v>1419</v>
      </c>
      <c r="C438" t="s">
        <v>4081</v>
      </c>
      <c r="D438" t="s">
        <v>27</v>
      </c>
      <c r="E438" t="s">
        <v>1420</v>
      </c>
      <c r="F438" t="s">
        <v>1421</v>
      </c>
      <c r="G438">
        <v>44536</v>
      </c>
      <c r="H438" t="s">
        <v>1422</v>
      </c>
      <c r="I438" t="s">
        <v>1423</v>
      </c>
      <c r="J438" t="s">
        <v>693</v>
      </c>
      <c r="K438">
        <v>41275</v>
      </c>
      <c r="L438" t="s">
        <v>92</v>
      </c>
      <c r="M438" t="s">
        <v>93</v>
      </c>
      <c r="N438" t="s">
        <v>92</v>
      </c>
      <c r="O438" t="s">
        <v>25</v>
      </c>
      <c r="P438" t="s">
        <v>82</v>
      </c>
      <c r="Q438" t="s">
        <v>92</v>
      </c>
      <c r="R438" t="s">
        <v>92</v>
      </c>
      <c r="S438">
        <v>0.45950000000000002</v>
      </c>
      <c r="T438" t="s">
        <v>47</v>
      </c>
      <c r="U438">
        <v>812</v>
      </c>
      <c r="V438">
        <v>746</v>
      </c>
      <c r="W438">
        <v>596.80000000000007</v>
      </c>
      <c r="X438">
        <v>15.55</v>
      </c>
      <c r="Y438">
        <v>86.002829162132755</v>
      </c>
    </row>
    <row r="439" spans="1:25" x14ac:dyDescent="0.35">
      <c r="A439" t="s">
        <v>44</v>
      </c>
      <c r="B439" t="s">
        <v>1424</v>
      </c>
      <c r="C439" t="s">
        <v>4081</v>
      </c>
      <c r="D439" t="s">
        <v>870</v>
      </c>
      <c r="E439" t="s">
        <v>569</v>
      </c>
      <c r="F439" t="s">
        <v>1425</v>
      </c>
      <c r="G439">
        <v>45896</v>
      </c>
      <c r="H439" t="s">
        <v>1247</v>
      </c>
      <c r="I439" t="s">
        <v>1248</v>
      </c>
      <c r="J439" t="s">
        <v>693</v>
      </c>
      <c r="K439">
        <v>25204</v>
      </c>
      <c r="L439" t="s">
        <v>92</v>
      </c>
      <c r="M439" t="s">
        <v>93</v>
      </c>
      <c r="N439" t="s">
        <v>92</v>
      </c>
      <c r="O439" t="s">
        <v>44</v>
      </c>
      <c r="P439" t="s">
        <v>45</v>
      </c>
      <c r="Q439" t="s">
        <v>92</v>
      </c>
      <c r="R439" t="s">
        <v>92</v>
      </c>
      <c r="S439">
        <v>0.34749999999999998</v>
      </c>
      <c r="T439" t="s">
        <v>47</v>
      </c>
      <c r="U439">
        <v>370</v>
      </c>
      <c r="V439">
        <v>345</v>
      </c>
      <c r="W439">
        <v>276</v>
      </c>
      <c r="X439">
        <v>15.55</v>
      </c>
      <c r="Y439">
        <v>113.30273381294964</v>
      </c>
    </row>
    <row r="440" spans="1:25" x14ac:dyDescent="0.35">
      <c r="A440" t="s">
        <v>44</v>
      </c>
      <c r="B440" t="s">
        <v>1426</v>
      </c>
      <c r="C440" t="s">
        <v>4081</v>
      </c>
      <c r="D440" t="s">
        <v>870</v>
      </c>
      <c r="E440" t="s">
        <v>569</v>
      </c>
      <c r="F440" t="s">
        <v>1427</v>
      </c>
      <c r="G440">
        <v>45896</v>
      </c>
      <c r="H440" t="s">
        <v>1247</v>
      </c>
      <c r="I440" t="s">
        <v>1248</v>
      </c>
      <c r="J440" t="s">
        <v>693</v>
      </c>
      <c r="K440">
        <v>24838</v>
      </c>
      <c r="L440" t="s">
        <v>92</v>
      </c>
      <c r="M440" t="s">
        <v>93</v>
      </c>
      <c r="N440" t="s">
        <v>92</v>
      </c>
      <c r="O440" t="s">
        <v>44</v>
      </c>
      <c r="P440" t="s">
        <v>45</v>
      </c>
      <c r="Q440" t="s">
        <v>92</v>
      </c>
      <c r="R440" t="s">
        <v>92</v>
      </c>
      <c r="S440">
        <v>0.34499999999999997</v>
      </c>
      <c r="T440" t="s">
        <v>47</v>
      </c>
      <c r="U440">
        <v>370</v>
      </c>
      <c r="V440">
        <v>345</v>
      </c>
      <c r="W440">
        <v>276</v>
      </c>
      <c r="X440">
        <v>15.55</v>
      </c>
      <c r="Y440">
        <v>114.11434782608696</v>
      </c>
    </row>
    <row r="441" spans="1:25" x14ac:dyDescent="0.35">
      <c r="A441" t="s">
        <v>25</v>
      </c>
      <c r="B441" t="s">
        <v>1428</v>
      </c>
      <c r="C441" t="s">
        <v>4081</v>
      </c>
      <c r="D441" t="s">
        <v>27</v>
      </c>
      <c r="E441" t="s">
        <v>569</v>
      </c>
      <c r="F441" t="s">
        <v>1429</v>
      </c>
      <c r="G441">
        <v>45711</v>
      </c>
      <c r="H441" t="s">
        <v>1430</v>
      </c>
      <c r="I441" t="s">
        <v>1431</v>
      </c>
      <c r="J441" t="s">
        <v>693</v>
      </c>
      <c r="K441">
        <v>43981</v>
      </c>
      <c r="L441" t="s">
        <v>92</v>
      </c>
      <c r="M441" t="s">
        <v>93</v>
      </c>
      <c r="N441" t="s">
        <v>92</v>
      </c>
      <c r="O441" t="s">
        <v>25</v>
      </c>
      <c r="P441" t="s">
        <v>82</v>
      </c>
      <c r="Q441" t="s">
        <v>92</v>
      </c>
      <c r="R441" t="s">
        <v>92</v>
      </c>
      <c r="S441">
        <v>0.45</v>
      </c>
      <c r="T441" t="s">
        <v>1432</v>
      </c>
      <c r="U441">
        <v>1100</v>
      </c>
      <c r="V441">
        <v>1052</v>
      </c>
      <c r="W441">
        <v>841.6</v>
      </c>
      <c r="X441">
        <v>15.55</v>
      </c>
      <c r="Y441">
        <v>87.790999999999997</v>
      </c>
    </row>
    <row r="442" spans="1:25" x14ac:dyDescent="0.35">
      <c r="A442" t="s">
        <v>44</v>
      </c>
      <c r="B442" t="s">
        <v>1433</v>
      </c>
      <c r="C442" t="s">
        <v>4081</v>
      </c>
      <c r="D442" t="s">
        <v>870</v>
      </c>
      <c r="E442" t="s">
        <v>1254</v>
      </c>
      <c r="F442" t="s">
        <v>1434</v>
      </c>
      <c r="G442">
        <v>86956</v>
      </c>
      <c r="H442" t="s">
        <v>1256</v>
      </c>
      <c r="I442" t="s">
        <v>1257</v>
      </c>
      <c r="J442" t="s">
        <v>701</v>
      </c>
      <c r="K442">
        <v>25934</v>
      </c>
      <c r="L442" t="s">
        <v>33</v>
      </c>
      <c r="M442" t="s">
        <v>34</v>
      </c>
      <c r="N442" t="s">
        <v>33</v>
      </c>
      <c r="O442" t="s">
        <v>44</v>
      </c>
      <c r="P442" t="s">
        <v>82</v>
      </c>
      <c r="Q442" t="s">
        <v>33</v>
      </c>
      <c r="R442" t="s">
        <v>46</v>
      </c>
      <c r="S442">
        <v>0.33439999999999998</v>
      </c>
      <c r="T442" t="s">
        <v>47</v>
      </c>
      <c r="U442">
        <v>45</v>
      </c>
      <c r="V442">
        <v>32</v>
      </c>
      <c r="W442">
        <v>27.84</v>
      </c>
      <c r="X442">
        <v>40.69</v>
      </c>
      <c r="Y442">
        <v>164.86528110047846</v>
      </c>
    </row>
    <row r="443" spans="1:25" x14ac:dyDescent="0.35">
      <c r="A443" t="s">
        <v>44</v>
      </c>
      <c r="B443" t="s">
        <v>1435</v>
      </c>
      <c r="C443" t="s">
        <v>4081</v>
      </c>
      <c r="D443" t="s">
        <v>870</v>
      </c>
      <c r="E443" t="s">
        <v>1254</v>
      </c>
      <c r="F443" t="s">
        <v>1436</v>
      </c>
      <c r="G443">
        <v>86956</v>
      </c>
      <c r="H443" t="s">
        <v>1256</v>
      </c>
      <c r="I443" t="s">
        <v>1257</v>
      </c>
      <c r="J443" t="s">
        <v>701</v>
      </c>
      <c r="K443">
        <v>24838</v>
      </c>
      <c r="L443" t="s">
        <v>33</v>
      </c>
      <c r="M443" t="s">
        <v>34</v>
      </c>
      <c r="N443" t="s">
        <v>33</v>
      </c>
      <c r="O443" t="s">
        <v>44</v>
      </c>
      <c r="P443" t="s">
        <v>82</v>
      </c>
      <c r="Q443" t="s">
        <v>33</v>
      </c>
      <c r="R443" t="s">
        <v>46</v>
      </c>
      <c r="S443">
        <v>0.33439999999999998</v>
      </c>
      <c r="T443" t="s">
        <v>47</v>
      </c>
      <c r="U443">
        <v>45</v>
      </c>
      <c r="V443">
        <v>32</v>
      </c>
      <c r="W443">
        <v>27.84</v>
      </c>
      <c r="X443">
        <v>40.69</v>
      </c>
      <c r="Y443">
        <v>164.86528110047846</v>
      </c>
    </row>
    <row r="444" spans="1:25" x14ac:dyDescent="0.35">
      <c r="A444" t="s">
        <v>25</v>
      </c>
      <c r="B444" t="s">
        <v>1437</v>
      </c>
      <c r="C444" t="str">
        <f>VLOOKUP(B444,Tabelle3!A:C,2,FALSE)</f>
        <v>Nord</v>
      </c>
      <c r="D444" t="s">
        <v>27</v>
      </c>
      <c r="E444" t="s">
        <v>1438</v>
      </c>
      <c r="F444" t="s">
        <v>1439</v>
      </c>
      <c r="G444">
        <v>21683</v>
      </c>
      <c r="H444" t="s">
        <v>1440</v>
      </c>
      <c r="I444" t="s">
        <v>1441</v>
      </c>
      <c r="J444" t="s">
        <v>765</v>
      </c>
      <c r="K444">
        <v>41030</v>
      </c>
      <c r="L444" t="s">
        <v>33</v>
      </c>
      <c r="M444" t="s">
        <v>34</v>
      </c>
      <c r="N444" t="s">
        <v>33</v>
      </c>
      <c r="O444" t="s">
        <v>25</v>
      </c>
      <c r="P444" t="s">
        <v>87</v>
      </c>
      <c r="Q444" t="s">
        <v>33</v>
      </c>
      <c r="R444" t="s">
        <v>46</v>
      </c>
      <c r="S444">
        <v>0.41120000000000001</v>
      </c>
      <c r="T444" t="s">
        <v>47</v>
      </c>
      <c r="U444">
        <v>15.551500000000001</v>
      </c>
      <c r="V444">
        <v>15.36</v>
      </c>
      <c r="W444">
        <v>13.363199999999999</v>
      </c>
      <c r="X444">
        <v>40.69</v>
      </c>
      <c r="Y444">
        <v>134.35347762645912</v>
      </c>
    </row>
    <row r="445" spans="1:25" x14ac:dyDescent="0.35">
      <c r="A445" t="s">
        <v>25</v>
      </c>
      <c r="B445" t="s">
        <v>1442</v>
      </c>
      <c r="C445" t="str">
        <f>VLOOKUP(B445,Tabelle3!A:C,2,FALSE)</f>
        <v>Nord</v>
      </c>
      <c r="D445" t="s">
        <v>27</v>
      </c>
      <c r="E445" t="s">
        <v>1438</v>
      </c>
      <c r="F445" t="s">
        <v>1443</v>
      </c>
      <c r="G445">
        <v>21683</v>
      </c>
      <c r="H445" t="s">
        <v>1440</v>
      </c>
      <c r="I445" t="s">
        <v>1444</v>
      </c>
      <c r="J445" t="s">
        <v>765</v>
      </c>
      <c r="K445">
        <v>41030</v>
      </c>
      <c r="L445" t="s">
        <v>33</v>
      </c>
      <c r="M445" t="s">
        <v>34</v>
      </c>
      <c r="N445" t="s">
        <v>33</v>
      </c>
      <c r="O445" t="s">
        <v>25</v>
      </c>
      <c r="P445" t="s">
        <v>87</v>
      </c>
      <c r="Q445" t="s">
        <v>33</v>
      </c>
      <c r="R445" t="s">
        <v>46</v>
      </c>
      <c r="S445">
        <v>0.41120000000000001</v>
      </c>
      <c r="T445" t="s">
        <v>47</v>
      </c>
      <c r="U445">
        <v>15.551500000000001</v>
      </c>
      <c r="V445">
        <v>15.36</v>
      </c>
      <c r="W445">
        <v>13.363199999999999</v>
      </c>
      <c r="X445">
        <v>40.69</v>
      </c>
      <c r="Y445">
        <v>134.35347762645912</v>
      </c>
    </row>
    <row r="446" spans="1:25" x14ac:dyDescent="0.35">
      <c r="A446" t="s">
        <v>25</v>
      </c>
      <c r="B446" t="s">
        <v>1445</v>
      </c>
      <c r="C446" t="str">
        <f>VLOOKUP(B446,Tabelle3!A:C,2,FALSE)</f>
        <v>Nord</v>
      </c>
      <c r="D446" t="s">
        <v>27</v>
      </c>
      <c r="E446" t="s">
        <v>1446</v>
      </c>
      <c r="F446" t="s">
        <v>1447</v>
      </c>
      <c r="G446">
        <v>37213</v>
      </c>
      <c r="H446" t="s">
        <v>1448</v>
      </c>
      <c r="I446" t="s">
        <v>1449</v>
      </c>
      <c r="J446" t="s">
        <v>865</v>
      </c>
      <c r="K446">
        <v>39988</v>
      </c>
      <c r="L446" t="s">
        <v>171</v>
      </c>
      <c r="M446" t="s">
        <v>172</v>
      </c>
      <c r="N446" t="s">
        <v>173</v>
      </c>
      <c r="O446" t="s">
        <v>25</v>
      </c>
      <c r="P446" t="s">
        <v>82</v>
      </c>
      <c r="Q446" t="s">
        <v>173</v>
      </c>
      <c r="R446" t="s">
        <v>173</v>
      </c>
      <c r="S446">
        <v>0.33</v>
      </c>
      <c r="T446" t="s">
        <v>47</v>
      </c>
      <c r="U446">
        <v>32.799999999999997</v>
      </c>
      <c r="V446">
        <v>28</v>
      </c>
      <c r="W446">
        <v>23.8</v>
      </c>
      <c r="X446">
        <v>0</v>
      </c>
      <c r="Y446">
        <v>1</v>
      </c>
    </row>
    <row r="447" spans="1:25" x14ac:dyDescent="0.35">
      <c r="A447" t="s">
        <v>25</v>
      </c>
      <c r="B447" t="s">
        <v>1450</v>
      </c>
      <c r="C447" t="str">
        <f>VLOOKUP(B447,Tabelle3!A:C,2,FALSE)</f>
        <v>Nord</v>
      </c>
      <c r="D447" t="s">
        <v>27</v>
      </c>
      <c r="E447" t="s">
        <v>1451</v>
      </c>
      <c r="F447" t="s">
        <v>1452</v>
      </c>
      <c r="G447">
        <v>38112</v>
      </c>
      <c r="H447" t="s">
        <v>1453</v>
      </c>
      <c r="I447" t="s">
        <v>1454</v>
      </c>
      <c r="J447" t="s">
        <v>765</v>
      </c>
      <c r="K447">
        <v>33225</v>
      </c>
      <c r="L447" t="s">
        <v>33</v>
      </c>
      <c r="M447" t="s">
        <v>34</v>
      </c>
      <c r="N447" t="s">
        <v>33</v>
      </c>
      <c r="O447" t="s">
        <v>25</v>
      </c>
      <c r="P447" t="s">
        <v>87</v>
      </c>
      <c r="Q447" t="s">
        <v>33</v>
      </c>
      <c r="R447" t="s">
        <v>46</v>
      </c>
      <c r="S447">
        <v>0.28899999999999998</v>
      </c>
      <c r="T447" t="s">
        <v>47</v>
      </c>
      <c r="U447">
        <v>29</v>
      </c>
      <c r="V447">
        <v>25</v>
      </c>
      <c r="W447">
        <v>21.75</v>
      </c>
      <c r="X447">
        <v>40.69</v>
      </c>
      <c r="Y447">
        <v>190.52889273356402</v>
      </c>
    </row>
    <row r="448" spans="1:25" x14ac:dyDescent="0.35">
      <c r="A448" t="s">
        <v>25</v>
      </c>
      <c r="B448" t="s">
        <v>1455</v>
      </c>
      <c r="C448" t="str">
        <f>VLOOKUP(B448,Tabelle3!A:C,2,FALSE)</f>
        <v>Nord</v>
      </c>
      <c r="D448" t="s">
        <v>27</v>
      </c>
      <c r="E448" t="s">
        <v>1451</v>
      </c>
      <c r="F448" t="s">
        <v>1456</v>
      </c>
      <c r="G448">
        <v>38114</v>
      </c>
      <c r="H448" t="s">
        <v>1453</v>
      </c>
      <c r="I448" t="s">
        <v>1457</v>
      </c>
      <c r="J448" t="s">
        <v>765</v>
      </c>
      <c r="K448">
        <v>45289</v>
      </c>
      <c r="L448" t="s">
        <v>33</v>
      </c>
      <c r="M448" t="s">
        <v>34</v>
      </c>
      <c r="N448" t="s">
        <v>33</v>
      </c>
      <c r="O448" t="s">
        <v>25</v>
      </c>
      <c r="P448" t="s">
        <v>87</v>
      </c>
      <c r="Q448" t="s">
        <v>33</v>
      </c>
      <c r="R448" t="s">
        <v>46</v>
      </c>
      <c r="S448">
        <v>0.4</v>
      </c>
      <c r="T448" t="s">
        <v>1458</v>
      </c>
      <c r="U448">
        <v>68.41</v>
      </c>
      <c r="V448">
        <v>68.41</v>
      </c>
      <c r="W448">
        <v>59.5167</v>
      </c>
      <c r="X448">
        <v>40.69</v>
      </c>
      <c r="Y448">
        <v>138.073375</v>
      </c>
    </row>
    <row r="449" spans="1:25" x14ac:dyDescent="0.35">
      <c r="A449" t="s">
        <v>25</v>
      </c>
      <c r="B449" t="s">
        <v>1459</v>
      </c>
      <c r="C449" t="str">
        <f>VLOOKUP(B449,Tabelle3!A:C,2,FALSE)</f>
        <v>Nord</v>
      </c>
      <c r="D449" t="s">
        <v>27</v>
      </c>
      <c r="E449" t="s">
        <v>1451</v>
      </c>
      <c r="F449" t="s">
        <v>1460</v>
      </c>
      <c r="G449">
        <v>38114</v>
      </c>
      <c r="H449" t="s">
        <v>1453</v>
      </c>
      <c r="I449" t="s">
        <v>1457</v>
      </c>
      <c r="J449" t="s">
        <v>765</v>
      </c>
      <c r="K449">
        <v>45281</v>
      </c>
      <c r="L449" t="s">
        <v>33</v>
      </c>
      <c r="M449" t="s">
        <v>34</v>
      </c>
      <c r="N449" t="s">
        <v>33</v>
      </c>
      <c r="O449" t="s">
        <v>25</v>
      </c>
      <c r="P449" t="s">
        <v>71</v>
      </c>
      <c r="Q449" t="s">
        <v>33</v>
      </c>
      <c r="R449" t="s">
        <v>46</v>
      </c>
      <c r="S449">
        <v>0.58499999999999996</v>
      </c>
      <c r="T449" t="s">
        <v>47</v>
      </c>
      <c r="U449">
        <v>100.5</v>
      </c>
      <c r="V449">
        <v>98.1</v>
      </c>
      <c r="W449">
        <v>85.346999999999994</v>
      </c>
      <c r="X449">
        <v>40.69</v>
      </c>
      <c r="Y449">
        <v>94.883504273504272</v>
      </c>
    </row>
    <row r="450" spans="1:25" x14ac:dyDescent="0.35">
      <c r="A450" t="s">
        <v>25</v>
      </c>
      <c r="B450" t="s">
        <v>1461</v>
      </c>
      <c r="C450" t="str">
        <f>VLOOKUP(B450,Tabelle3!A:C,2,FALSE)</f>
        <v>Nord</v>
      </c>
      <c r="D450" t="s">
        <v>27</v>
      </c>
      <c r="E450" t="s">
        <v>1462</v>
      </c>
      <c r="F450" t="s">
        <v>1463</v>
      </c>
      <c r="G450">
        <v>21683</v>
      </c>
      <c r="H450" t="s">
        <v>1440</v>
      </c>
      <c r="I450" t="s">
        <v>1464</v>
      </c>
      <c r="J450" t="s">
        <v>765</v>
      </c>
      <c r="K450">
        <v>41992</v>
      </c>
      <c r="L450" t="s">
        <v>69</v>
      </c>
      <c r="M450" t="s">
        <v>70</v>
      </c>
      <c r="N450" t="s">
        <v>69</v>
      </c>
      <c r="O450" t="s">
        <v>25</v>
      </c>
      <c r="P450" t="s">
        <v>71</v>
      </c>
      <c r="Q450" t="s">
        <v>71</v>
      </c>
      <c r="R450" t="s">
        <v>71</v>
      </c>
      <c r="S450">
        <v>0.60750000000000004</v>
      </c>
      <c r="T450" t="s">
        <v>47</v>
      </c>
      <c r="U450">
        <v>18.731999999999999</v>
      </c>
      <c r="V450">
        <v>13</v>
      </c>
      <c r="W450">
        <v>11.049999999999999</v>
      </c>
      <c r="X450">
        <v>95.59</v>
      </c>
      <c r="Y450">
        <v>182.77925925925925</v>
      </c>
    </row>
    <row r="451" spans="1:25" x14ac:dyDescent="0.35">
      <c r="A451" t="s">
        <v>25</v>
      </c>
      <c r="B451" t="s">
        <v>1465</v>
      </c>
      <c r="C451" t="str">
        <f>VLOOKUP(B451,Tabelle3!A:C,2,FALSE)</f>
        <v>Nord</v>
      </c>
      <c r="D451" t="s">
        <v>27</v>
      </c>
      <c r="E451" t="s">
        <v>1462</v>
      </c>
      <c r="F451" t="s">
        <v>1466</v>
      </c>
      <c r="G451">
        <v>21683</v>
      </c>
      <c r="H451" t="s">
        <v>1440</v>
      </c>
      <c r="I451" t="s">
        <v>1464</v>
      </c>
      <c r="J451" t="s">
        <v>765</v>
      </c>
      <c r="K451">
        <v>27395</v>
      </c>
      <c r="L451" t="s">
        <v>69</v>
      </c>
      <c r="M451" t="s">
        <v>70</v>
      </c>
      <c r="N451" t="s">
        <v>69</v>
      </c>
      <c r="O451" t="s">
        <v>25</v>
      </c>
      <c r="P451" t="s">
        <v>71</v>
      </c>
      <c r="Q451" t="s">
        <v>71</v>
      </c>
      <c r="R451" t="s">
        <v>71</v>
      </c>
      <c r="S451">
        <v>0.60750000000000004</v>
      </c>
      <c r="T451" t="s">
        <v>47</v>
      </c>
      <c r="U451">
        <v>16.899999999999999</v>
      </c>
      <c r="V451">
        <v>14</v>
      </c>
      <c r="W451">
        <v>11.9</v>
      </c>
      <c r="X451">
        <v>95.59</v>
      </c>
      <c r="Y451">
        <v>182.77925925925925</v>
      </c>
    </row>
    <row r="452" spans="1:25" x14ac:dyDescent="0.35">
      <c r="A452" t="s">
        <v>25</v>
      </c>
      <c r="B452" t="s">
        <v>1467</v>
      </c>
      <c r="C452" t="str">
        <f>VLOOKUP(B452,Tabelle3!A:C,2,FALSE)</f>
        <v>Nord</v>
      </c>
      <c r="D452" t="s">
        <v>27</v>
      </c>
      <c r="E452" t="s">
        <v>1462</v>
      </c>
      <c r="F452" t="s">
        <v>1468</v>
      </c>
      <c r="G452">
        <v>21683</v>
      </c>
      <c r="H452" t="s">
        <v>1440</v>
      </c>
      <c r="I452" t="s">
        <v>1464</v>
      </c>
      <c r="J452" t="s">
        <v>765</v>
      </c>
      <c r="K452">
        <v>41745</v>
      </c>
      <c r="L452" t="s">
        <v>33</v>
      </c>
      <c r="M452" t="s">
        <v>34</v>
      </c>
      <c r="N452" t="s">
        <v>33</v>
      </c>
      <c r="O452" t="s">
        <v>25</v>
      </c>
      <c r="P452" t="s">
        <v>87</v>
      </c>
      <c r="Q452" t="s">
        <v>33</v>
      </c>
      <c r="R452" t="s">
        <v>46</v>
      </c>
      <c r="S452">
        <v>0.60750000000000004</v>
      </c>
      <c r="T452" t="s">
        <v>47</v>
      </c>
      <c r="U452">
        <v>47.970999999999997</v>
      </c>
      <c r="V452">
        <v>44.975000000000001</v>
      </c>
      <c r="W452">
        <v>39.128250000000001</v>
      </c>
      <c r="X452">
        <v>40.69</v>
      </c>
      <c r="Y452">
        <v>91.424855967078173</v>
      </c>
    </row>
    <row r="453" spans="1:25" x14ac:dyDescent="0.35">
      <c r="A453" t="s">
        <v>25</v>
      </c>
      <c r="B453" t="s">
        <v>1469</v>
      </c>
      <c r="C453" t="str">
        <f>VLOOKUP(B453,Tabelle3!A:C,2,FALSE)</f>
        <v>Nord</v>
      </c>
      <c r="D453" t="s">
        <v>27</v>
      </c>
      <c r="E453" t="s">
        <v>1462</v>
      </c>
      <c r="F453" t="s">
        <v>1470</v>
      </c>
      <c r="G453">
        <v>21683</v>
      </c>
      <c r="H453" t="s">
        <v>1440</v>
      </c>
      <c r="I453" t="s">
        <v>1464</v>
      </c>
      <c r="J453" t="s">
        <v>765</v>
      </c>
      <c r="K453">
        <v>41705</v>
      </c>
      <c r="L453" t="s">
        <v>33</v>
      </c>
      <c r="M453" t="s">
        <v>34</v>
      </c>
      <c r="N453" t="s">
        <v>33</v>
      </c>
      <c r="O453" t="s">
        <v>25</v>
      </c>
      <c r="P453" t="s">
        <v>87</v>
      </c>
      <c r="Q453" t="s">
        <v>33</v>
      </c>
      <c r="R453" t="s">
        <v>46</v>
      </c>
      <c r="S453">
        <v>0.60750000000000004</v>
      </c>
      <c r="T453" t="s">
        <v>47</v>
      </c>
      <c r="U453">
        <v>47.645000000000003</v>
      </c>
      <c r="V453">
        <v>44.975000000000001</v>
      </c>
      <c r="W453">
        <v>39.128250000000001</v>
      </c>
      <c r="X453">
        <v>40.69</v>
      </c>
      <c r="Y453">
        <v>91.424855967078173</v>
      </c>
    </row>
    <row r="454" spans="1:25" x14ac:dyDescent="0.35">
      <c r="A454" t="s">
        <v>25</v>
      </c>
      <c r="B454" t="s">
        <v>1471</v>
      </c>
      <c r="C454" t="str">
        <f>VLOOKUP(B454,Tabelle3!A:C,2,FALSE)</f>
        <v>Nord</v>
      </c>
      <c r="D454" t="s">
        <v>27</v>
      </c>
      <c r="E454" t="s">
        <v>1462</v>
      </c>
      <c r="F454" t="s">
        <v>1472</v>
      </c>
      <c r="G454">
        <v>21683</v>
      </c>
      <c r="H454" t="s">
        <v>1440</v>
      </c>
      <c r="I454" t="s">
        <v>1464</v>
      </c>
      <c r="J454" t="s">
        <v>765</v>
      </c>
      <c r="K454">
        <v>41723</v>
      </c>
      <c r="L454" t="s">
        <v>33</v>
      </c>
      <c r="M454" t="s">
        <v>34</v>
      </c>
      <c r="N454" t="s">
        <v>33</v>
      </c>
      <c r="O454" t="s">
        <v>25</v>
      </c>
      <c r="P454" t="s">
        <v>87</v>
      </c>
      <c r="Q454" t="s">
        <v>33</v>
      </c>
      <c r="R454" t="s">
        <v>46</v>
      </c>
      <c r="S454">
        <v>0.60750000000000004</v>
      </c>
      <c r="T454" t="s">
        <v>47</v>
      </c>
      <c r="U454">
        <v>47.351999999999997</v>
      </c>
      <c r="V454">
        <v>44.975000000000001</v>
      </c>
      <c r="W454">
        <v>39.128250000000001</v>
      </c>
      <c r="X454">
        <v>40.69</v>
      </c>
      <c r="Y454">
        <v>91.424855967078173</v>
      </c>
    </row>
    <row r="455" spans="1:25" x14ac:dyDescent="0.35">
      <c r="A455" t="s">
        <v>25</v>
      </c>
      <c r="B455" t="s">
        <v>1473</v>
      </c>
      <c r="C455" t="str">
        <f>VLOOKUP(B455,Tabelle3!A:C,2,FALSE)</f>
        <v>Nord</v>
      </c>
      <c r="D455" t="s">
        <v>27</v>
      </c>
      <c r="E455" t="s">
        <v>1474</v>
      </c>
      <c r="F455" t="s">
        <v>1475</v>
      </c>
      <c r="G455">
        <v>37213</v>
      </c>
      <c r="H455" t="s">
        <v>1448</v>
      </c>
      <c r="I455" t="s">
        <v>1449</v>
      </c>
      <c r="J455" t="s">
        <v>865</v>
      </c>
      <c r="K455">
        <v>27576</v>
      </c>
      <c r="L455" t="s">
        <v>33</v>
      </c>
      <c r="M455" t="s">
        <v>34</v>
      </c>
      <c r="N455" t="s">
        <v>33</v>
      </c>
      <c r="O455" t="s">
        <v>25</v>
      </c>
      <c r="P455" t="s">
        <v>266</v>
      </c>
      <c r="Q455" t="s">
        <v>33</v>
      </c>
      <c r="R455" t="s">
        <v>46</v>
      </c>
      <c r="S455">
        <v>0.33</v>
      </c>
      <c r="T455" t="s">
        <v>108</v>
      </c>
      <c r="U455">
        <v>13.2</v>
      </c>
      <c r="V455">
        <v>12.8</v>
      </c>
      <c r="W455">
        <v>11.136000000000001</v>
      </c>
      <c r="X455">
        <v>40.69</v>
      </c>
      <c r="Y455">
        <v>167.04348484848484</v>
      </c>
    </row>
    <row r="456" spans="1:25" x14ac:dyDescent="0.35">
      <c r="A456" t="s">
        <v>25</v>
      </c>
      <c r="B456" t="s">
        <v>1476</v>
      </c>
      <c r="C456" t="str">
        <f>VLOOKUP(B456,Tabelle3!A:C,2,FALSE)</f>
        <v>Nord</v>
      </c>
      <c r="D456" t="s">
        <v>27</v>
      </c>
      <c r="E456" t="s">
        <v>1477</v>
      </c>
      <c r="F456" t="s">
        <v>1478</v>
      </c>
      <c r="G456">
        <v>30659</v>
      </c>
      <c r="H456" t="s">
        <v>1479</v>
      </c>
      <c r="I456" t="s">
        <v>1480</v>
      </c>
      <c r="J456" t="s">
        <v>765</v>
      </c>
      <c r="K456">
        <v>38504</v>
      </c>
      <c r="L456" t="s">
        <v>171</v>
      </c>
      <c r="M456" t="s">
        <v>172</v>
      </c>
      <c r="N456" t="s">
        <v>173</v>
      </c>
      <c r="O456" t="s">
        <v>25</v>
      </c>
      <c r="P456" t="s">
        <v>82</v>
      </c>
      <c r="Q456" t="s">
        <v>173</v>
      </c>
      <c r="R456" t="s">
        <v>173</v>
      </c>
      <c r="S456">
        <v>0.33</v>
      </c>
      <c r="T456" t="s">
        <v>47</v>
      </c>
      <c r="U456">
        <v>29.6</v>
      </c>
      <c r="V456">
        <v>27.2</v>
      </c>
      <c r="W456">
        <v>23.119999999999997</v>
      </c>
      <c r="X456">
        <v>0</v>
      </c>
      <c r="Y456">
        <v>1</v>
      </c>
    </row>
    <row r="457" spans="1:25" x14ac:dyDescent="0.35">
      <c r="A457" t="s">
        <v>25</v>
      </c>
      <c r="B457" t="s">
        <v>1481</v>
      </c>
      <c r="C457" t="str">
        <f>VLOOKUP(B457,Tabelle3!A:C,2,FALSE)</f>
        <v>Nord</v>
      </c>
      <c r="D457" t="s">
        <v>27</v>
      </c>
      <c r="E457" t="s">
        <v>1482</v>
      </c>
      <c r="F457" t="s">
        <v>1483</v>
      </c>
      <c r="G457">
        <v>38372</v>
      </c>
      <c r="H457" t="s">
        <v>1484</v>
      </c>
      <c r="I457" t="s">
        <v>1485</v>
      </c>
      <c r="J457" t="s">
        <v>765</v>
      </c>
      <c r="K457">
        <v>41640</v>
      </c>
      <c r="L457" t="s">
        <v>171</v>
      </c>
      <c r="M457" t="s">
        <v>172</v>
      </c>
      <c r="N457" t="s">
        <v>173</v>
      </c>
      <c r="O457" t="s">
        <v>44</v>
      </c>
      <c r="P457" t="s">
        <v>45</v>
      </c>
      <c r="Q457" t="s">
        <v>173</v>
      </c>
      <c r="R457" t="s">
        <v>173</v>
      </c>
      <c r="S457">
        <v>0.33</v>
      </c>
      <c r="T457" t="s">
        <v>47</v>
      </c>
      <c r="U457">
        <v>42.3</v>
      </c>
      <c r="V457">
        <v>37.5</v>
      </c>
      <c r="W457">
        <v>31.875</v>
      </c>
      <c r="X457">
        <v>0</v>
      </c>
      <c r="Y457">
        <v>1</v>
      </c>
    </row>
    <row r="458" spans="1:25" x14ac:dyDescent="0.35">
      <c r="A458" t="s">
        <v>25</v>
      </c>
      <c r="B458" t="s">
        <v>1486</v>
      </c>
      <c r="C458" t="s">
        <v>4080</v>
      </c>
      <c r="D458" t="s">
        <v>27</v>
      </c>
      <c r="E458" t="s">
        <v>1487</v>
      </c>
      <c r="F458" t="s">
        <v>1488</v>
      </c>
      <c r="G458">
        <v>22145</v>
      </c>
      <c r="H458" t="s">
        <v>1489</v>
      </c>
      <c r="I458" t="s">
        <v>1490</v>
      </c>
      <c r="J458" t="s">
        <v>276</v>
      </c>
      <c r="K458">
        <v>29129</v>
      </c>
      <c r="L458" t="s">
        <v>171</v>
      </c>
      <c r="M458" t="s">
        <v>172</v>
      </c>
      <c r="N458" t="s">
        <v>173</v>
      </c>
      <c r="O458" t="s">
        <v>25</v>
      </c>
      <c r="P458" t="s">
        <v>82</v>
      </c>
      <c r="Q458" t="s">
        <v>173</v>
      </c>
      <c r="R458" t="s">
        <v>173</v>
      </c>
      <c r="S458">
        <v>0.33</v>
      </c>
      <c r="T458" t="s">
        <v>47</v>
      </c>
      <c r="U458">
        <v>16.399999999999999</v>
      </c>
      <c r="V458">
        <v>11.4</v>
      </c>
      <c r="W458">
        <v>9.69</v>
      </c>
      <c r="X458">
        <v>0</v>
      </c>
      <c r="Y458">
        <v>1</v>
      </c>
    </row>
    <row r="459" spans="1:25" x14ac:dyDescent="0.35">
      <c r="A459" t="s">
        <v>25</v>
      </c>
      <c r="B459" t="s">
        <v>1491</v>
      </c>
      <c r="C459" t="str">
        <f>VLOOKUP(B459,Tabelle3!A:C,2,FALSE)</f>
        <v>Nord</v>
      </c>
      <c r="D459" t="s">
        <v>27</v>
      </c>
      <c r="E459" t="s">
        <v>1492</v>
      </c>
      <c r="F459" t="s">
        <v>1493</v>
      </c>
      <c r="G459">
        <v>30449</v>
      </c>
      <c r="H459" t="s">
        <v>1479</v>
      </c>
      <c r="I459" t="s">
        <v>1494</v>
      </c>
      <c r="J459" t="s">
        <v>765</v>
      </c>
      <c r="K459">
        <v>40119</v>
      </c>
      <c r="L459" t="s">
        <v>33</v>
      </c>
      <c r="M459" t="s">
        <v>34</v>
      </c>
      <c r="N459" t="s">
        <v>33</v>
      </c>
      <c r="O459" t="s">
        <v>25</v>
      </c>
      <c r="P459" t="s">
        <v>35</v>
      </c>
      <c r="Q459" t="s">
        <v>33</v>
      </c>
      <c r="R459" t="s">
        <v>36</v>
      </c>
      <c r="S459">
        <v>0.55000000000000004</v>
      </c>
      <c r="T459" t="s">
        <v>47</v>
      </c>
      <c r="U459">
        <v>70.25</v>
      </c>
      <c r="V459">
        <v>70</v>
      </c>
      <c r="W459">
        <v>60.9</v>
      </c>
      <c r="X459">
        <v>40.69</v>
      </c>
      <c r="Y459">
        <v>100.32609090909089</v>
      </c>
    </row>
    <row r="460" spans="1:25" x14ac:dyDescent="0.35">
      <c r="A460" t="s">
        <v>25</v>
      </c>
      <c r="B460" t="s">
        <v>1495</v>
      </c>
      <c r="C460" t="str">
        <f>VLOOKUP(B460,Tabelle3!A:C,2,FALSE)</f>
        <v>Nord</v>
      </c>
      <c r="D460" t="s">
        <v>27</v>
      </c>
      <c r="E460" t="s">
        <v>1492</v>
      </c>
      <c r="F460" t="s">
        <v>1496</v>
      </c>
      <c r="G460">
        <v>30449</v>
      </c>
      <c r="H460" t="s">
        <v>1479</v>
      </c>
      <c r="I460" t="s">
        <v>1494</v>
      </c>
      <c r="J460" t="s">
        <v>765</v>
      </c>
      <c r="K460">
        <v>35236</v>
      </c>
      <c r="L460" t="s">
        <v>33</v>
      </c>
      <c r="M460" t="s">
        <v>34</v>
      </c>
      <c r="N460" t="s">
        <v>33</v>
      </c>
      <c r="O460" t="s">
        <v>25</v>
      </c>
      <c r="P460" t="s">
        <v>87</v>
      </c>
      <c r="Q460" t="s">
        <v>33</v>
      </c>
      <c r="R460" t="s">
        <v>46</v>
      </c>
      <c r="S460">
        <v>0.55000000000000004</v>
      </c>
      <c r="T460" t="s">
        <v>47</v>
      </c>
      <c r="U460">
        <v>79.400000000000006</v>
      </c>
      <c r="V460">
        <v>78</v>
      </c>
      <c r="W460">
        <v>67.86</v>
      </c>
      <c r="X460">
        <v>40.69</v>
      </c>
      <c r="Y460">
        <v>100.82609090909089</v>
      </c>
    </row>
    <row r="461" spans="1:25" x14ac:dyDescent="0.35">
      <c r="A461" t="s">
        <v>25</v>
      </c>
      <c r="B461" t="s">
        <v>1497</v>
      </c>
      <c r="C461" t="str">
        <f>VLOOKUP(B461,Tabelle3!A:C,2,FALSE)</f>
        <v>Nord</v>
      </c>
      <c r="D461" t="s">
        <v>27</v>
      </c>
      <c r="E461" t="s">
        <v>1492</v>
      </c>
      <c r="F461" t="s">
        <v>1498</v>
      </c>
      <c r="G461">
        <v>30449</v>
      </c>
      <c r="H461" t="s">
        <v>1479</v>
      </c>
      <c r="I461" t="s">
        <v>1494</v>
      </c>
      <c r="J461" t="s">
        <v>765</v>
      </c>
      <c r="K461">
        <v>40849</v>
      </c>
      <c r="L461" t="s">
        <v>33</v>
      </c>
      <c r="M461" t="s">
        <v>34</v>
      </c>
      <c r="N461" t="s">
        <v>33</v>
      </c>
      <c r="O461" t="s">
        <v>25</v>
      </c>
      <c r="P461" t="s">
        <v>35</v>
      </c>
      <c r="Q461" t="s">
        <v>33</v>
      </c>
      <c r="R461" t="s">
        <v>36</v>
      </c>
      <c r="S461">
        <v>0.55000000000000004</v>
      </c>
      <c r="T461" t="s">
        <v>47</v>
      </c>
      <c r="U461">
        <v>82.35</v>
      </c>
      <c r="V461">
        <v>82</v>
      </c>
      <c r="W461">
        <v>71.34</v>
      </c>
      <c r="X461">
        <v>40.69</v>
      </c>
      <c r="Y461">
        <v>100.32609090909089</v>
      </c>
    </row>
    <row r="462" spans="1:25" x14ac:dyDescent="0.35">
      <c r="A462" t="s">
        <v>25</v>
      </c>
      <c r="B462" t="s">
        <v>1499</v>
      </c>
      <c r="C462" t="s">
        <v>4080</v>
      </c>
      <c r="D462" t="s">
        <v>27</v>
      </c>
      <c r="E462" t="s">
        <v>1492</v>
      </c>
      <c r="F462" t="s">
        <v>1500</v>
      </c>
      <c r="G462">
        <v>30419</v>
      </c>
      <c r="H462" t="s">
        <v>1479</v>
      </c>
      <c r="I462" t="s">
        <v>1501</v>
      </c>
      <c r="J462" t="s">
        <v>765</v>
      </c>
      <c r="K462">
        <v>32680</v>
      </c>
      <c r="L462" t="s">
        <v>92</v>
      </c>
      <c r="M462" t="s">
        <v>93</v>
      </c>
      <c r="N462" t="s">
        <v>92</v>
      </c>
      <c r="O462" t="s">
        <v>25</v>
      </c>
      <c r="P462" t="s">
        <v>50</v>
      </c>
      <c r="Q462" t="s">
        <v>92</v>
      </c>
      <c r="R462" t="s">
        <v>92</v>
      </c>
      <c r="S462">
        <v>0.39750000000000002</v>
      </c>
      <c r="T462" t="s">
        <v>47</v>
      </c>
      <c r="U462">
        <v>150</v>
      </c>
      <c r="V462">
        <v>136</v>
      </c>
      <c r="W462">
        <v>108.80000000000001</v>
      </c>
      <c r="X462">
        <v>15.55</v>
      </c>
      <c r="Y462">
        <v>99.214339622641504</v>
      </c>
    </row>
    <row r="463" spans="1:25" x14ac:dyDescent="0.35">
      <c r="A463" t="s">
        <v>25</v>
      </c>
      <c r="B463" t="s">
        <v>1502</v>
      </c>
      <c r="C463" t="s">
        <v>4080</v>
      </c>
      <c r="D463" t="s">
        <v>27</v>
      </c>
      <c r="E463" t="s">
        <v>1492</v>
      </c>
      <c r="F463" t="s">
        <v>1503</v>
      </c>
      <c r="G463">
        <v>30419</v>
      </c>
      <c r="H463" t="s">
        <v>1479</v>
      </c>
      <c r="I463" t="s">
        <v>1501</v>
      </c>
      <c r="J463" t="s">
        <v>765</v>
      </c>
      <c r="K463">
        <v>32534</v>
      </c>
      <c r="L463" t="s">
        <v>92</v>
      </c>
      <c r="M463" t="s">
        <v>93</v>
      </c>
      <c r="N463" t="s">
        <v>92</v>
      </c>
      <c r="O463" t="s">
        <v>25</v>
      </c>
      <c r="P463" t="s">
        <v>50</v>
      </c>
      <c r="Q463" t="s">
        <v>92</v>
      </c>
      <c r="R463" t="s">
        <v>92</v>
      </c>
      <c r="S463">
        <v>0.39750000000000002</v>
      </c>
      <c r="T463" t="s">
        <v>47</v>
      </c>
      <c r="U463">
        <v>150</v>
      </c>
      <c r="V463">
        <v>136</v>
      </c>
      <c r="W463">
        <v>108.80000000000001</v>
      </c>
      <c r="X463">
        <v>15.55</v>
      </c>
      <c r="Y463">
        <v>99.214339622641504</v>
      </c>
    </row>
    <row r="464" spans="1:25" x14ac:dyDescent="0.35">
      <c r="A464" t="s">
        <v>25</v>
      </c>
      <c r="B464" t="s">
        <v>1504</v>
      </c>
      <c r="C464" t="str">
        <f>VLOOKUP(B464,Tabelle3!A:C,2,FALSE)</f>
        <v>Nord</v>
      </c>
      <c r="D464" t="s">
        <v>27</v>
      </c>
      <c r="E464" t="s">
        <v>1505</v>
      </c>
      <c r="F464" t="s">
        <v>1506</v>
      </c>
      <c r="G464">
        <v>31789</v>
      </c>
      <c r="H464" t="s">
        <v>1507</v>
      </c>
      <c r="I464" t="s">
        <v>1508</v>
      </c>
      <c r="J464" t="s">
        <v>765</v>
      </c>
      <c r="K464">
        <v>40087</v>
      </c>
      <c r="L464" t="s">
        <v>171</v>
      </c>
      <c r="M464" t="s">
        <v>172</v>
      </c>
      <c r="N464" t="s">
        <v>173</v>
      </c>
      <c r="O464" t="s">
        <v>25</v>
      </c>
      <c r="P464" t="s">
        <v>82</v>
      </c>
      <c r="Q464" t="s">
        <v>173</v>
      </c>
      <c r="R464" t="s">
        <v>173</v>
      </c>
      <c r="S464">
        <v>0.33</v>
      </c>
      <c r="T464" t="s">
        <v>47</v>
      </c>
      <c r="U464">
        <v>20.399999999999999</v>
      </c>
      <c r="V464">
        <v>12.26</v>
      </c>
      <c r="W464">
        <v>10.420999999999999</v>
      </c>
      <c r="X464">
        <v>0</v>
      </c>
      <c r="Y464">
        <v>1</v>
      </c>
    </row>
    <row r="465" spans="1:25" x14ac:dyDescent="0.35">
      <c r="A465" t="s">
        <v>25</v>
      </c>
      <c r="B465" t="s">
        <v>1509</v>
      </c>
      <c r="C465" t="str">
        <f>VLOOKUP(B465,Tabelle3!A:C,2,FALSE)</f>
        <v>Nord</v>
      </c>
      <c r="D465" t="s">
        <v>27</v>
      </c>
      <c r="E465" t="s">
        <v>1505</v>
      </c>
      <c r="F465" t="s">
        <v>1510</v>
      </c>
      <c r="G465">
        <v>31789</v>
      </c>
      <c r="H465" t="s">
        <v>1507</v>
      </c>
      <c r="I465" t="s">
        <v>1508</v>
      </c>
      <c r="J465" t="s">
        <v>765</v>
      </c>
      <c r="K465">
        <v>19211</v>
      </c>
      <c r="L465" t="s">
        <v>171</v>
      </c>
      <c r="M465" t="s">
        <v>172</v>
      </c>
      <c r="N465" t="s">
        <v>173</v>
      </c>
      <c r="O465" t="s">
        <v>44</v>
      </c>
      <c r="P465" t="s">
        <v>45</v>
      </c>
      <c r="Q465" t="s">
        <v>173</v>
      </c>
      <c r="R465" t="s">
        <v>173</v>
      </c>
      <c r="S465">
        <v>0.33</v>
      </c>
      <c r="T465" t="s">
        <v>47</v>
      </c>
      <c r="U465">
        <v>20</v>
      </c>
      <c r="V465">
        <v>12.62</v>
      </c>
      <c r="W465">
        <v>10.726999999999999</v>
      </c>
      <c r="X465">
        <v>0</v>
      </c>
      <c r="Y465">
        <v>1</v>
      </c>
    </row>
    <row r="466" spans="1:25" x14ac:dyDescent="0.35">
      <c r="A466" t="s">
        <v>25</v>
      </c>
      <c r="B466" t="s">
        <v>1511</v>
      </c>
      <c r="C466" t="str">
        <f>VLOOKUP(B466,Tabelle3!A:C,2,FALSE)</f>
        <v>Süd</v>
      </c>
      <c r="D466" t="s">
        <v>27</v>
      </c>
      <c r="E466" t="s">
        <v>1512</v>
      </c>
      <c r="F466" t="s">
        <v>1513</v>
      </c>
      <c r="G466">
        <v>91052</v>
      </c>
      <c r="H466" t="s">
        <v>1514</v>
      </c>
      <c r="I466" t="s">
        <v>1515</v>
      </c>
      <c r="J466" t="s">
        <v>701</v>
      </c>
      <c r="K466">
        <v>38609</v>
      </c>
      <c r="L466" t="s">
        <v>33</v>
      </c>
      <c r="M466" t="s">
        <v>34</v>
      </c>
      <c r="N466" t="s">
        <v>33</v>
      </c>
      <c r="O466" t="s">
        <v>25</v>
      </c>
      <c r="P466" t="s">
        <v>35</v>
      </c>
      <c r="Q466" t="s">
        <v>33</v>
      </c>
      <c r="R466" t="s">
        <v>36</v>
      </c>
      <c r="S466">
        <v>0.5625</v>
      </c>
      <c r="T466" t="s">
        <v>47</v>
      </c>
      <c r="U466">
        <v>12.7</v>
      </c>
      <c r="V466">
        <v>12.404999999999999</v>
      </c>
      <c r="W466">
        <v>10.792349999999999</v>
      </c>
      <c r="X466">
        <v>40.69</v>
      </c>
      <c r="Y466">
        <v>98.118844444444434</v>
      </c>
    </row>
    <row r="467" spans="1:25" x14ac:dyDescent="0.35">
      <c r="A467" t="s">
        <v>25</v>
      </c>
      <c r="B467" t="s">
        <v>1516</v>
      </c>
      <c r="C467" t="str">
        <f>VLOOKUP(B467,Tabelle3!A:C,2,FALSE)</f>
        <v>Süd</v>
      </c>
      <c r="D467" t="s">
        <v>27</v>
      </c>
      <c r="E467" t="s">
        <v>1512</v>
      </c>
      <c r="F467" t="s">
        <v>1517</v>
      </c>
      <c r="G467">
        <v>91052</v>
      </c>
      <c r="H467" t="s">
        <v>1514</v>
      </c>
      <c r="I467" t="s">
        <v>1515</v>
      </c>
      <c r="J467" t="s">
        <v>701</v>
      </c>
      <c r="K467">
        <v>44721</v>
      </c>
      <c r="L467" t="s">
        <v>33</v>
      </c>
      <c r="M467" t="s">
        <v>34</v>
      </c>
      <c r="N467" t="s">
        <v>33</v>
      </c>
      <c r="O467" t="s">
        <v>25</v>
      </c>
      <c r="P467" t="s">
        <v>82</v>
      </c>
      <c r="Q467" t="s">
        <v>33</v>
      </c>
      <c r="R467" t="s">
        <v>46</v>
      </c>
      <c r="S467">
        <v>0.63</v>
      </c>
      <c r="T467" t="s">
        <v>37</v>
      </c>
      <c r="U467">
        <v>17.027999999999999</v>
      </c>
      <c r="V467">
        <v>16.317</v>
      </c>
      <c r="W467">
        <v>14.195790000000001</v>
      </c>
      <c r="X467">
        <v>40.69</v>
      </c>
      <c r="Y467">
        <v>88.213253968253966</v>
      </c>
    </row>
    <row r="468" spans="1:25" x14ac:dyDescent="0.35">
      <c r="A468" t="s">
        <v>25</v>
      </c>
      <c r="B468" t="s">
        <v>1518</v>
      </c>
      <c r="C468" t="str">
        <f>VLOOKUP(B468,Tabelle3!A:C,2,FALSE)</f>
        <v>Nord</v>
      </c>
      <c r="D468" t="s">
        <v>27</v>
      </c>
      <c r="E468" t="s">
        <v>1519</v>
      </c>
      <c r="F468" t="s">
        <v>1520</v>
      </c>
      <c r="G468">
        <v>26197</v>
      </c>
      <c r="H468" t="s">
        <v>1521</v>
      </c>
      <c r="I468" t="s">
        <v>1522</v>
      </c>
      <c r="J468" t="s">
        <v>765</v>
      </c>
      <c r="K468">
        <v>41764</v>
      </c>
      <c r="L468" t="s">
        <v>33</v>
      </c>
      <c r="M468" t="s">
        <v>34</v>
      </c>
      <c r="N468" t="s">
        <v>33</v>
      </c>
      <c r="O468" t="s">
        <v>25</v>
      </c>
      <c r="P468" t="s">
        <v>87</v>
      </c>
      <c r="Q468" t="s">
        <v>33</v>
      </c>
      <c r="R468" t="s">
        <v>46</v>
      </c>
      <c r="S468">
        <v>0.58499999999999996</v>
      </c>
      <c r="T468" t="s">
        <v>37</v>
      </c>
      <c r="U468">
        <v>30.495999999999999</v>
      </c>
      <c r="V468">
        <v>30.16</v>
      </c>
      <c r="W468">
        <v>26.2392</v>
      </c>
      <c r="X468">
        <v>40.69</v>
      </c>
      <c r="Y468">
        <v>94.883504273504272</v>
      </c>
    </row>
    <row r="469" spans="1:25" x14ac:dyDescent="0.35">
      <c r="A469" t="s">
        <v>25</v>
      </c>
      <c r="B469" t="s">
        <v>1523</v>
      </c>
      <c r="C469" t="s">
        <v>4081</v>
      </c>
      <c r="D469" t="s">
        <v>27</v>
      </c>
      <c r="E469" t="s">
        <v>1524</v>
      </c>
      <c r="F469" t="s">
        <v>1525</v>
      </c>
      <c r="G469">
        <v>89340</v>
      </c>
      <c r="H469" t="s">
        <v>1526</v>
      </c>
      <c r="I469" t="s">
        <v>1527</v>
      </c>
      <c r="J469" t="s">
        <v>701</v>
      </c>
      <c r="K469">
        <v>45138</v>
      </c>
      <c r="L469" t="s">
        <v>33</v>
      </c>
      <c r="M469" t="s">
        <v>34</v>
      </c>
      <c r="N469" t="s">
        <v>33</v>
      </c>
      <c r="O469" t="s">
        <v>44</v>
      </c>
      <c r="P469" t="s">
        <v>62</v>
      </c>
      <c r="Q469" t="s">
        <v>33</v>
      </c>
      <c r="R469" t="s">
        <v>36</v>
      </c>
      <c r="S469">
        <v>0.4</v>
      </c>
      <c r="T469" t="s">
        <v>1300</v>
      </c>
      <c r="U469">
        <v>311.60000000000002</v>
      </c>
      <c r="V469">
        <v>310</v>
      </c>
      <c r="W469">
        <v>269.7</v>
      </c>
      <c r="X469">
        <v>40.69</v>
      </c>
      <c r="Y469">
        <v>137.573375</v>
      </c>
    </row>
    <row r="470" spans="1:25" x14ac:dyDescent="0.35">
      <c r="A470" t="s">
        <v>25</v>
      </c>
      <c r="B470" t="s">
        <v>1528</v>
      </c>
      <c r="C470" t="str">
        <f>VLOOKUP(B470,Tabelle3!A:C,2,FALSE)</f>
        <v>Nord</v>
      </c>
      <c r="D470" t="s">
        <v>27</v>
      </c>
      <c r="E470" t="s">
        <v>1529</v>
      </c>
      <c r="F470" t="s">
        <v>1530</v>
      </c>
      <c r="G470">
        <v>28237</v>
      </c>
      <c r="H470" t="s">
        <v>1531</v>
      </c>
      <c r="I470" t="s">
        <v>1532</v>
      </c>
      <c r="J470" t="s">
        <v>1531</v>
      </c>
      <c r="K470">
        <v>41830</v>
      </c>
      <c r="L470" t="s">
        <v>33</v>
      </c>
      <c r="M470" t="s">
        <v>34</v>
      </c>
      <c r="N470" t="s">
        <v>33</v>
      </c>
      <c r="O470" t="s">
        <v>44</v>
      </c>
      <c r="P470" t="s">
        <v>35</v>
      </c>
      <c r="Q470" t="s">
        <v>33</v>
      </c>
      <c r="R470" t="s">
        <v>36</v>
      </c>
      <c r="S470">
        <v>0.61199999999999999</v>
      </c>
      <c r="T470" t="s">
        <v>47</v>
      </c>
      <c r="U470">
        <v>460</v>
      </c>
      <c r="V470">
        <v>444.5</v>
      </c>
      <c r="W470">
        <v>386.71499999999997</v>
      </c>
      <c r="X470">
        <v>40.69</v>
      </c>
      <c r="Y470">
        <v>90.26364379084967</v>
      </c>
    </row>
    <row r="471" spans="1:25" x14ac:dyDescent="0.35">
      <c r="A471" t="s">
        <v>25</v>
      </c>
      <c r="B471" t="s">
        <v>1533</v>
      </c>
      <c r="C471" t="str">
        <f>VLOOKUP(B471,Tabelle3!A:C,2,FALSE)</f>
        <v>Süd</v>
      </c>
      <c r="D471" t="s">
        <v>27</v>
      </c>
      <c r="E471" t="s">
        <v>1534</v>
      </c>
      <c r="F471" t="s">
        <v>1535</v>
      </c>
      <c r="G471">
        <v>85088</v>
      </c>
      <c r="H471" t="s">
        <v>1536</v>
      </c>
      <c r="I471" t="s">
        <v>1537</v>
      </c>
      <c r="J471" t="s">
        <v>701</v>
      </c>
      <c r="K471">
        <v>40179</v>
      </c>
      <c r="L471" t="s">
        <v>33</v>
      </c>
      <c r="M471" t="s">
        <v>34</v>
      </c>
      <c r="N471" t="s">
        <v>33</v>
      </c>
      <c r="O471" t="s">
        <v>44</v>
      </c>
      <c r="P471" t="s">
        <v>35</v>
      </c>
      <c r="Q471" t="s">
        <v>33</v>
      </c>
      <c r="R471" t="s">
        <v>36</v>
      </c>
      <c r="S471">
        <v>0.59699999999999998</v>
      </c>
      <c r="T471" t="s">
        <v>47</v>
      </c>
      <c r="U471">
        <v>286</v>
      </c>
      <c r="V471">
        <v>282</v>
      </c>
      <c r="W471">
        <v>245.34</v>
      </c>
      <c r="X471">
        <v>40.69</v>
      </c>
      <c r="Y471">
        <v>92.506448911222776</v>
      </c>
    </row>
    <row r="472" spans="1:25" x14ac:dyDescent="0.35">
      <c r="A472" t="s">
        <v>25</v>
      </c>
      <c r="B472" t="s">
        <v>1538</v>
      </c>
      <c r="C472" t="str">
        <f>VLOOKUP(B472,Tabelle3!A:C,2,FALSE)</f>
        <v>Süd</v>
      </c>
      <c r="D472" t="s">
        <v>27</v>
      </c>
      <c r="E472" t="s">
        <v>1534</v>
      </c>
      <c r="F472" t="s">
        <v>1539</v>
      </c>
      <c r="G472">
        <v>85088</v>
      </c>
      <c r="H472" t="s">
        <v>1536</v>
      </c>
      <c r="I472" t="s">
        <v>1537</v>
      </c>
      <c r="J472" t="s">
        <v>701</v>
      </c>
      <c r="K472">
        <v>40179</v>
      </c>
      <c r="L472" t="s">
        <v>33</v>
      </c>
      <c r="M472" t="s">
        <v>34</v>
      </c>
      <c r="N472" t="s">
        <v>33</v>
      </c>
      <c r="O472" t="s">
        <v>44</v>
      </c>
      <c r="P472" t="s">
        <v>35</v>
      </c>
      <c r="Q472" t="s">
        <v>33</v>
      </c>
      <c r="R472" t="s">
        <v>36</v>
      </c>
      <c r="S472">
        <v>0.59699999999999998</v>
      </c>
      <c r="T472" t="s">
        <v>47</v>
      </c>
      <c r="U472">
        <v>287</v>
      </c>
      <c r="V472">
        <v>282</v>
      </c>
      <c r="W472">
        <v>245.34</v>
      </c>
      <c r="X472">
        <v>40.69</v>
      </c>
      <c r="Y472">
        <v>92.506448911222776</v>
      </c>
    </row>
    <row r="473" spans="1:25" x14ac:dyDescent="0.35">
      <c r="A473" t="s">
        <v>25</v>
      </c>
      <c r="B473" t="s">
        <v>1540</v>
      </c>
      <c r="C473" t="str">
        <f>VLOOKUP(B473,Tabelle3!A:C,2,FALSE)</f>
        <v>Süd</v>
      </c>
      <c r="D473" t="s">
        <v>27</v>
      </c>
      <c r="E473" t="s">
        <v>1534</v>
      </c>
      <c r="F473" t="s">
        <v>1541</v>
      </c>
      <c r="G473">
        <v>85088</v>
      </c>
      <c r="H473" t="s">
        <v>1536</v>
      </c>
      <c r="I473" t="s">
        <v>1537</v>
      </c>
      <c r="J473" t="s">
        <v>701</v>
      </c>
      <c r="K473">
        <v>40179</v>
      </c>
      <c r="L473" t="s">
        <v>33</v>
      </c>
      <c r="M473" t="s">
        <v>34</v>
      </c>
      <c r="N473" t="s">
        <v>33</v>
      </c>
      <c r="O473" t="s">
        <v>44</v>
      </c>
      <c r="P473" t="s">
        <v>35</v>
      </c>
      <c r="Q473" t="s">
        <v>33</v>
      </c>
      <c r="R473" t="s">
        <v>36</v>
      </c>
      <c r="S473">
        <v>0.59699999999999998</v>
      </c>
      <c r="T473" t="s">
        <v>47</v>
      </c>
      <c r="U473">
        <v>287</v>
      </c>
      <c r="V473">
        <v>282</v>
      </c>
      <c r="W473">
        <v>245.34</v>
      </c>
      <c r="X473">
        <v>40.69</v>
      </c>
      <c r="Y473">
        <v>92.506448911222776</v>
      </c>
    </row>
    <row r="474" spans="1:25" x14ac:dyDescent="0.35">
      <c r="A474" t="s">
        <v>25</v>
      </c>
      <c r="B474" t="s">
        <v>1542</v>
      </c>
      <c r="C474" t="str">
        <f>VLOOKUP(B474,Tabelle3!A:C,2,FALSE)</f>
        <v>Nord</v>
      </c>
      <c r="D474" t="s">
        <v>27</v>
      </c>
      <c r="E474" t="s">
        <v>1543</v>
      </c>
      <c r="F474" t="s">
        <v>1544</v>
      </c>
      <c r="G474">
        <v>37075</v>
      </c>
      <c r="H474" t="s">
        <v>1545</v>
      </c>
      <c r="I474" t="s">
        <v>1546</v>
      </c>
      <c r="J474" t="s">
        <v>765</v>
      </c>
      <c r="K474">
        <v>35796</v>
      </c>
      <c r="L474" t="s">
        <v>33</v>
      </c>
      <c r="M474" t="s">
        <v>34</v>
      </c>
      <c r="N474" t="s">
        <v>33</v>
      </c>
      <c r="O474" t="s">
        <v>25</v>
      </c>
      <c r="P474" t="s">
        <v>87</v>
      </c>
      <c r="Q474" t="s">
        <v>33</v>
      </c>
      <c r="R474" t="s">
        <v>46</v>
      </c>
      <c r="S474">
        <v>0.38279999999999997</v>
      </c>
      <c r="T474" t="s">
        <v>47</v>
      </c>
      <c r="U474">
        <v>19.5</v>
      </c>
      <c r="V474">
        <v>18.8</v>
      </c>
      <c r="W474">
        <v>16.356000000000002</v>
      </c>
      <c r="X474">
        <v>40.69</v>
      </c>
      <c r="Y474">
        <v>144.20990073145245</v>
      </c>
    </row>
    <row r="475" spans="1:25" x14ac:dyDescent="0.35">
      <c r="A475" t="s">
        <v>25</v>
      </c>
      <c r="B475" t="s">
        <v>1547</v>
      </c>
      <c r="C475" t="s">
        <v>4081</v>
      </c>
      <c r="D475" t="s">
        <v>27</v>
      </c>
      <c r="E475" t="s">
        <v>1548</v>
      </c>
      <c r="F475" t="s">
        <v>1510</v>
      </c>
      <c r="G475">
        <v>97424</v>
      </c>
      <c r="H475" t="s">
        <v>1549</v>
      </c>
      <c r="I475" t="s">
        <v>1550</v>
      </c>
      <c r="J475" t="s">
        <v>701</v>
      </c>
      <c r="K475">
        <v>33025</v>
      </c>
      <c r="L475" t="s">
        <v>92</v>
      </c>
      <c r="M475" t="s">
        <v>93</v>
      </c>
      <c r="N475" t="s">
        <v>92</v>
      </c>
      <c r="O475" t="s">
        <v>25</v>
      </c>
      <c r="P475" t="s">
        <v>266</v>
      </c>
      <c r="Q475" t="s">
        <v>92</v>
      </c>
      <c r="R475" t="s">
        <v>92</v>
      </c>
      <c r="S475">
        <v>0.33</v>
      </c>
      <c r="T475" t="s">
        <v>47</v>
      </c>
      <c r="U475">
        <v>11.8</v>
      </c>
      <c r="V475">
        <v>10.199999999999999</v>
      </c>
      <c r="W475">
        <v>8.16</v>
      </c>
      <c r="X475">
        <v>15.55</v>
      </c>
      <c r="Y475">
        <v>119.24227272727272</v>
      </c>
    </row>
    <row r="476" spans="1:25" x14ac:dyDescent="0.35">
      <c r="A476" t="s">
        <v>25</v>
      </c>
      <c r="B476" t="s">
        <v>1551</v>
      </c>
      <c r="C476" t="s">
        <v>4081</v>
      </c>
      <c r="D476" t="s">
        <v>27</v>
      </c>
      <c r="E476" t="s">
        <v>1548</v>
      </c>
      <c r="F476" t="s">
        <v>704</v>
      </c>
      <c r="G476">
        <v>97424</v>
      </c>
      <c r="H476" t="s">
        <v>1549</v>
      </c>
      <c r="I476" t="s">
        <v>1550</v>
      </c>
      <c r="J476" t="s">
        <v>701</v>
      </c>
      <c r="K476">
        <v>33025</v>
      </c>
      <c r="L476" t="s">
        <v>92</v>
      </c>
      <c r="M476" t="s">
        <v>93</v>
      </c>
      <c r="N476" t="s">
        <v>92</v>
      </c>
      <c r="O476" t="s">
        <v>25</v>
      </c>
      <c r="P476" t="s">
        <v>82</v>
      </c>
      <c r="Q476" t="s">
        <v>92</v>
      </c>
      <c r="R476" t="s">
        <v>92</v>
      </c>
      <c r="S476">
        <v>0.33</v>
      </c>
      <c r="T476" t="s">
        <v>47</v>
      </c>
      <c r="U476">
        <v>16.8</v>
      </c>
      <c r="V476">
        <v>14.2</v>
      </c>
      <c r="W476">
        <v>11.36</v>
      </c>
      <c r="X476">
        <v>15.55</v>
      </c>
      <c r="Y476">
        <v>119.24227272727272</v>
      </c>
    </row>
    <row r="477" spans="1:25" x14ac:dyDescent="0.35">
      <c r="A477" t="s">
        <v>25</v>
      </c>
      <c r="B477" t="s">
        <v>1552</v>
      </c>
      <c r="C477" t="s">
        <v>4081</v>
      </c>
      <c r="D477" t="s">
        <v>27</v>
      </c>
      <c r="E477" t="s">
        <v>1553</v>
      </c>
      <c r="F477" t="s">
        <v>1554</v>
      </c>
      <c r="G477">
        <v>85456</v>
      </c>
      <c r="H477" t="s">
        <v>1555</v>
      </c>
      <c r="I477" t="s">
        <v>1556</v>
      </c>
      <c r="J477" t="s">
        <v>701</v>
      </c>
      <c r="K477">
        <v>41244</v>
      </c>
      <c r="L477" t="s">
        <v>33</v>
      </c>
      <c r="M477" t="s">
        <v>34</v>
      </c>
      <c r="N477" t="s">
        <v>33</v>
      </c>
      <c r="O477" t="s">
        <v>44</v>
      </c>
      <c r="P477" t="s">
        <v>137</v>
      </c>
      <c r="Q477" t="s">
        <v>33</v>
      </c>
      <c r="R477" t="s">
        <v>46</v>
      </c>
      <c r="S477">
        <v>0.41120000000000001</v>
      </c>
      <c r="T477" t="s">
        <v>37</v>
      </c>
      <c r="U477">
        <v>68.912999999999997</v>
      </c>
      <c r="V477">
        <v>68.912999999999997</v>
      </c>
      <c r="W477">
        <v>59.95431</v>
      </c>
      <c r="X477">
        <v>40.69</v>
      </c>
      <c r="Y477">
        <v>134.35347762645912</v>
      </c>
    </row>
    <row r="478" spans="1:25" x14ac:dyDescent="0.35">
      <c r="A478" t="s">
        <v>25</v>
      </c>
      <c r="B478" t="s">
        <v>1557</v>
      </c>
      <c r="C478" t="str">
        <f>VLOOKUP(B478,Tabelle3!A:C,2,FALSE)</f>
        <v>Süd</v>
      </c>
      <c r="D478" t="s">
        <v>27</v>
      </c>
      <c r="E478" t="s">
        <v>1558</v>
      </c>
      <c r="F478" t="s">
        <v>1559</v>
      </c>
      <c r="G478">
        <v>84508</v>
      </c>
      <c r="H478" t="s">
        <v>1560</v>
      </c>
      <c r="I478" t="s">
        <v>1561</v>
      </c>
      <c r="J478" t="s">
        <v>701</v>
      </c>
      <c r="K478">
        <v>24654</v>
      </c>
      <c r="L478" t="s">
        <v>33</v>
      </c>
      <c r="M478" t="s">
        <v>34</v>
      </c>
      <c r="N478" t="s">
        <v>33</v>
      </c>
      <c r="O478" t="s">
        <v>25</v>
      </c>
      <c r="P478" t="s">
        <v>71</v>
      </c>
      <c r="Q478" t="s">
        <v>33</v>
      </c>
      <c r="R478" t="s">
        <v>46</v>
      </c>
      <c r="S478">
        <v>0.38719999999999999</v>
      </c>
      <c r="T478" t="s">
        <v>47</v>
      </c>
      <c r="U478">
        <v>73.563000000000002</v>
      </c>
      <c r="V478">
        <v>72.459999999999994</v>
      </c>
      <c r="W478">
        <v>63.040199999999992</v>
      </c>
      <c r="X478">
        <v>40.69</v>
      </c>
      <c r="Y478">
        <v>142.58819731404958</v>
      </c>
    </row>
    <row r="479" spans="1:25" x14ac:dyDescent="0.35">
      <c r="A479" t="s">
        <v>25</v>
      </c>
      <c r="B479" t="s">
        <v>1562</v>
      </c>
      <c r="C479" t="str">
        <f>VLOOKUP(B479,Tabelle3!A:C,2,FALSE)</f>
        <v>Nord</v>
      </c>
      <c r="D479" t="s">
        <v>27</v>
      </c>
      <c r="E479" t="s">
        <v>315</v>
      </c>
      <c r="F479" t="s">
        <v>1563</v>
      </c>
      <c r="G479">
        <v>36266</v>
      </c>
      <c r="H479" t="s">
        <v>1564</v>
      </c>
      <c r="I479" t="s">
        <v>1565</v>
      </c>
      <c r="J479" t="s">
        <v>865</v>
      </c>
      <c r="K479">
        <v>24473</v>
      </c>
      <c r="L479" t="s">
        <v>33</v>
      </c>
      <c r="M479" t="s">
        <v>34</v>
      </c>
      <c r="N479" t="s">
        <v>33</v>
      </c>
      <c r="O479" t="s">
        <v>25</v>
      </c>
      <c r="P479" t="s">
        <v>82</v>
      </c>
      <c r="Q479" t="s">
        <v>33</v>
      </c>
      <c r="R479" t="s">
        <v>46</v>
      </c>
      <c r="S479">
        <v>0.58050000000000002</v>
      </c>
      <c r="T479" t="s">
        <v>47</v>
      </c>
      <c r="U479">
        <v>12.254</v>
      </c>
      <c r="V479">
        <v>12.07</v>
      </c>
      <c r="W479">
        <v>10.5009</v>
      </c>
      <c r="X479">
        <v>40.69</v>
      </c>
      <c r="Y479">
        <v>95.607407407407408</v>
      </c>
    </row>
    <row r="480" spans="1:25" x14ac:dyDescent="0.35">
      <c r="A480" t="s">
        <v>25</v>
      </c>
      <c r="B480" t="s">
        <v>1566</v>
      </c>
      <c r="C480" t="str">
        <f>VLOOKUP(B480,Tabelle3!A:C,2,FALSE)</f>
        <v>Nord</v>
      </c>
      <c r="D480" t="s">
        <v>27</v>
      </c>
      <c r="E480" t="s">
        <v>315</v>
      </c>
      <c r="F480" t="s">
        <v>1567</v>
      </c>
      <c r="G480">
        <v>36266</v>
      </c>
      <c r="H480" t="s">
        <v>1564</v>
      </c>
      <c r="I480" t="s">
        <v>1565</v>
      </c>
      <c r="J480" t="s">
        <v>865</v>
      </c>
      <c r="K480">
        <v>22647</v>
      </c>
      <c r="L480" t="s">
        <v>33</v>
      </c>
      <c r="M480" t="s">
        <v>34</v>
      </c>
      <c r="N480" t="s">
        <v>33</v>
      </c>
      <c r="O480" t="s">
        <v>25</v>
      </c>
      <c r="P480" t="s">
        <v>87</v>
      </c>
      <c r="Q480" t="s">
        <v>33</v>
      </c>
      <c r="R480" t="s">
        <v>46</v>
      </c>
      <c r="S480">
        <v>0.58050000000000002</v>
      </c>
      <c r="T480" t="s">
        <v>47</v>
      </c>
      <c r="U480">
        <v>17.5</v>
      </c>
      <c r="V480">
        <v>16.8</v>
      </c>
      <c r="W480">
        <v>14.616</v>
      </c>
      <c r="X480">
        <v>40.69</v>
      </c>
      <c r="Y480">
        <v>95.607407407407408</v>
      </c>
    </row>
    <row r="481" spans="1:25" x14ac:dyDescent="0.35">
      <c r="A481" t="s">
        <v>25</v>
      </c>
      <c r="B481" t="s">
        <v>1568</v>
      </c>
      <c r="C481" t="str">
        <f>VLOOKUP(B481,Tabelle3!A:C,2,FALSE)</f>
        <v>Nord</v>
      </c>
      <c r="D481" t="s">
        <v>27</v>
      </c>
      <c r="E481" t="s">
        <v>315</v>
      </c>
      <c r="F481" t="s">
        <v>1569</v>
      </c>
      <c r="G481">
        <v>36269</v>
      </c>
      <c r="H481" t="s">
        <v>1570</v>
      </c>
      <c r="I481" t="s">
        <v>1571</v>
      </c>
      <c r="J481" t="s">
        <v>865</v>
      </c>
      <c r="K481">
        <v>22829</v>
      </c>
      <c r="L481" t="s">
        <v>69</v>
      </c>
      <c r="M481" t="s">
        <v>70</v>
      </c>
      <c r="N481" t="s">
        <v>69</v>
      </c>
      <c r="O481" t="s">
        <v>25</v>
      </c>
      <c r="P481" t="s">
        <v>50</v>
      </c>
      <c r="Q481" t="s">
        <v>71</v>
      </c>
      <c r="R481" t="s">
        <v>71</v>
      </c>
      <c r="S481">
        <v>0.39929999999999999</v>
      </c>
      <c r="T481" t="s">
        <v>47</v>
      </c>
      <c r="U481">
        <v>21</v>
      </c>
      <c r="V481">
        <v>21</v>
      </c>
      <c r="W481">
        <v>17.849999999999998</v>
      </c>
      <c r="X481">
        <v>95.59</v>
      </c>
      <c r="Y481">
        <v>277.56123215627349</v>
      </c>
    </row>
    <row r="482" spans="1:25" x14ac:dyDescent="0.35">
      <c r="A482" t="s">
        <v>25</v>
      </c>
      <c r="B482" t="s">
        <v>1572</v>
      </c>
      <c r="C482" t="str">
        <f>VLOOKUP(B482,Tabelle3!A:C,2,FALSE)</f>
        <v>Nord</v>
      </c>
      <c r="D482" t="s">
        <v>27</v>
      </c>
      <c r="E482" t="s">
        <v>315</v>
      </c>
      <c r="F482" t="s">
        <v>1573</v>
      </c>
      <c r="G482">
        <v>36269</v>
      </c>
      <c r="H482" t="s">
        <v>1570</v>
      </c>
      <c r="I482" t="s">
        <v>1571</v>
      </c>
      <c r="J482" t="s">
        <v>865</v>
      </c>
      <c r="K482">
        <v>43083</v>
      </c>
      <c r="L482" t="s">
        <v>69</v>
      </c>
      <c r="M482" t="s">
        <v>70</v>
      </c>
      <c r="N482" t="s">
        <v>69</v>
      </c>
      <c r="O482" t="s">
        <v>25</v>
      </c>
      <c r="P482" t="s">
        <v>50</v>
      </c>
      <c r="Q482" t="s">
        <v>71</v>
      </c>
      <c r="R482" t="s">
        <v>71</v>
      </c>
      <c r="S482">
        <v>0.39929999999999999</v>
      </c>
      <c r="T482" t="s">
        <v>47</v>
      </c>
      <c r="U482">
        <v>22.5</v>
      </c>
      <c r="V482">
        <v>21.375</v>
      </c>
      <c r="W482">
        <v>18.168749999999999</v>
      </c>
      <c r="X482">
        <v>95.59</v>
      </c>
      <c r="Y482">
        <v>277.56123215627349</v>
      </c>
    </row>
    <row r="483" spans="1:25" x14ac:dyDescent="0.35">
      <c r="A483" t="s">
        <v>25</v>
      </c>
      <c r="B483" t="s">
        <v>1574</v>
      </c>
      <c r="C483" t="str">
        <f>VLOOKUP(B483,Tabelle3!A:C,2,FALSE)</f>
        <v>Nord</v>
      </c>
      <c r="D483" t="s">
        <v>27</v>
      </c>
      <c r="E483" t="s">
        <v>315</v>
      </c>
      <c r="F483" t="s">
        <v>1575</v>
      </c>
      <c r="G483">
        <v>36269</v>
      </c>
      <c r="H483" t="s">
        <v>1570</v>
      </c>
      <c r="I483" t="s">
        <v>1571</v>
      </c>
      <c r="J483" t="s">
        <v>865</v>
      </c>
      <c r="K483">
        <v>24533</v>
      </c>
      <c r="L483" t="s">
        <v>69</v>
      </c>
      <c r="M483" t="s">
        <v>70</v>
      </c>
      <c r="N483" t="s">
        <v>69</v>
      </c>
      <c r="O483" t="s">
        <v>25</v>
      </c>
      <c r="P483" t="s">
        <v>50</v>
      </c>
      <c r="Q483" t="s">
        <v>71</v>
      </c>
      <c r="R483" t="s">
        <v>71</v>
      </c>
      <c r="S483">
        <v>0.39929999999999999</v>
      </c>
      <c r="T483" t="s">
        <v>47</v>
      </c>
      <c r="U483">
        <v>28.504000000000001</v>
      </c>
      <c r="V483">
        <v>28</v>
      </c>
      <c r="W483">
        <v>23.8</v>
      </c>
      <c r="X483">
        <v>95.59</v>
      </c>
      <c r="Y483">
        <v>277.56123215627349</v>
      </c>
    </row>
    <row r="484" spans="1:25" x14ac:dyDescent="0.35">
      <c r="A484" t="s">
        <v>25</v>
      </c>
      <c r="B484" t="s">
        <v>1576</v>
      </c>
      <c r="C484" t="str">
        <f>VLOOKUP(B484,Tabelle3!A:C,2,FALSE)</f>
        <v>Nord</v>
      </c>
      <c r="D484" t="s">
        <v>27</v>
      </c>
      <c r="E484" t="s">
        <v>315</v>
      </c>
      <c r="F484" t="s">
        <v>1577</v>
      </c>
      <c r="G484">
        <v>36266</v>
      </c>
      <c r="H484" t="s">
        <v>1564</v>
      </c>
      <c r="I484" t="s">
        <v>1565</v>
      </c>
      <c r="J484" t="s">
        <v>865</v>
      </c>
      <c r="K484">
        <v>29952</v>
      </c>
      <c r="L484" t="s">
        <v>33</v>
      </c>
      <c r="M484" t="s">
        <v>34</v>
      </c>
      <c r="N484" t="s">
        <v>33</v>
      </c>
      <c r="O484" t="s">
        <v>25</v>
      </c>
      <c r="P484" t="s">
        <v>266</v>
      </c>
      <c r="Q484" t="s">
        <v>33</v>
      </c>
      <c r="R484" t="s">
        <v>46</v>
      </c>
      <c r="S484">
        <v>0.58050000000000002</v>
      </c>
      <c r="T484" t="s">
        <v>47</v>
      </c>
      <c r="U484">
        <v>28.504000000000001</v>
      </c>
      <c r="V484">
        <v>28</v>
      </c>
      <c r="W484">
        <v>24.36</v>
      </c>
      <c r="X484">
        <v>40.69</v>
      </c>
      <c r="Y484">
        <v>95.607407407407408</v>
      </c>
    </row>
    <row r="485" spans="1:25" x14ac:dyDescent="0.35">
      <c r="A485" t="s">
        <v>25</v>
      </c>
      <c r="B485" t="s">
        <v>1578</v>
      </c>
      <c r="C485" t="str">
        <f>VLOOKUP(B485,Tabelle3!A:C,2,FALSE)</f>
        <v>Nord</v>
      </c>
      <c r="D485" t="s">
        <v>27</v>
      </c>
      <c r="E485" t="s">
        <v>315</v>
      </c>
      <c r="F485" t="s">
        <v>1579</v>
      </c>
      <c r="G485">
        <v>36269</v>
      </c>
      <c r="H485" t="s">
        <v>1570</v>
      </c>
      <c r="I485" t="s">
        <v>1571</v>
      </c>
      <c r="J485" t="s">
        <v>865</v>
      </c>
      <c r="K485">
        <v>40940</v>
      </c>
      <c r="L485" t="s">
        <v>33</v>
      </c>
      <c r="M485" t="s">
        <v>34</v>
      </c>
      <c r="N485" t="s">
        <v>33</v>
      </c>
      <c r="O485" t="s">
        <v>25</v>
      </c>
      <c r="P485" t="s">
        <v>87</v>
      </c>
      <c r="Q485" t="s">
        <v>33</v>
      </c>
      <c r="R485" t="s">
        <v>46</v>
      </c>
      <c r="S485">
        <v>0.39929999999999999</v>
      </c>
      <c r="T485" t="s">
        <v>47</v>
      </c>
      <c r="U485">
        <v>32.603999999999999</v>
      </c>
      <c r="V485">
        <v>32</v>
      </c>
      <c r="W485">
        <v>27.84</v>
      </c>
      <c r="X485">
        <v>40.69</v>
      </c>
      <c r="Y485">
        <v>138.31279739544203</v>
      </c>
    </row>
    <row r="486" spans="1:25" x14ac:dyDescent="0.35">
      <c r="A486" t="s">
        <v>25</v>
      </c>
      <c r="B486" t="s">
        <v>1580</v>
      </c>
      <c r="C486" t="str">
        <f>VLOOKUP(B486,Tabelle3!A:C,2,FALSE)</f>
        <v>Nord</v>
      </c>
      <c r="D486" t="s">
        <v>27</v>
      </c>
      <c r="E486" t="s">
        <v>315</v>
      </c>
      <c r="F486" t="s">
        <v>1581</v>
      </c>
      <c r="G486">
        <v>36266</v>
      </c>
      <c r="H486" t="s">
        <v>1564</v>
      </c>
      <c r="I486" t="s">
        <v>1565</v>
      </c>
      <c r="J486" t="s">
        <v>865</v>
      </c>
      <c r="K486">
        <v>39996</v>
      </c>
      <c r="L486" t="s">
        <v>33</v>
      </c>
      <c r="M486" t="s">
        <v>34</v>
      </c>
      <c r="N486" t="s">
        <v>33</v>
      </c>
      <c r="O486" t="s">
        <v>25</v>
      </c>
      <c r="P486" t="s">
        <v>87</v>
      </c>
      <c r="Q486" t="s">
        <v>33</v>
      </c>
      <c r="R486" t="s">
        <v>46</v>
      </c>
      <c r="S486">
        <v>0.58050000000000002</v>
      </c>
      <c r="T486" t="s">
        <v>47</v>
      </c>
      <c r="U486">
        <v>53.548999999999999</v>
      </c>
      <c r="V486">
        <v>52.7</v>
      </c>
      <c r="W486">
        <v>45.849000000000004</v>
      </c>
      <c r="X486">
        <v>40.69</v>
      </c>
      <c r="Y486">
        <v>95.607407407407408</v>
      </c>
    </row>
    <row r="487" spans="1:25" x14ac:dyDescent="0.35">
      <c r="A487" t="s">
        <v>25</v>
      </c>
      <c r="B487" t="s">
        <v>1582</v>
      </c>
      <c r="C487" t="str">
        <f>VLOOKUP(B487,Tabelle3!A:C,2,FALSE)</f>
        <v>Süd</v>
      </c>
      <c r="D487" t="s">
        <v>27</v>
      </c>
      <c r="E487" t="s">
        <v>1583</v>
      </c>
      <c r="F487" t="s">
        <v>1584</v>
      </c>
      <c r="G487">
        <v>93309</v>
      </c>
      <c r="H487" t="s">
        <v>1585</v>
      </c>
      <c r="I487" t="s">
        <v>1586</v>
      </c>
      <c r="J487" t="s">
        <v>701</v>
      </c>
      <c r="K487">
        <v>25765</v>
      </c>
      <c r="L487" t="s">
        <v>33</v>
      </c>
      <c r="M487" t="s">
        <v>34</v>
      </c>
      <c r="N487" t="s">
        <v>33</v>
      </c>
      <c r="O487" t="s">
        <v>25</v>
      </c>
      <c r="P487" t="s">
        <v>50</v>
      </c>
      <c r="Q487" t="s">
        <v>33</v>
      </c>
      <c r="R487" t="s">
        <v>46</v>
      </c>
      <c r="S487">
        <v>0.4</v>
      </c>
      <c r="T487" t="s">
        <v>108</v>
      </c>
      <c r="U487">
        <v>22.5</v>
      </c>
      <c r="V487">
        <v>20.815000000000001</v>
      </c>
      <c r="W487">
        <v>18.10905</v>
      </c>
      <c r="X487">
        <v>40.69</v>
      </c>
      <c r="Y487">
        <v>138.073375</v>
      </c>
    </row>
    <row r="488" spans="1:25" x14ac:dyDescent="0.35">
      <c r="A488" t="s">
        <v>25</v>
      </c>
      <c r="B488" t="s">
        <v>1587</v>
      </c>
      <c r="C488" t="str">
        <f>VLOOKUP(B488,Tabelle3!A:C,2,FALSE)</f>
        <v>Süd</v>
      </c>
      <c r="D488" t="s">
        <v>27</v>
      </c>
      <c r="E488" t="s">
        <v>1583</v>
      </c>
      <c r="F488" t="s">
        <v>1588</v>
      </c>
      <c r="G488">
        <v>93309</v>
      </c>
      <c r="H488" t="s">
        <v>1585</v>
      </c>
      <c r="I488" t="s">
        <v>1586</v>
      </c>
      <c r="J488" t="s">
        <v>701</v>
      </c>
      <c r="K488">
        <v>41856</v>
      </c>
      <c r="L488" t="s">
        <v>33</v>
      </c>
      <c r="M488" t="s">
        <v>34</v>
      </c>
      <c r="N488" t="s">
        <v>33</v>
      </c>
      <c r="O488" t="s">
        <v>25</v>
      </c>
      <c r="P488" t="s">
        <v>50</v>
      </c>
      <c r="Q488" t="s">
        <v>33</v>
      </c>
      <c r="R488" t="s">
        <v>46</v>
      </c>
      <c r="S488">
        <v>0.4</v>
      </c>
      <c r="T488" t="s">
        <v>108</v>
      </c>
      <c r="U488">
        <v>28.027999999999999</v>
      </c>
      <c r="V488">
        <v>25.928999999999998</v>
      </c>
      <c r="W488">
        <v>22.558229999999998</v>
      </c>
      <c r="X488">
        <v>40.69</v>
      </c>
      <c r="Y488">
        <v>138.073375</v>
      </c>
    </row>
    <row r="489" spans="1:25" x14ac:dyDescent="0.35">
      <c r="A489" t="s">
        <v>25</v>
      </c>
      <c r="B489" t="s">
        <v>1589</v>
      </c>
      <c r="C489" t="str">
        <f>VLOOKUP(B489,Tabelle3!A:C,2,FALSE)</f>
        <v>Nord</v>
      </c>
      <c r="D489" t="s">
        <v>27</v>
      </c>
      <c r="E489" t="s">
        <v>1590</v>
      </c>
      <c r="F489" t="s">
        <v>1591</v>
      </c>
      <c r="G489">
        <v>26826</v>
      </c>
      <c r="H489" t="s">
        <v>1592</v>
      </c>
      <c r="I489" t="s">
        <v>1593</v>
      </c>
      <c r="J489" t="s">
        <v>765</v>
      </c>
      <c r="K489">
        <v>44420</v>
      </c>
      <c r="L489" t="s">
        <v>171</v>
      </c>
      <c r="M489" t="s">
        <v>172</v>
      </c>
      <c r="N489" t="s">
        <v>173</v>
      </c>
      <c r="O489" t="s">
        <v>44</v>
      </c>
      <c r="P489" t="s">
        <v>45</v>
      </c>
      <c r="Q489" t="s">
        <v>173</v>
      </c>
      <c r="R489" t="s">
        <v>173</v>
      </c>
      <c r="S489">
        <v>0.33</v>
      </c>
      <c r="T489" t="s">
        <v>179</v>
      </c>
      <c r="U489">
        <v>15.6</v>
      </c>
      <c r="V489">
        <v>13.85</v>
      </c>
      <c r="W489">
        <v>11.772499999999999</v>
      </c>
      <c r="X489">
        <v>0</v>
      </c>
      <c r="Y489">
        <v>1</v>
      </c>
    </row>
    <row r="490" spans="1:25" x14ac:dyDescent="0.35">
      <c r="A490" t="s">
        <v>25</v>
      </c>
      <c r="B490" t="s">
        <v>1594</v>
      </c>
      <c r="C490" t="str">
        <f>VLOOKUP(B490,Tabelle3!A:C,2,FALSE)</f>
        <v>Süd</v>
      </c>
      <c r="D490" t="s">
        <v>27</v>
      </c>
      <c r="E490" t="s">
        <v>1595</v>
      </c>
      <c r="F490" t="s">
        <v>1596</v>
      </c>
      <c r="G490">
        <v>63906</v>
      </c>
      <c r="H490" t="s">
        <v>1597</v>
      </c>
      <c r="I490" t="s">
        <v>1598</v>
      </c>
      <c r="J490" t="s">
        <v>701</v>
      </c>
      <c r="K490">
        <v>20607</v>
      </c>
      <c r="L490" t="s">
        <v>33</v>
      </c>
      <c r="M490" t="s">
        <v>34</v>
      </c>
      <c r="N490" t="s">
        <v>33</v>
      </c>
      <c r="O490" t="s">
        <v>25</v>
      </c>
      <c r="P490" t="s">
        <v>35</v>
      </c>
      <c r="Q490" t="s">
        <v>33</v>
      </c>
      <c r="R490" t="s">
        <v>36</v>
      </c>
      <c r="S490">
        <v>0.51749999999999996</v>
      </c>
      <c r="T490" t="s">
        <v>47</v>
      </c>
      <c r="U490">
        <v>116.149</v>
      </c>
      <c r="V490">
        <v>112.71899999999999</v>
      </c>
      <c r="W490">
        <v>98.065529999999995</v>
      </c>
      <c r="X490">
        <v>40.69</v>
      </c>
      <c r="Y490">
        <v>106.563961352657</v>
      </c>
    </row>
    <row r="491" spans="1:25" x14ac:dyDescent="0.35">
      <c r="A491" t="s">
        <v>25</v>
      </c>
      <c r="B491" t="s">
        <v>1599</v>
      </c>
      <c r="C491" t="str">
        <f>VLOOKUP(B491,Tabelle3!A:C,2,FALSE)</f>
        <v>Süd</v>
      </c>
      <c r="D491" t="s">
        <v>27</v>
      </c>
      <c r="E491" t="s">
        <v>1600</v>
      </c>
      <c r="F491" t="s">
        <v>1601</v>
      </c>
      <c r="G491">
        <v>94447</v>
      </c>
      <c r="H491" t="s">
        <v>1602</v>
      </c>
      <c r="I491" t="s">
        <v>1603</v>
      </c>
      <c r="J491" t="s">
        <v>701</v>
      </c>
      <c r="K491">
        <v>40292</v>
      </c>
      <c r="L491" t="s">
        <v>33</v>
      </c>
      <c r="M491" t="s">
        <v>34</v>
      </c>
      <c r="N491" t="s">
        <v>33</v>
      </c>
      <c r="O491" t="s">
        <v>25</v>
      </c>
      <c r="P491" t="s">
        <v>35</v>
      </c>
      <c r="Q491" t="s">
        <v>33</v>
      </c>
      <c r="R491" t="s">
        <v>36</v>
      </c>
      <c r="S491">
        <v>0.58499999999999996</v>
      </c>
      <c r="T491" t="s">
        <v>47</v>
      </c>
      <c r="U491">
        <v>39.078000000000003</v>
      </c>
      <c r="V491">
        <v>39.078000000000003</v>
      </c>
      <c r="W491">
        <v>33.997860000000003</v>
      </c>
      <c r="X491">
        <v>40.69</v>
      </c>
      <c r="Y491">
        <v>94.383504273504272</v>
      </c>
    </row>
    <row r="492" spans="1:25" x14ac:dyDescent="0.35">
      <c r="A492" t="s">
        <v>25</v>
      </c>
      <c r="B492" t="s">
        <v>1604</v>
      </c>
      <c r="C492" t="str">
        <f>VLOOKUP(B492,Tabelle3!A:C,2,FALSE)</f>
        <v>Süd</v>
      </c>
      <c r="D492" t="s">
        <v>27</v>
      </c>
      <c r="E492" t="s">
        <v>1600</v>
      </c>
      <c r="F492" t="s">
        <v>1605</v>
      </c>
      <c r="G492">
        <v>94447</v>
      </c>
      <c r="H492" t="s">
        <v>1602</v>
      </c>
      <c r="I492" t="s">
        <v>1603</v>
      </c>
      <c r="J492" t="s">
        <v>701</v>
      </c>
      <c r="K492">
        <v>40292</v>
      </c>
      <c r="L492" t="s">
        <v>33</v>
      </c>
      <c r="M492" t="s">
        <v>34</v>
      </c>
      <c r="N492" t="s">
        <v>33</v>
      </c>
      <c r="O492" t="s">
        <v>25</v>
      </c>
      <c r="P492" t="s">
        <v>35</v>
      </c>
      <c r="Q492" t="s">
        <v>33</v>
      </c>
      <c r="R492" t="s">
        <v>36</v>
      </c>
      <c r="S492">
        <v>0.58499999999999996</v>
      </c>
      <c r="T492" t="s">
        <v>47</v>
      </c>
      <c r="U492">
        <v>78.156999999999996</v>
      </c>
      <c r="V492">
        <v>78.156999999999996</v>
      </c>
      <c r="W492">
        <v>67.996589999999998</v>
      </c>
      <c r="X492">
        <v>40.69</v>
      </c>
      <c r="Y492">
        <v>94.383504273504272</v>
      </c>
    </row>
    <row r="493" spans="1:25" x14ac:dyDescent="0.35">
      <c r="A493" t="s">
        <v>25</v>
      </c>
      <c r="B493" t="s">
        <v>1606</v>
      </c>
      <c r="C493" t="str">
        <f>VLOOKUP(B493,Tabelle3!A:C,2,FALSE)</f>
        <v>Nord</v>
      </c>
      <c r="D493" t="s">
        <v>27</v>
      </c>
      <c r="E493" t="s">
        <v>1607</v>
      </c>
      <c r="F493" t="s">
        <v>1608</v>
      </c>
      <c r="G493">
        <v>26954</v>
      </c>
      <c r="H493" t="s">
        <v>1609</v>
      </c>
      <c r="I493" t="s">
        <v>1610</v>
      </c>
      <c r="J493" t="s">
        <v>765</v>
      </c>
      <c r="K493">
        <v>41623</v>
      </c>
      <c r="L493" t="s">
        <v>33</v>
      </c>
      <c r="M493" t="s">
        <v>34</v>
      </c>
      <c r="N493" t="s">
        <v>33</v>
      </c>
      <c r="O493" t="s">
        <v>25</v>
      </c>
      <c r="P493" t="s">
        <v>35</v>
      </c>
      <c r="Q493" t="s">
        <v>33</v>
      </c>
      <c r="R493" t="s">
        <v>36</v>
      </c>
      <c r="S493">
        <v>0.58499999999999996</v>
      </c>
      <c r="T493" t="s">
        <v>37</v>
      </c>
      <c r="U493">
        <v>17.141999999999999</v>
      </c>
      <c r="V493">
        <v>17.13</v>
      </c>
      <c r="W493">
        <v>14.903099999999998</v>
      </c>
      <c r="X493">
        <v>40.69</v>
      </c>
      <c r="Y493">
        <v>94.383504273504272</v>
      </c>
    </row>
    <row r="494" spans="1:25" x14ac:dyDescent="0.35">
      <c r="A494" t="s">
        <v>25</v>
      </c>
      <c r="B494" t="s">
        <v>1611</v>
      </c>
      <c r="C494" t="str">
        <f>VLOOKUP(B494,Tabelle3!A:C,2,FALSE)</f>
        <v>Nord</v>
      </c>
      <c r="D494" t="s">
        <v>27</v>
      </c>
      <c r="E494" t="s">
        <v>1612</v>
      </c>
      <c r="F494" t="s">
        <v>1613</v>
      </c>
      <c r="G494">
        <v>60327</v>
      </c>
      <c r="H494" t="s">
        <v>474</v>
      </c>
      <c r="I494" t="s">
        <v>1614</v>
      </c>
      <c r="J494" t="s">
        <v>865</v>
      </c>
      <c r="K494">
        <v>43076</v>
      </c>
      <c r="L494" t="s">
        <v>33</v>
      </c>
      <c r="M494" t="s">
        <v>34</v>
      </c>
      <c r="N494" t="s">
        <v>33</v>
      </c>
      <c r="O494" t="s">
        <v>25</v>
      </c>
      <c r="P494" t="s">
        <v>71</v>
      </c>
      <c r="Q494" t="s">
        <v>33</v>
      </c>
      <c r="R494" t="s">
        <v>46</v>
      </c>
      <c r="S494">
        <v>0.40479999999999999</v>
      </c>
      <c r="T494" t="s">
        <v>47</v>
      </c>
      <c r="U494">
        <v>39.299999999999997</v>
      </c>
      <c r="V494">
        <v>39.137</v>
      </c>
      <c r="W494">
        <v>34.049190000000003</v>
      </c>
      <c r="X494">
        <v>40.69</v>
      </c>
      <c r="Y494">
        <v>136.45392786561266</v>
      </c>
    </row>
    <row r="495" spans="1:25" x14ac:dyDescent="0.35">
      <c r="A495" t="s">
        <v>25</v>
      </c>
      <c r="B495" t="s">
        <v>1615</v>
      </c>
      <c r="C495" t="s">
        <v>4080</v>
      </c>
      <c r="D495" t="s">
        <v>27</v>
      </c>
      <c r="E495" t="s">
        <v>1612</v>
      </c>
      <c r="F495" t="s">
        <v>1616</v>
      </c>
      <c r="G495">
        <v>60327</v>
      </c>
      <c r="H495" t="s">
        <v>474</v>
      </c>
      <c r="I495" t="s">
        <v>1614</v>
      </c>
      <c r="J495" t="s">
        <v>865</v>
      </c>
      <c r="K495">
        <v>32919</v>
      </c>
      <c r="L495" t="s">
        <v>92</v>
      </c>
      <c r="M495" t="s">
        <v>93</v>
      </c>
      <c r="N495" t="s">
        <v>92</v>
      </c>
      <c r="O495" t="s">
        <v>25</v>
      </c>
      <c r="P495" t="s">
        <v>82</v>
      </c>
      <c r="Q495" t="s">
        <v>92</v>
      </c>
      <c r="R495" t="s">
        <v>92</v>
      </c>
      <c r="S495">
        <v>0.39750000000000002</v>
      </c>
      <c r="T495" t="s">
        <v>47</v>
      </c>
      <c r="U495">
        <v>69.5</v>
      </c>
      <c r="V495">
        <v>61.5</v>
      </c>
      <c r="W495">
        <v>49.2</v>
      </c>
      <c r="X495">
        <v>15.55</v>
      </c>
      <c r="Y495">
        <v>99.214339622641504</v>
      </c>
    </row>
    <row r="496" spans="1:25" x14ac:dyDescent="0.35">
      <c r="A496" t="s">
        <v>25</v>
      </c>
      <c r="B496" t="s">
        <v>1617</v>
      </c>
      <c r="C496" t="s">
        <v>4080</v>
      </c>
      <c r="D496" t="s">
        <v>27</v>
      </c>
      <c r="E496" t="s">
        <v>1612</v>
      </c>
      <c r="F496" t="s">
        <v>1618</v>
      </c>
      <c r="G496">
        <v>60327</v>
      </c>
      <c r="H496" t="s">
        <v>474</v>
      </c>
      <c r="I496" t="s">
        <v>1614</v>
      </c>
      <c r="J496" t="s">
        <v>865</v>
      </c>
      <c r="K496">
        <v>32905</v>
      </c>
      <c r="L496" t="s">
        <v>92</v>
      </c>
      <c r="M496" t="s">
        <v>93</v>
      </c>
      <c r="N496" t="s">
        <v>92</v>
      </c>
      <c r="O496" t="s">
        <v>25</v>
      </c>
      <c r="P496" t="s">
        <v>82</v>
      </c>
      <c r="Q496" t="s">
        <v>92</v>
      </c>
      <c r="R496" t="s">
        <v>92</v>
      </c>
      <c r="S496">
        <v>0.39500000000000002</v>
      </c>
      <c r="T496" t="s">
        <v>47</v>
      </c>
      <c r="U496">
        <v>69.5</v>
      </c>
      <c r="V496">
        <v>61.5</v>
      </c>
      <c r="W496">
        <v>49.2</v>
      </c>
      <c r="X496">
        <v>15.55</v>
      </c>
      <c r="Y496">
        <v>99.834050632911385</v>
      </c>
    </row>
    <row r="497" spans="1:25" x14ac:dyDescent="0.35">
      <c r="A497" t="s">
        <v>25</v>
      </c>
      <c r="B497" t="s">
        <v>1619</v>
      </c>
      <c r="C497" t="str">
        <f>VLOOKUP(B497,Tabelle3!A:C,2,FALSE)</f>
        <v>Nord</v>
      </c>
      <c r="D497" t="s">
        <v>27</v>
      </c>
      <c r="E497" t="s">
        <v>1612</v>
      </c>
      <c r="F497" t="s">
        <v>1620</v>
      </c>
      <c r="G497">
        <v>60528</v>
      </c>
      <c r="H497" t="s">
        <v>474</v>
      </c>
      <c r="I497" t="s">
        <v>1621</v>
      </c>
      <c r="J497" t="s">
        <v>865</v>
      </c>
      <c r="K497">
        <v>38615</v>
      </c>
      <c r="L497" t="s">
        <v>33</v>
      </c>
      <c r="M497" t="s">
        <v>34</v>
      </c>
      <c r="N497" t="s">
        <v>33</v>
      </c>
      <c r="O497" t="s">
        <v>25</v>
      </c>
      <c r="P497" t="s">
        <v>35</v>
      </c>
      <c r="Q497" t="s">
        <v>33</v>
      </c>
      <c r="R497" t="s">
        <v>36</v>
      </c>
      <c r="S497">
        <v>0.38940000000000002</v>
      </c>
      <c r="T497" t="s">
        <v>47</v>
      </c>
      <c r="U497">
        <v>71</v>
      </c>
      <c r="V497">
        <v>70</v>
      </c>
      <c r="W497">
        <v>60.9</v>
      </c>
      <c r="X497">
        <v>40.69</v>
      </c>
      <c r="Y497">
        <v>141.29108885464817</v>
      </c>
    </row>
    <row r="498" spans="1:25" x14ac:dyDescent="0.35">
      <c r="A498" t="s">
        <v>25</v>
      </c>
      <c r="B498" t="s">
        <v>1622</v>
      </c>
      <c r="C498" t="str">
        <f>VLOOKUP(B498,Tabelle3!A:C,2,FALSE)</f>
        <v>Nord</v>
      </c>
      <c r="D498" t="s">
        <v>27</v>
      </c>
      <c r="E498" t="s">
        <v>1612</v>
      </c>
      <c r="F498" t="s">
        <v>1623</v>
      </c>
      <c r="G498">
        <v>60327</v>
      </c>
      <c r="H498" t="s">
        <v>474</v>
      </c>
      <c r="I498" t="s">
        <v>1614</v>
      </c>
      <c r="J498" t="s">
        <v>865</v>
      </c>
      <c r="K498">
        <v>34393</v>
      </c>
      <c r="L498" t="s">
        <v>33</v>
      </c>
      <c r="M498" t="s">
        <v>34</v>
      </c>
      <c r="N498" t="s">
        <v>33</v>
      </c>
      <c r="O498" t="s">
        <v>25</v>
      </c>
      <c r="P498" t="s">
        <v>87</v>
      </c>
      <c r="Q498" t="s">
        <v>33</v>
      </c>
      <c r="R498" t="s">
        <v>46</v>
      </c>
      <c r="S498">
        <v>0.37840000000000001</v>
      </c>
      <c r="T498" t="s">
        <v>47</v>
      </c>
      <c r="U498">
        <v>112</v>
      </c>
      <c r="V498">
        <v>110.755</v>
      </c>
      <c r="W498">
        <v>96.356849999999994</v>
      </c>
      <c r="X498">
        <v>40.69</v>
      </c>
      <c r="Y498">
        <v>145.86931818181816</v>
      </c>
    </row>
    <row r="499" spans="1:25" x14ac:dyDescent="0.35">
      <c r="A499" t="s">
        <v>25</v>
      </c>
      <c r="B499" t="s">
        <v>1624</v>
      </c>
      <c r="C499" t="str">
        <f>VLOOKUP(B499,Tabelle3!A:C,2,FALSE)</f>
        <v>Süd</v>
      </c>
      <c r="D499" t="s">
        <v>27</v>
      </c>
      <c r="E499" t="s">
        <v>1625</v>
      </c>
      <c r="F499" t="s">
        <v>1626</v>
      </c>
      <c r="G499">
        <v>83512</v>
      </c>
      <c r="H499" t="s">
        <v>1627</v>
      </c>
      <c r="I499" t="s">
        <v>1628</v>
      </c>
      <c r="J499" t="s">
        <v>701</v>
      </c>
      <c r="K499">
        <v>42553</v>
      </c>
      <c r="L499" t="s">
        <v>33</v>
      </c>
      <c r="M499" t="s">
        <v>34</v>
      </c>
      <c r="N499" t="s">
        <v>33</v>
      </c>
      <c r="O499" t="s">
        <v>25</v>
      </c>
      <c r="P499" t="s">
        <v>35</v>
      </c>
      <c r="Q499" t="s">
        <v>33</v>
      </c>
      <c r="R499" t="s">
        <v>36</v>
      </c>
      <c r="S499">
        <v>0.38500000000000001</v>
      </c>
      <c r="T499" t="s">
        <v>47</v>
      </c>
      <c r="U499">
        <v>13.6</v>
      </c>
      <c r="V499">
        <v>13.6</v>
      </c>
      <c r="W499">
        <v>11.831999999999999</v>
      </c>
      <c r="X499">
        <v>40.69</v>
      </c>
      <c r="Y499">
        <v>142.89441558441558</v>
      </c>
    </row>
    <row r="500" spans="1:25" x14ac:dyDescent="0.35">
      <c r="A500" t="s">
        <v>25</v>
      </c>
      <c r="B500" t="s">
        <v>1629</v>
      </c>
      <c r="C500" t="str">
        <f>VLOOKUP(B500,Tabelle3!A:C,2,FALSE)</f>
        <v>Nord</v>
      </c>
      <c r="D500" t="s">
        <v>27</v>
      </c>
      <c r="E500" t="s">
        <v>1630</v>
      </c>
      <c r="F500" t="s">
        <v>715</v>
      </c>
      <c r="G500">
        <v>60439</v>
      </c>
      <c r="H500" t="s">
        <v>474</v>
      </c>
      <c r="I500" t="s">
        <v>1631</v>
      </c>
      <c r="J500" t="s">
        <v>865</v>
      </c>
      <c r="K500">
        <v>31758</v>
      </c>
      <c r="L500" t="s">
        <v>171</v>
      </c>
      <c r="M500" t="s">
        <v>172</v>
      </c>
      <c r="N500" t="s">
        <v>173</v>
      </c>
      <c r="O500" t="s">
        <v>25</v>
      </c>
      <c r="P500" t="s">
        <v>82</v>
      </c>
      <c r="Q500" t="s">
        <v>173</v>
      </c>
      <c r="R500" t="s">
        <v>173</v>
      </c>
      <c r="S500">
        <v>0.33</v>
      </c>
      <c r="T500" t="s">
        <v>47</v>
      </c>
      <c r="U500">
        <v>27.5</v>
      </c>
      <c r="V500">
        <v>26</v>
      </c>
      <c r="W500">
        <v>22.099999999999998</v>
      </c>
      <c r="X500">
        <v>0</v>
      </c>
      <c r="Y500">
        <v>1</v>
      </c>
    </row>
    <row r="501" spans="1:25" x14ac:dyDescent="0.35">
      <c r="A501" t="s">
        <v>25</v>
      </c>
      <c r="B501" t="s">
        <v>1632</v>
      </c>
      <c r="C501" t="str">
        <f>VLOOKUP(B501,Tabelle3!A:C,2,FALSE)</f>
        <v>Nord</v>
      </c>
      <c r="D501" t="s">
        <v>27</v>
      </c>
      <c r="E501" t="s">
        <v>1630</v>
      </c>
      <c r="F501" t="s">
        <v>1588</v>
      </c>
      <c r="G501">
        <v>60439</v>
      </c>
      <c r="H501" t="s">
        <v>474</v>
      </c>
      <c r="I501" t="s">
        <v>1631</v>
      </c>
      <c r="J501" t="s">
        <v>865</v>
      </c>
      <c r="K501">
        <v>38707</v>
      </c>
      <c r="L501" t="s">
        <v>171</v>
      </c>
      <c r="M501" t="s">
        <v>172</v>
      </c>
      <c r="N501" t="s">
        <v>173</v>
      </c>
      <c r="O501" t="s">
        <v>25</v>
      </c>
      <c r="P501" t="s">
        <v>82</v>
      </c>
      <c r="Q501" t="s">
        <v>173</v>
      </c>
      <c r="R501" t="s">
        <v>173</v>
      </c>
      <c r="S501">
        <v>0.33</v>
      </c>
      <c r="T501" t="s">
        <v>47</v>
      </c>
      <c r="U501">
        <v>47.5</v>
      </c>
      <c r="V501">
        <v>46.5</v>
      </c>
      <c r="W501">
        <v>39.524999999999999</v>
      </c>
      <c r="X501">
        <v>0</v>
      </c>
      <c r="Y501">
        <v>1</v>
      </c>
    </row>
    <row r="502" spans="1:25" x14ac:dyDescent="0.35">
      <c r="A502" t="s">
        <v>25</v>
      </c>
      <c r="B502" t="s">
        <v>1633</v>
      </c>
      <c r="C502" t="s">
        <v>4080</v>
      </c>
      <c r="D502" t="s">
        <v>27</v>
      </c>
      <c r="E502" t="s">
        <v>1634</v>
      </c>
      <c r="F502" t="s">
        <v>1635</v>
      </c>
      <c r="G502">
        <v>33699</v>
      </c>
      <c r="H502" t="s">
        <v>1636</v>
      </c>
      <c r="I502" t="s">
        <v>1637</v>
      </c>
      <c r="J502" t="s">
        <v>693</v>
      </c>
      <c r="K502">
        <v>38355</v>
      </c>
      <c r="L502" t="s">
        <v>33</v>
      </c>
      <c r="M502" t="s">
        <v>34</v>
      </c>
      <c r="N502" t="s">
        <v>33</v>
      </c>
      <c r="O502" t="s">
        <v>25</v>
      </c>
      <c r="P502" t="s">
        <v>35</v>
      </c>
      <c r="Q502" t="s">
        <v>33</v>
      </c>
      <c r="R502" t="s">
        <v>36</v>
      </c>
      <c r="S502">
        <v>0.5625</v>
      </c>
      <c r="T502" t="s">
        <v>37</v>
      </c>
      <c r="U502">
        <v>14.25</v>
      </c>
      <c r="V502">
        <v>14.05</v>
      </c>
      <c r="W502">
        <v>12.223500000000001</v>
      </c>
      <c r="X502">
        <v>40.69</v>
      </c>
      <c r="Y502">
        <v>98.118844444444434</v>
      </c>
    </row>
    <row r="503" spans="1:25" x14ac:dyDescent="0.35">
      <c r="A503" t="s">
        <v>25</v>
      </c>
      <c r="B503" t="s">
        <v>1638</v>
      </c>
      <c r="C503" t="str">
        <f>VLOOKUP(B503,Tabelle3!A:C,2,FALSE)</f>
        <v>Nord</v>
      </c>
      <c r="D503" t="s">
        <v>27</v>
      </c>
      <c r="E503" t="s">
        <v>1634</v>
      </c>
      <c r="F503" t="s">
        <v>1639</v>
      </c>
      <c r="G503">
        <v>33699</v>
      </c>
      <c r="H503" t="s">
        <v>1636</v>
      </c>
      <c r="I503" t="s">
        <v>1640</v>
      </c>
      <c r="J503" t="s">
        <v>693</v>
      </c>
      <c r="K503">
        <v>38355</v>
      </c>
      <c r="L503" t="s">
        <v>33</v>
      </c>
      <c r="M503" t="s">
        <v>34</v>
      </c>
      <c r="N503" t="s">
        <v>33</v>
      </c>
      <c r="O503" t="s">
        <v>25</v>
      </c>
      <c r="P503" t="s">
        <v>35</v>
      </c>
      <c r="Q503" t="s">
        <v>33</v>
      </c>
      <c r="R503" t="s">
        <v>36</v>
      </c>
      <c r="S503">
        <v>0.63</v>
      </c>
      <c r="T503" t="s">
        <v>37</v>
      </c>
      <c r="U503">
        <v>15.25</v>
      </c>
      <c r="V503">
        <v>15.25</v>
      </c>
      <c r="W503">
        <v>13.2675</v>
      </c>
      <c r="X503">
        <v>40.69</v>
      </c>
      <c r="Y503">
        <v>87.713253968253966</v>
      </c>
    </row>
    <row r="504" spans="1:25" x14ac:dyDescent="0.35">
      <c r="A504" t="s">
        <v>25</v>
      </c>
      <c r="B504" t="s">
        <v>1641</v>
      </c>
      <c r="C504" t="str">
        <f>VLOOKUP(B504,Tabelle3!A:C,2,FALSE)</f>
        <v>Nord</v>
      </c>
      <c r="D504" t="s">
        <v>27</v>
      </c>
      <c r="E504" t="s">
        <v>1642</v>
      </c>
      <c r="F504" t="s">
        <v>1643</v>
      </c>
      <c r="G504">
        <v>34123</v>
      </c>
      <c r="H504" t="s">
        <v>1644</v>
      </c>
      <c r="I504" t="s">
        <v>1645</v>
      </c>
      <c r="J504" t="s">
        <v>865</v>
      </c>
      <c r="K504">
        <v>40980</v>
      </c>
      <c r="L504" t="s">
        <v>171</v>
      </c>
      <c r="M504" t="s">
        <v>172</v>
      </c>
      <c r="N504" t="s">
        <v>173</v>
      </c>
      <c r="O504" t="s">
        <v>25</v>
      </c>
      <c r="P504" t="s">
        <v>82</v>
      </c>
      <c r="Q504" t="s">
        <v>173</v>
      </c>
      <c r="R504" t="s">
        <v>173</v>
      </c>
      <c r="S504">
        <v>0.33</v>
      </c>
      <c r="T504" t="s">
        <v>47</v>
      </c>
      <c r="U504">
        <v>17.7</v>
      </c>
      <c r="V504">
        <v>14.7</v>
      </c>
      <c r="W504">
        <v>12.494999999999999</v>
      </c>
      <c r="X504">
        <v>0</v>
      </c>
      <c r="Y504">
        <v>1</v>
      </c>
    </row>
    <row r="505" spans="1:25" x14ac:dyDescent="0.35">
      <c r="A505" t="s">
        <v>25</v>
      </c>
      <c r="B505" t="s">
        <v>1646</v>
      </c>
      <c r="C505" t="str">
        <f>VLOOKUP(B505,Tabelle3!A:C,2,FALSE)</f>
        <v>Süd</v>
      </c>
      <c r="D505" t="s">
        <v>27</v>
      </c>
      <c r="E505" t="s">
        <v>1647</v>
      </c>
      <c r="F505" t="s">
        <v>1648</v>
      </c>
      <c r="G505">
        <v>90441</v>
      </c>
      <c r="H505" t="s">
        <v>1649</v>
      </c>
      <c r="I505" t="s">
        <v>1650</v>
      </c>
      <c r="J505" t="s">
        <v>701</v>
      </c>
      <c r="K505">
        <v>40183</v>
      </c>
      <c r="L505" t="s">
        <v>33</v>
      </c>
      <c r="M505" t="s">
        <v>34</v>
      </c>
      <c r="N505" t="s">
        <v>33</v>
      </c>
      <c r="O505" t="s">
        <v>25</v>
      </c>
      <c r="P505" t="s">
        <v>266</v>
      </c>
      <c r="Q505" t="s">
        <v>33</v>
      </c>
      <c r="R505" t="s">
        <v>46</v>
      </c>
      <c r="S505">
        <v>0.37</v>
      </c>
      <c r="T505" t="s">
        <v>108</v>
      </c>
      <c r="U505">
        <v>16.076000000000001</v>
      </c>
      <c r="V505">
        <v>15.596</v>
      </c>
      <c r="W505">
        <v>13.568519999999999</v>
      </c>
      <c r="X505">
        <v>40.69</v>
      </c>
      <c r="Y505">
        <v>149.14689189189187</v>
      </c>
    </row>
    <row r="506" spans="1:25" x14ac:dyDescent="0.35">
      <c r="A506" t="s">
        <v>25</v>
      </c>
      <c r="B506" t="s">
        <v>1651</v>
      </c>
      <c r="C506" t="str">
        <f>VLOOKUP(B506,Tabelle3!A:C,2,FALSE)</f>
        <v>Süd</v>
      </c>
      <c r="D506" t="s">
        <v>27</v>
      </c>
      <c r="E506" t="s">
        <v>1647</v>
      </c>
      <c r="F506" t="s">
        <v>1652</v>
      </c>
      <c r="G506">
        <v>90441</v>
      </c>
      <c r="H506" t="s">
        <v>1649</v>
      </c>
      <c r="I506" t="s">
        <v>1653</v>
      </c>
      <c r="J506" t="s">
        <v>701</v>
      </c>
      <c r="K506">
        <v>33802</v>
      </c>
      <c r="L506" t="s">
        <v>69</v>
      </c>
      <c r="M506" t="s">
        <v>70</v>
      </c>
      <c r="N506" t="s">
        <v>69</v>
      </c>
      <c r="O506" t="s">
        <v>25</v>
      </c>
      <c r="P506" t="s">
        <v>82</v>
      </c>
      <c r="Q506" t="s">
        <v>71</v>
      </c>
      <c r="R506" t="s">
        <v>71</v>
      </c>
      <c r="S506">
        <v>0.33</v>
      </c>
      <c r="T506" t="s">
        <v>47</v>
      </c>
      <c r="U506">
        <v>26.28</v>
      </c>
      <c r="V506">
        <v>18.8</v>
      </c>
      <c r="W506">
        <v>15.98</v>
      </c>
      <c r="X506">
        <v>95.59</v>
      </c>
      <c r="Y506">
        <v>335.6390909090909</v>
      </c>
    </row>
    <row r="507" spans="1:25" x14ac:dyDescent="0.35">
      <c r="A507" t="s">
        <v>25</v>
      </c>
      <c r="B507" t="s">
        <v>1654</v>
      </c>
      <c r="C507" t="str">
        <f>VLOOKUP(B507,Tabelle3!A:C,2,FALSE)</f>
        <v>Süd</v>
      </c>
      <c r="D507" t="s">
        <v>27</v>
      </c>
      <c r="E507" t="s">
        <v>1647</v>
      </c>
      <c r="F507" t="s">
        <v>1655</v>
      </c>
      <c r="G507">
        <v>90441</v>
      </c>
      <c r="H507" t="s">
        <v>1649</v>
      </c>
      <c r="I507" t="s">
        <v>1650</v>
      </c>
      <c r="J507" t="s">
        <v>701</v>
      </c>
      <c r="K507">
        <v>29985</v>
      </c>
      <c r="L507" t="s">
        <v>33</v>
      </c>
      <c r="M507" t="s">
        <v>34</v>
      </c>
      <c r="N507" t="s">
        <v>33</v>
      </c>
      <c r="O507" t="s">
        <v>25</v>
      </c>
      <c r="P507" t="s">
        <v>50</v>
      </c>
      <c r="Q507" t="s">
        <v>33</v>
      </c>
      <c r="R507" t="s">
        <v>46</v>
      </c>
      <c r="S507">
        <v>0.5625</v>
      </c>
      <c r="T507" t="s">
        <v>47</v>
      </c>
      <c r="U507">
        <v>44.45</v>
      </c>
      <c r="V507">
        <v>38.774000000000001</v>
      </c>
      <c r="W507">
        <v>33.733380000000004</v>
      </c>
      <c r="X507">
        <v>40.69</v>
      </c>
      <c r="Y507">
        <v>98.618844444444434</v>
      </c>
    </row>
    <row r="508" spans="1:25" x14ac:dyDescent="0.35">
      <c r="A508" t="s">
        <v>25</v>
      </c>
      <c r="B508" t="s">
        <v>1656</v>
      </c>
      <c r="C508" t="str">
        <f>VLOOKUP(B508,Tabelle3!A:C,2,FALSE)</f>
        <v>Süd</v>
      </c>
      <c r="D508" t="s">
        <v>27</v>
      </c>
      <c r="E508" t="s">
        <v>1647</v>
      </c>
      <c r="F508" t="s">
        <v>1657</v>
      </c>
      <c r="G508">
        <v>90441</v>
      </c>
      <c r="H508" t="s">
        <v>1649</v>
      </c>
      <c r="I508" t="s">
        <v>1650</v>
      </c>
      <c r="J508" t="s">
        <v>701</v>
      </c>
      <c r="K508">
        <v>29985</v>
      </c>
      <c r="L508" t="s">
        <v>33</v>
      </c>
      <c r="M508" t="s">
        <v>34</v>
      </c>
      <c r="N508" t="s">
        <v>33</v>
      </c>
      <c r="O508" t="s">
        <v>25</v>
      </c>
      <c r="P508" t="s">
        <v>50</v>
      </c>
      <c r="Q508" t="s">
        <v>33</v>
      </c>
      <c r="R508" t="s">
        <v>46</v>
      </c>
      <c r="S508">
        <v>0.5625</v>
      </c>
      <c r="T508" t="s">
        <v>47</v>
      </c>
      <c r="U508">
        <v>44.45</v>
      </c>
      <c r="V508">
        <v>39.5</v>
      </c>
      <c r="W508">
        <v>34.365000000000002</v>
      </c>
      <c r="X508">
        <v>40.69</v>
      </c>
      <c r="Y508">
        <v>98.618844444444434</v>
      </c>
    </row>
    <row r="509" spans="1:25" x14ac:dyDescent="0.35">
      <c r="A509" t="s">
        <v>25</v>
      </c>
      <c r="B509" t="s">
        <v>1658</v>
      </c>
      <c r="C509" t="str">
        <f>VLOOKUP(B509,Tabelle3!A:C,2,FALSE)</f>
        <v>Süd</v>
      </c>
      <c r="D509" t="s">
        <v>27</v>
      </c>
      <c r="E509" t="s">
        <v>1647</v>
      </c>
      <c r="F509" t="s">
        <v>1659</v>
      </c>
      <c r="G509">
        <v>90441</v>
      </c>
      <c r="H509" t="s">
        <v>1649</v>
      </c>
      <c r="I509" t="s">
        <v>1660</v>
      </c>
      <c r="J509" t="s">
        <v>701</v>
      </c>
      <c r="K509">
        <v>38475</v>
      </c>
      <c r="L509" t="s">
        <v>33</v>
      </c>
      <c r="M509" t="s">
        <v>34</v>
      </c>
      <c r="N509" t="s">
        <v>33</v>
      </c>
      <c r="O509" t="s">
        <v>25</v>
      </c>
      <c r="P509" t="s">
        <v>35</v>
      </c>
      <c r="Q509" t="s">
        <v>33</v>
      </c>
      <c r="R509" t="s">
        <v>36</v>
      </c>
      <c r="S509">
        <v>0.5625</v>
      </c>
      <c r="T509" t="s">
        <v>47</v>
      </c>
      <c r="U509">
        <v>53.692999999999998</v>
      </c>
      <c r="V509">
        <v>53</v>
      </c>
      <c r="W509">
        <v>46.11</v>
      </c>
      <c r="X509">
        <v>40.69</v>
      </c>
      <c r="Y509">
        <v>98.118844444444434</v>
      </c>
    </row>
    <row r="510" spans="1:25" x14ac:dyDescent="0.35">
      <c r="A510" t="s">
        <v>25</v>
      </c>
      <c r="B510" t="s">
        <v>1661</v>
      </c>
      <c r="C510" t="str">
        <f>VLOOKUP(B510,Tabelle3!A:C,2,FALSE)</f>
        <v>Süd</v>
      </c>
      <c r="D510" t="s">
        <v>27</v>
      </c>
      <c r="E510" t="s">
        <v>1647</v>
      </c>
      <c r="F510" t="s">
        <v>1662</v>
      </c>
      <c r="G510">
        <v>90441</v>
      </c>
      <c r="H510" t="s">
        <v>1649</v>
      </c>
      <c r="I510" t="s">
        <v>1650</v>
      </c>
      <c r="J510" t="s">
        <v>701</v>
      </c>
      <c r="K510">
        <v>38475</v>
      </c>
      <c r="L510" t="s">
        <v>33</v>
      </c>
      <c r="M510" t="s">
        <v>34</v>
      </c>
      <c r="N510" t="s">
        <v>33</v>
      </c>
      <c r="O510" t="s">
        <v>25</v>
      </c>
      <c r="P510" t="s">
        <v>35</v>
      </c>
      <c r="Q510" t="s">
        <v>33</v>
      </c>
      <c r="R510" t="s">
        <v>36</v>
      </c>
      <c r="S510">
        <v>0.5625</v>
      </c>
      <c r="T510" t="s">
        <v>47</v>
      </c>
      <c r="U510">
        <v>53.637</v>
      </c>
      <c r="V510">
        <v>53</v>
      </c>
      <c r="W510">
        <v>46.11</v>
      </c>
      <c r="X510">
        <v>40.69</v>
      </c>
      <c r="Y510">
        <v>98.118844444444434</v>
      </c>
    </row>
    <row r="511" spans="1:25" x14ac:dyDescent="0.35">
      <c r="A511" t="s">
        <v>25</v>
      </c>
      <c r="B511" t="s">
        <v>1663</v>
      </c>
      <c r="C511" t="str">
        <f>VLOOKUP(B511,Tabelle3!A:C,2,FALSE)</f>
        <v>Nord</v>
      </c>
      <c r="D511" t="s">
        <v>27</v>
      </c>
      <c r="E511" t="s">
        <v>1664</v>
      </c>
      <c r="F511" t="s">
        <v>1665</v>
      </c>
      <c r="G511">
        <v>26892</v>
      </c>
      <c r="H511" t="s">
        <v>1666</v>
      </c>
      <c r="I511" t="s">
        <v>1667</v>
      </c>
      <c r="J511" t="s">
        <v>765</v>
      </c>
      <c r="K511">
        <v>44704</v>
      </c>
      <c r="L511" t="s">
        <v>33</v>
      </c>
      <c r="M511" t="s">
        <v>34</v>
      </c>
      <c r="N511" t="s">
        <v>33</v>
      </c>
      <c r="O511" t="s">
        <v>25</v>
      </c>
      <c r="P511" t="s">
        <v>266</v>
      </c>
      <c r="Q511" t="s">
        <v>33</v>
      </c>
      <c r="R511" t="s">
        <v>46</v>
      </c>
      <c r="S511">
        <v>0.63</v>
      </c>
      <c r="T511" t="s">
        <v>37</v>
      </c>
      <c r="U511">
        <v>23.84</v>
      </c>
      <c r="V511">
        <v>22.61</v>
      </c>
      <c r="W511">
        <v>19.6707</v>
      </c>
      <c r="X511">
        <v>40.69</v>
      </c>
      <c r="Y511">
        <v>88.213253968253966</v>
      </c>
    </row>
    <row r="512" spans="1:25" x14ac:dyDescent="0.35">
      <c r="A512" t="s">
        <v>25</v>
      </c>
      <c r="B512" t="s">
        <v>1668</v>
      </c>
      <c r="C512" t="str">
        <f>VLOOKUP(B512,Tabelle3!A:C,2,FALSE)</f>
        <v>Nord</v>
      </c>
      <c r="D512" t="s">
        <v>27</v>
      </c>
      <c r="E512" t="s">
        <v>1664</v>
      </c>
      <c r="F512" t="s">
        <v>1669</v>
      </c>
      <c r="G512">
        <v>26892</v>
      </c>
      <c r="H512" t="s">
        <v>1666</v>
      </c>
      <c r="I512" t="s">
        <v>1667</v>
      </c>
      <c r="J512" t="s">
        <v>765</v>
      </c>
      <c r="K512">
        <v>44684</v>
      </c>
      <c r="L512" t="s">
        <v>33</v>
      </c>
      <c r="M512" t="s">
        <v>34</v>
      </c>
      <c r="N512" t="s">
        <v>33</v>
      </c>
      <c r="O512" t="s">
        <v>25</v>
      </c>
      <c r="P512" t="s">
        <v>35</v>
      </c>
      <c r="Q512" t="s">
        <v>33</v>
      </c>
      <c r="R512" t="s">
        <v>36</v>
      </c>
      <c r="S512">
        <v>0.47</v>
      </c>
      <c r="T512" t="s">
        <v>37</v>
      </c>
      <c r="U512">
        <v>61.491999999999997</v>
      </c>
      <c r="V512">
        <v>58.680999999999997</v>
      </c>
      <c r="W512">
        <v>51.05247</v>
      </c>
      <c r="X512">
        <v>40.69</v>
      </c>
      <c r="Y512">
        <v>117.2326595744681</v>
      </c>
    </row>
    <row r="513" spans="1:25" x14ac:dyDescent="0.35">
      <c r="A513" t="s">
        <v>25</v>
      </c>
      <c r="B513" t="s">
        <v>1670</v>
      </c>
      <c r="C513" t="str">
        <f>VLOOKUP(B513,Tabelle3!A:C,2,FALSE)</f>
        <v>Nord</v>
      </c>
      <c r="D513" t="s">
        <v>27</v>
      </c>
      <c r="E513" t="s">
        <v>1671</v>
      </c>
      <c r="F513" t="s">
        <v>1672</v>
      </c>
      <c r="G513">
        <v>31249</v>
      </c>
      <c r="H513" t="s">
        <v>1673</v>
      </c>
      <c r="I513" t="s">
        <v>1674</v>
      </c>
      <c r="J513" t="s">
        <v>765</v>
      </c>
      <c r="K513">
        <v>39692</v>
      </c>
      <c r="L513" t="s">
        <v>33</v>
      </c>
      <c r="M513" t="s">
        <v>34</v>
      </c>
      <c r="N513" t="s">
        <v>33</v>
      </c>
      <c r="O513" t="s">
        <v>25</v>
      </c>
      <c r="P513" t="s">
        <v>50</v>
      </c>
      <c r="Q513" t="s">
        <v>33</v>
      </c>
      <c r="R513" t="s">
        <v>46</v>
      </c>
      <c r="S513">
        <v>0.38829999999999998</v>
      </c>
      <c r="T513" t="s">
        <v>47</v>
      </c>
      <c r="U513">
        <v>18.649999999999999</v>
      </c>
      <c r="V513">
        <v>17.649999999999999</v>
      </c>
      <c r="W513">
        <v>15.355499999999999</v>
      </c>
      <c r="X513">
        <v>40.69</v>
      </c>
      <c r="Y513">
        <v>142.18851403553953</v>
      </c>
    </row>
    <row r="514" spans="1:25" x14ac:dyDescent="0.35">
      <c r="A514" t="s">
        <v>25</v>
      </c>
      <c r="B514" t="s">
        <v>1675</v>
      </c>
      <c r="C514" t="str">
        <f>VLOOKUP(B514,Tabelle3!A:C,2,FALSE)</f>
        <v>Nord</v>
      </c>
      <c r="D514" t="s">
        <v>27</v>
      </c>
      <c r="E514" t="s">
        <v>1676</v>
      </c>
      <c r="F514" t="s">
        <v>1672</v>
      </c>
      <c r="G514">
        <v>31171</v>
      </c>
      <c r="H514" t="s">
        <v>1677</v>
      </c>
      <c r="I514" t="s">
        <v>1678</v>
      </c>
      <c r="J514" t="s">
        <v>765</v>
      </c>
      <c r="K514">
        <v>32414</v>
      </c>
      <c r="L514" t="s">
        <v>33</v>
      </c>
      <c r="M514" t="s">
        <v>34</v>
      </c>
      <c r="N514" t="s">
        <v>33</v>
      </c>
      <c r="O514" t="s">
        <v>25</v>
      </c>
      <c r="P514" t="s">
        <v>266</v>
      </c>
      <c r="Q514" t="s">
        <v>33</v>
      </c>
      <c r="R514" t="s">
        <v>46</v>
      </c>
      <c r="S514">
        <v>0.33329999999999999</v>
      </c>
      <c r="T514" t="s">
        <v>47</v>
      </c>
      <c r="U514">
        <v>15</v>
      </c>
      <c r="V514">
        <v>13</v>
      </c>
      <c r="W514">
        <v>11.31</v>
      </c>
      <c r="X514">
        <v>40.69</v>
      </c>
      <c r="Y514">
        <v>165.40444044404441</v>
      </c>
    </row>
    <row r="515" spans="1:25" x14ac:dyDescent="0.35">
      <c r="A515" t="s">
        <v>25</v>
      </c>
      <c r="B515" t="s">
        <v>1679</v>
      </c>
      <c r="C515" t="str">
        <f>VLOOKUP(B515,Tabelle3!A:C,2,FALSE)</f>
        <v>Nord</v>
      </c>
      <c r="D515" t="s">
        <v>27</v>
      </c>
      <c r="E515" t="s">
        <v>1676</v>
      </c>
      <c r="F515" t="s">
        <v>1094</v>
      </c>
      <c r="G515">
        <v>31171</v>
      </c>
      <c r="H515" t="s">
        <v>1677</v>
      </c>
      <c r="I515" t="s">
        <v>1678</v>
      </c>
      <c r="J515" t="s">
        <v>765</v>
      </c>
      <c r="K515">
        <v>34296</v>
      </c>
      <c r="L515" t="s">
        <v>33</v>
      </c>
      <c r="M515" t="s">
        <v>34</v>
      </c>
      <c r="N515" t="s">
        <v>33</v>
      </c>
      <c r="O515" t="s">
        <v>25</v>
      </c>
      <c r="P515" t="s">
        <v>266</v>
      </c>
      <c r="Q515" t="s">
        <v>33</v>
      </c>
      <c r="R515" t="s">
        <v>46</v>
      </c>
      <c r="S515">
        <v>0.33329999999999999</v>
      </c>
      <c r="T515" t="s">
        <v>47</v>
      </c>
      <c r="U515">
        <v>15</v>
      </c>
      <c r="V515">
        <v>13</v>
      </c>
      <c r="W515">
        <v>11.31</v>
      </c>
      <c r="X515">
        <v>40.69</v>
      </c>
      <c r="Y515">
        <v>165.40444044404441</v>
      </c>
    </row>
    <row r="516" spans="1:25" x14ac:dyDescent="0.35">
      <c r="A516" t="s">
        <v>25</v>
      </c>
      <c r="B516" t="s">
        <v>1680</v>
      </c>
      <c r="C516" t="s">
        <v>4080</v>
      </c>
      <c r="D516" t="s">
        <v>27</v>
      </c>
      <c r="E516" t="s">
        <v>1681</v>
      </c>
      <c r="F516" t="s">
        <v>1094</v>
      </c>
      <c r="G516">
        <v>29525</v>
      </c>
      <c r="H516" t="s">
        <v>1682</v>
      </c>
      <c r="I516" t="s">
        <v>1683</v>
      </c>
      <c r="J516" t="s">
        <v>765</v>
      </c>
      <c r="K516">
        <v>23986</v>
      </c>
      <c r="L516" t="s">
        <v>92</v>
      </c>
      <c r="M516" t="s">
        <v>93</v>
      </c>
      <c r="N516" t="s">
        <v>92</v>
      </c>
      <c r="O516" t="s">
        <v>25</v>
      </c>
      <c r="P516" t="s">
        <v>50</v>
      </c>
      <c r="Q516" t="s">
        <v>92</v>
      </c>
      <c r="R516" t="s">
        <v>92</v>
      </c>
      <c r="S516">
        <v>0.33750000000000002</v>
      </c>
      <c r="T516" t="s">
        <v>47</v>
      </c>
      <c r="U516">
        <v>17.100000000000001</v>
      </c>
      <c r="V516">
        <v>14.9</v>
      </c>
      <c r="W516">
        <v>11.920000000000002</v>
      </c>
      <c r="X516">
        <v>15.55</v>
      </c>
      <c r="Y516">
        <v>116.62133333333333</v>
      </c>
    </row>
    <row r="517" spans="1:25" x14ac:dyDescent="0.35">
      <c r="A517" t="s">
        <v>25</v>
      </c>
      <c r="B517" t="s">
        <v>1684</v>
      </c>
      <c r="C517" t="s">
        <v>4080</v>
      </c>
      <c r="D517" t="s">
        <v>27</v>
      </c>
      <c r="E517" t="s">
        <v>1681</v>
      </c>
      <c r="F517" t="s">
        <v>1672</v>
      </c>
      <c r="G517">
        <v>29525</v>
      </c>
      <c r="H517" t="s">
        <v>1682</v>
      </c>
      <c r="I517" t="s">
        <v>1683</v>
      </c>
      <c r="J517" t="s">
        <v>765</v>
      </c>
      <c r="K517">
        <v>23986</v>
      </c>
      <c r="L517" t="s">
        <v>92</v>
      </c>
      <c r="M517" t="s">
        <v>93</v>
      </c>
      <c r="N517" t="s">
        <v>92</v>
      </c>
      <c r="O517" t="s">
        <v>25</v>
      </c>
      <c r="P517" t="s">
        <v>266</v>
      </c>
      <c r="Q517" t="s">
        <v>92</v>
      </c>
      <c r="R517" t="s">
        <v>92</v>
      </c>
      <c r="S517">
        <v>0.33750000000000002</v>
      </c>
      <c r="T517" t="s">
        <v>47</v>
      </c>
      <c r="U517">
        <v>23</v>
      </c>
      <c r="V517">
        <v>20</v>
      </c>
      <c r="W517">
        <v>16</v>
      </c>
      <c r="X517">
        <v>15.55</v>
      </c>
      <c r="Y517">
        <v>116.62133333333333</v>
      </c>
    </row>
    <row r="518" spans="1:25" x14ac:dyDescent="0.35">
      <c r="A518" t="s">
        <v>25</v>
      </c>
      <c r="B518" t="s">
        <v>1685</v>
      </c>
      <c r="C518" t="s">
        <v>4080</v>
      </c>
      <c r="D518" t="s">
        <v>27</v>
      </c>
      <c r="E518" t="s">
        <v>1686</v>
      </c>
      <c r="F518" t="s">
        <v>1687</v>
      </c>
      <c r="G518">
        <v>26386</v>
      </c>
      <c r="H518" t="s">
        <v>1688</v>
      </c>
      <c r="I518" t="s">
        <v>1689</v>
      </c>
      <c r="J518" t="s">
        <v>765</v>
      </c>
      <c r="K518">
        <v>42338</v>
      </c>
      <c r="L518" t="s">
        <v>92</v>
      </c>
      <c r="M518" t="s">
        <v>93</v>
      </c>
      <c r="N518" t="s">
        <v>92</v>
      </c>
      <c r="O518" t="s">
        <v>44</v>
      </c>
      <c r="P518" t="s">
        <v>45</v>
      </c>
      <c r="Q518" t="s">
        <v>92</v>
      </c>
      <c r="R518" t="s">
        <v>92</v>
      </c>
      <c r="S518">
        <v>0.46250000000000002</v>
      </c>
      <c r="T518" t="s">
        <v>47</v>
      </c>
      <c r="U518">
        <v>790</v>
      </c>
      <c r="V518">
        <v>726</v>
      </c>
      <c r="W518">
        <v>580.80000000000007</v>
      </c>
      <c r="X518">
        <v>15.55</v>
      </c>
      <c r="Y518">
        <v>85.453405405405405</v>
      </c>
    </row>
    <row r="519" spans="1:25" x14ac:dyDescent="0.35">
      <c r="A519" t="s">
        <v>25</v>
      </c>
      <c r="B519" t="s">
        <v>1690</v>
      </c>
      <c r="C519" t="s">
        <v>4081</v>
      </c>
      <c r="D519" t="s">
        <v>27</v>
      </c>
      <c r="E519" t="s">
        <v>1691</v>
      </c>
      <c r="F519" t="s">
        <v>1692</v>
      </c>
      <c r="G519">
        <v>85406</v>
      </c>
      <c r="H519" t="s">
        <v>1693</v>
      </c>
      <c r="I519" t="s">
        <v>1694</v>
      </c>
      <c r="J519" t="s">
        <v>701</v>
      </c>
      <c r="K519">
        <v>31413</v>
      </c>
      <c r="L519" t="s">
        <v>60</v>
      </c>
      <c r="M519" t="s">
        <v>61</v>
      </c>
      <c r="N519" t="s">
        <v>60</v>
      </c>
      <c r="O519" t="s">
        <v>44</v>
      </c>
      <c r="P519" t="s">
        <v>62</v>
      </c>
      <c r="Q519" t="s">
        <v>63</v>
      </c>
      <c r="R519" t="s">
        <v>63</v>
      </c>
      <c r="S519">
        <v>0.31759999999999999</v>
      </c>
      <c r="T519" t="s">
        <v>47</v>
      </c>
      <c r="U519">
        <v>25</v>
      </c>
      <c r="V519">
        <v>24.5</v>
      </c>
      <c r="W519">
        <v>20.824999999999999</v>
      </c>
      <c r="X519">
        <v>95.89</v>
      </c>
      <c r="Y519">
        <v>364.06045340050383</v>
      </c>
    </row>
    <row r="520" spans="1:25" x14ac:dyDescent="0.35">
      <c r="A520" t="s">
        <v>25</v>
      </c>
      <c r="B520" t="s">
        <v>1695</v>
      </c>
      <c r="C520" t="s">
        <v>4081</v>
      </c>
      <c r="D520" t="s">
        <v>27</v>
      </c>
      <c r="E520" t="s">
        <v>1691</v>
      </c>
      <c r="F520" t="s">
        <v>1696</v>
      </c>
      <c r="G520">
        <v>85406</v>
      </c>
      <c r="H520" t="s">
        <v>1693</v>
      </c>
      <c r="I520" t="s">
        <v>1694</v>
      </c>
      <c r="J520" t="s">
        <v>701</v>
      </c>
      <c r="K520">
        <v>27760</v>
      </c>
      <c r="L520" t="s">
        <v>60</v>
      </c>
      <c r="M520" t="s">
        <v>61</v>
      </c>
      <c r="N520" t="s">
        <v>60</v>
      </c>
      <c r="O520" t="s">
        <v>44</v>
      </c>
      <c r="P520" t="s">
        <v>62</v>
      </c>
      <c r="Q520" t="s">
        <v>63</v>
      </c>
      <c r="R520" t="s">
        <v>63</v>
      </c>
      <c r="S520">
        <v>0.31759999999999999</v>
      </c>
      <c r="T520" t="s">
        <v>47</v>
      </c>
      <c r="U520">
        <v>25</v>
      </c>
      <c r="V520">
        <v>24.5</v>
      </c>
      <c r="W520">
        <v>20.824999999999999</v>
      </c>
      <c r="X520">
        <v>95.89</v>
      </c>
      <c r="Y520">
        <v>364.06045340050383</v>
      </c>
    </row>
    <row r="521" spans="1:25" x14ac:dyDescent="0.35">
      <c r="A521" t="s">
        <v>44</v>
      </c>
      <c r="B521" t="s">
        <v>1697</v>
      </c>
      <c r="C521" t="s">
        <v>4081</v>
      </c>
      <c r="D521" t="s">
        <v>870</v>
      </c>
      <c r="E521" t="s">
        <v>1691</v>
      </c>
      <c r="F521" t="s">
        <v>1698</v>
      </c>
      <c r="G521">
        <v>85406</v>
      </c>
      <c r="H521" t="s">
        <v>1693</v>
      </c>
      <c r="I521" t="s">
        <v>1694</v>
      </c>
      <c r="J521" t="s">
        <v>701</v>
      </c>
      <c r="K521">
        <v>31048</v>
      </c>
      <c r="L521" t="s">
        <v>92</v>
      </c>
      <c r="M521" t="s">
        <v>93</v>
      </c>
      <c r="N521" t="s">
        <v>92</v>
      </c>
      <c r="O521" t="s">
        <v>25</v>
      </c>
      <c r="P521" t="s">
        <v>82</v>
      </c>
      <c r="Q521" t="s">
        <v>92</v>
      </c>
      <c r="R521" t="s">
        <v>92</v>
      </c>
      <c r="S521">
        <v>0.45250000000000001</v>
      </c>
      <c r="T521" t="s">
        <v>47</v>
      </c>
      <c r="U521">
        <v>501</v>
      </c>
      <c r="V521">
        <v>472</v>
      </c>
      <c r="W521">
        <v>377.6</v>
      </c>
      <c r="X521">
        <v>15.55</v>
      </c>
      <c r="Y521">
        <v>87.313149171270723</v>
      </c>
    </row>
    <row r="522" spans="1:25" x14ac:dyDescent="0.35">
      <c r="A522" t="s">
        <v>25</v>
      </c>
      <c r="B522" t="s">
        <v>1699</v>
      </c>
      <c r="C522" t="str">
        <f>VLOOKUP(B522,Tabelle3!A:C,2,FALSE)</f>
        <v>Süd</v>
      </c>
      <c r="D522" t="s">
        <v>27</v>
      </c>
      <c r="E522" t="s">
        <v>1059</v>
      </c>
      <c r="F522" t="s">
        <v>1700</v>
      </c>
      <c r="G522">
        <v>97483</v>
      </c>
      <c r="H522" t="s">
        <v>1701</v>
      </c>
      <c r="I522" t="s">
        <v>1702</v>
      </c>
      <c r="J522" t="s">
        <v>701</v>
      </c>
      <c r="K522">
        <v>42773</v>
      </c>
      <c r="L522" t="s">
        <v>33</v>
      </c>
      <c r="M522" t="s">
        <v>34</v>
      </c>
      <c r="N522" t="s">
        <v>33</v>
      </c>
      <c r="O522" t="s">
        <v>25</v>
      </c>
      <c r="P522" t="s">
        <v>35</v>
      </c>
      <c r="Q522" t="s">
        <v>33</v>
      </c>
      <c r="R522" t="s">
        <v>36</v>
      </c>
      <c r="S522">
        <v>0.39269999999999999</v>
      </c>
      <c r="T522" t="s">
        <v>47</v>
      </c>
      <c r="U522">
        <v>75.185000000000002</v>
      </c>
      <c r="V522">
        <v>75.185000000000002</v>
      </c>
      <c r="W522">
        <v>65.41095</v>
      </c>
      <c r="X522">
        <v>40.69</v>
      </c>
      <c r="Y522">
        <v>140.11217214158393</v>
      </c>
    </row>
    <row r="523" spans="1:25" x14ac:dyDescent="0.35">
      <c r="A523" t="s">
        <v>25</v>
      </c>
      <c r="B523" t="s">
        <v>1703</v>
      </c>
      <c r="C523" t="str">
        <f>VLOOKUP(B523,Tabelle3!A:C,2,FALSE)</f>
        <v>Nord</v>
      </c>
      <c r="D523" t="s">
        <v>27</v>
      </c>
      <c r="E523" t="s">
        <v>1704</v>
      </c>
      <c r="F523" t="s">
        <v>1705</v>
      </c>
      <c r="G523">
        <v>26316</v>
      </c>
      <c r="H523" t="s">
        <v>1706</v>
      </c>
      <c r="I523" t="s">
        <v>1707</v>
      </c>
      <c r="J523" t="s">
        <v>765</v>
      </c>
      <c r="K523">
        <v>37773</v>
      </c>
      <c r="L523" t="s">
        <v>69</v>
      </c>
      <c r="N523" t="s">
        <v>69</v>
      </c>
      <c r="O523" t="s">
        <v>25</v>
      </c>
      <c r="P523" t="s">
        <v>266</v>
      </c>
      <c r="Q523" t="s">
        <v>71</v>
      </c>
      <c r="R523" t="s">
        <v>71</v>
      </c>
      <c r="S523">
        <v>0.37290000000000001</v>
      </c>
      <c r="T523" t="s">
        <v>47</v>
      </c>
      <c r="U523">
        <v>12.7</v>
      </c>
      <c r="V523">
        <v>12.025</v>
      </c>
      <c r="W523">
        <v>10.22125</v>
      </c>
      <c r="X523">
        <v>95.59</v>
      </c>
      <c r="Y523">
        <v>297.14078841512469</v>
      </c>
    </row>
    <row r="524" spans="1:25" x14ac:dyDescent="0.35">
      <c r="A524" t="s">
        <v>25</v>
      </c>
      <c r="B524" t="s">
        <v>1708</v>
      </c>
      <c r="C524" t="str">
        <f>VLOOKUP(B524,Tabelle3!A:C,2,FALSE)</f>
        <v>Nord</v>
      </c>
      <c r="D524" t="s">
        <v>27</v>
      </c>
      <c r="E524" t="s">
        <v>1704</v>
      </c>
      <c r="F524" t="s">
        <v>1709</v>
      </c>
      <c r="G524">
        <v>26316</v>
      </c>
      <c r="H524" t="s">
        <v>1706</v>
      </c>
      <c r="I524" t="s">
        <v>1707</v>
      </c>
      <c r="J524" t="s">
        <v>765</v>
      </c>
      <c r="K524">
        <v>40795</v>
      </c>
      <c r="L524" t="s">
        <v>69</v>
      </c>
      <c r="N524" t="s">
        <v>69</v>
      </c>
      <c r="O524" t="s">
        <v>25</v>
      </c>
      <c r="P524" t="s">
        <v>266</v>
      </c>
      <c r="Q524" t="s">
        <v>71</v>
      </c>
      <c r="R524" t="s">
        <v>71</v>
      </c>
      <c r="S524">
        <v>0.37290000000000001</v>
      </c>
      <c r="T524" t="s">
        <v>47</v>
      </c>
      <c r="U524">
        <v>13.41</v>
      </c>
      <c r="V524">
        <v>13.167</v>
      </c>
      <c r="W524">
        <v>11.19195</v>
      </c>
      <c r="X524">
        <v>95.59</v>
      </c>
      <c r="Y524">
        <v>297.14078841512469</v>
      </c>
    </row>
    <row r="525" spans="1:25" x14ac:dyDescent="0.35">
      <c r="A525" t="s">
        <v>25</v>
      </c>
      <c r="B525" t="s">
        <v>1710</v>
      </c>
      <c r="C525" t="str">
        <f>VLOOKUP(B525,Tabelle3!A:C,2,FALSE)</f>
        <v>Nord</v>
      </c>
      <c r="D525" t="s">
        <v>27</v>
      </c>
      <c r="E525" t="s">
        <v>1711</v>
      </c>
      <c r="F525" t="s">
        <v>1712</v>
      </c>
      <c r="G525">
        <v>36039</v>
      </c>
      <c r="H525" t="s">
        <v>1713</v>
      </c>
      <c r="I525" t="s">
        <v>1714</v>
      </c>
      <c r="J525" t="s">
        <v>865</v>
      </c>
      <c r="K525">
        <v>33606</v>
      </c>
      <c r="L525" t="s">
        <v>33</v>
      </c>
      <c r="M525" t="s">
        <v>34</v>
      </c>
      <c r="N525" t="s">
        <v>33</v>
      </c>
      <c r="O525" t="s">
        <v>25</v>
      </c>
      <c r="P525" t="s">
        <v>50</v>
      </c>
      <c r="Q525" t="s">
        <v>33</v>
      </c>
      <c r="R525" t="s">
        <v>46</v>
      </c>
      <c r="S525">
        <v>0.3982</v>
      </c>
      <c r="T525" t="s">
        <v>47</v>
      </c>
      <c r="U525">
        <v>14.5</v>
      </c>
      <c r="V525">
        <v>13.52</v>
      </c>
      <c r="W525">
        <v>11.7624</v>
      </c>
      <c r="X525">
        <v>40.69</v>
      </c>
      <c r="Y525">
        <v>138.69073329984931</v>
      </c>
    </row>
    <row r="526" spans="1:25" x14ac:dyDescent="0.35">
      <c r="A526" t="s">
        <v>25</v>
      </c>
      <c r="B526" t="s">
        <v>1715</v>
      </c>
      <c r="C526" t="str">
        <f>VLOOKUP(B526,Tabelle3!A:C,2,FALSE)</f>
        <v>Nord</v>
      </c>
      <c r="D526" t="s">
        <v>27</v>
      </c>
      <c r="E526" t="s">
        <v>1716</v>
      </c>
      <c r="F526" t="s">
        <v>1591</v>
      </c>
      <c r="G526">
        <v>31061</v>
      </c>
      <c r="H526" t="s">
        <v>1717</v>
      </c>
      <c r="I526" t="s">
        <v>1718</v>
      </c>
      <c r="J526" t="s">
        <v>765</v>
      </c>
      <c r="K526">
        <v>25832</v>
      </c>
      <c r="L526" t="s">
        <v>33</v>
      </c>
      <c r="M526" t="s">
        <v>34</v>
      </c>
      <c r="N526" t="s">
        <v>33</v>
      </c>
      <c r="O526" t="s">
        <v>25</v>
      </c>
      <c r="P526" t="s">
        <v>50</v>
      </c>
      <c r="Q526" t="s">
        <v>33</v>
      </c>
      <c r="R526" t="s">
        <v>46</v>
      </c>
      <c r="S526">
        <v>0.32669999999999999</v>
      </c>
      <c r="T526" t="s">
        <v>47</v>
      </c>
      <c r="U526">
        <v>14</v>
      </c>
      <c r="V526">
        <v>11</v>
      </c>
      <c r="W526">
        <v>9.57</v>
      </c>
      <c r="X526">
        <v>40.69</v>
      </c>
      <c r="Y526">
        <v>168.71564126109581</v>
      </c>
    </row>
    <row r="527" spans="1:25" x14ac:dyDescent="0.35">
      <c r="A527" t="s">
        <v>25</v>
      </c>
      <c r="B527" t="s">
        <v>1719</v>
      </c>
      <c r="C527" t="str">
        <f>VLOOKUP(B527,Tabelle3!A:C,2,FALSE)</f>
        <v>Nord</v>
      </c>
      <c r="D527" t="s">
        <v>27</v>
      </c>
      <c r="E527" t="s">
        <v>1720</v>
      </c>
      <c r="F527" t="s">
        <v>1721</v>
      </c>
      <c r="G527">
        <v>37412</v>
      </c>
      <c r="H527" t="s">
        <v>1722</v>
      </c>
      <c r="I527" t="s">
        <v>1723</v>
      </c>
      <c r="J527" t="s">
        <v>765</v>
      </c>
      <c r="K527">
        <v>30317</v>
      </c>
      <c r="L527" t="s">
        <v>33</v>
      </c>
      <c r="M527" t="s">
        <v>34</v>
      </c>
      <c r="N527" t="s">
        <v>33</v>
      </c>
      <c r="O527" t="s">
        <v>25</v>
      </c>
      <c r="P527" t="s">
        <v>82</v>
      </c>
      <c r="Q527" t="s">
        <v>33</v>
      </c>
      <c r="R527" t="s">
        <v>46</v>
      </c>
      <c r="S527">
        <v>0.45</v>
      </c>
      <c r="T527" t="s">
        <v>37</v>
      </c>
      <c r="U527">
        <v>14.4</v>
      </c>
      <c r="V527">
        <v>13.49</v>
      </c>
      <c r="W527">
        <v>11.7363</v>
      </c>
      <c r="X527">
        <v>40.69</v>
      </c>
      <c r="Y527">
        <v>122.89855555555555</v>
      </c>
    </row>
    <row r="528" spans="1:25" x14ac:dyDescent="0.35">
      <c r="A528" t="s">
        <v>25</v>
      </c>
      <c r="B528" t="s">
        <v>1724</v>
      </c>
      <c r="C528" t="str">
        <f>VLOOKUP(B528,Tabelle3!A:C,2,FALSE)</f>
        <v>Nord</v>
      </c>
      <c r="D528" t="s">
        <v>27</v>
      </c>
      <c r="E528" t="s">
        <v>1725</v>
      </c>
      <c r="F528" t="s">
        <v>1726</v>
      </c>
      <c r="G528">
        <v>34134</v>
      </c>
      <c r="H528" t="s">
        <v>1644</v>
      </c>
      <c r="I528" t="s">
        <v>1727</v>
      </c>
      <c r="J528" t="s">
        <v>865</v>
      </c>
      <c r="K528">
        <v>44286</v>
      </c>
      <c r="L528" t="s">
        <v>33</v>
      </c>
      <c r="M528" t="s">
        <v>34</v>
      </c>
      <c r="N528" t="s">
        <v>33</v>
      </c>
      <c r="O528" t="s">
        <v>25</v>
      </c>
      <c r="P528" t="s">
        <v>87</v>
      </c>
      <c r="Q528" t="s">
        <v>33</v>
      </c>
      <c r="R528" t="s">
        <v>46</v>
      </c>
      <c r="S528">
        <v>0.63</v>
      </c>
      <c r="T528" t="s">
        <v>37</v>
      </c>
      <c r="U528">
        <v>15.68</v>
      </c>
      <c r="V528">
        <v>15.29</v>
      </c>
      <c r="W528">
        <v>13.302299999999999</v>
      </c>
      <c r="X528">
        <v>40.69</v>
      </c>
      <c r="Y528">
        <v>88.213253968253966</v>
      </c>
    </row>
    <row r="529" spans="1:25" x14ac:dyDescent="0.35">
      <c r="A529" t="s">
        <v>25</v>
      </c>
      <c r="B529" t="s">
        <v>1728</v>
      </c>
      <c r="C529" t="str">
        <f>VLOOKUP(B529,Tabelle3!A:C,2,FALSE)</f>
        <v>Nord</v>
      </c>
      <c r="D529" t="s">
        <v>27</v>
      </c>
      <c r="E529" t="s">
        <v>1725</v>
      </c>
      <c r="F529" t="s">
        <v>1729</v>
      </c>
      <c r="G529">
        <v>34134</v>
      </c>
      <c r="H529" t="s">
        <v>1644</v>
      </c>
      <c r="I529" t="s">
        <v>1727</v>
      </c>
      <c r="J529" t="s">
        <v>865</v>
      </c>
      <c r="K529">
        <v>38691</v>
      </c>
      <c r="L529" t="s">
        <v>33</v>
      </c>
      <c r="M529" t="s">
        <v>34</v>
      </c>
      <c r="N529" t="s">
        <v>33</v>
      </c>
      <c r="O529" t="s">
        <v>25</v>
      </c>
      <c r="P529" t="s">
        <v>87</v>
      </c>
      <c r="Q529" t="s">
        <v>33</v>
      </c>
      <c r="R529" t="s">
        <v>46</v>
      </c>
      <c r="S529">
        <v>0.37180000000000002</v>
      </c>
      <c r="T529" t="s">
        <v>47</v>
      </c>
      <c r="U529">
        <v>31.95</v>
      </c>
      <c r="V529">
        <v>31.15</v>
      </c>
      <c r="W529">
        <v>27.1005</v>
      </c>
      <c r="X529">
        <v>40.69</v>
      </c>
      <c r="Y529">
        <v>148.43208714362558</v>
      </c>
    </row>
    <row r="530" spans="1:25" x14ac:dyDescent="0.35">
      <c r="A530" t="s">
        <v>25</v>
      </c>
      <c r="B530" t="s">
        <v>1730</v>
      </c>
      <c r="C530" t="str">
        <f>VLOOKUP(B530,Tabelle3!A:C,2,FALSE)</f>
        <v>Nord</v>
      </c>
      <c r="D530" t="s">
        <v>27</v>
      </c>
      <c r="E530" t="s">
        <v>1731</v>
      </c>
      <c r="F530" t="s">
        <v>1732</v>
      </c>
      <c r="G530">
        <v>33611</v>
      </c>
      <c r="H530" t="s">
        <v>1636</v>
      </c>
      <c r="I530" t="s">
        <v>1733</v>
      </c>
      <c r="J530" t="s">
        <v>693</v>
      </c>
      <c r="K530">
        <v>24442</v>
      </c>
      <c r="L530" t="s">
        <v>33</v>
      </c>
      <c r="M530" t="s">
        <v>34</v>
      </c>
      <c r="N530" t="s">
        <v>33</v>
      </c>
      <c r="O530" t="s">
        <v>25</v>
      </c>
      <c r="P530" t="s">
        <v>82</v>
      </c>
      <c r="Q530" t="s">
        <v>33</v>
      </c>
      <c r="R530" t="s">
        <v>46</v>
      </c>
      <c r="S530">
        <v>0.34760000000000002</v>
      </c>
      <c r="T530" t="s">
        <v>47</v>
      </c>
      <c r="U530">
        <v>20.5</v>
      </c>
      <c r="V530">
        <v>20</v>
      </c>
      <c r="W530">
        <v>17.399999999999999</v>
      </c>
      <c r="X530">
        <v>40.69</v>
      </c>
      <c r="Y530">
        <v>158.66153624856153</v>
      </c>
    </row>
    <row r="531" spans="1:25" x14ac:dyDescent="0.35">
      <c r="A531" t="s">
        <v>25</v>
      </c>
      <c r="B531" t="s">
        <v>1734</v>
      </c>
      <c r="C531" t="str">
        <f>VLOOKUP(B531,Tabelle3!A:C,2,FALSE)</f>
        <v>Nord</v>
      </c>
      <c r="D531" t="s">
        <v>27</v>
      </c>
      <c r="E531" t="s">
        <v>1731</v>
      </c>
      <c r="F531" t="s">
        <v>1735</v>
      </c>
      <c r="G531">
        <v>33611</v>
      </c>
      <c r="H531" t="s">
        <v>1636</v>
      </c>
      <c r="I531" t="s">
        <v>1733</v>
      </c>
      <c r="J531" t="s">
        <v>693</v>
      </c>
      <c r="K531">
        <v>28265</v>
      </c>
      <c r="L531" t="s">
        <v>33</v>
      </c>
      <c r="M531" t="s">
        <v>34</v>
      </c>
      <c r="N531" t="s">
        <v>33</v>
      </c>
      <c r="O531" t="s">
        <v>25</v>
      </c>
      <c r="P531" t="s">
        <v>87</v>
      </c>
      <c r="Q531" t="s">
        <v>33</v>
      </c>
      <c r="R531" t="s">
        <v>46</v>
      </c>
      <c r="S531">
        <v>0.35970000000000002</v>
      </c>
      <c r="T531" t="s">
        <v>47</v>
      </c>
      <c r="U531">
        <v>24</v>
      </c>
      <c r="V531">
        <v>23.5</v>
      </c>
      <c r="W531">
        <v>20.445</v>
      </c>
      <c r="X531">
        <v>40.69</v>
      </c>
      <c r="Y531">
        <v>153.37475674172919</v>
      </c>
    </row>
    <row r="532" spans="1:25" x14ac:dyDescent="0.35">
      <c r="A532" t="s">
        <v>25</v>
      </c>
      <c r="B532" t="s">
        <v>1736</v>
      </c>
      <c r="C532" t="str">
        <f>VLOOKUP(B532,Tabelle3!A:C,2,FALSE)</f>
        <v>Nord</v>
      </c>
      <c r="D532" t="s">
        <v>27</v>
      </c>
      <c r="E532" t="s">
        <v>1731</v>
      </c>
      <c r="F532" t="s">
        <v>1737</v>
      </c>
      <c r="G532">
        <v>33611</v>
      </c>
      <c r="H532" t="s">
        <v>1636</v>
      </c>
      <c r="I532" t="s">
        <v>1738</v>
      </c>
      <c r="J532" t="s">
        <v>693</v>
      </c>
      <c r="K532">
        <v>24442</v>
      </c>
      <c r="L532" t="s">
        <v>33</v>
      </c>
      <c r="M532" t="s">
        <v>34</v>
      </c>
      <c r="N532" t="s">
        <v>33</v>
      </c>
      <c r="O532" t="s">
        <v>25</v>
      </c>
      <c r="P532" t="s">
        <v>50</v>
      </c>
      <c r="Q532" t="s">
        <v>33</v>
      </c>
      <c r="R532" t="s">
        <v>46</v>
      </c>
      <c r="S532">
        <v>0.34760000000000002</v>
      </c>
      <c r="T532" t="s">
        <v>47</v>
      </c>
      <c r="U532">
        <v>28.5</v>
      </c>
      <c r="V532">
        <v>28.5</v>
      </c>
      <c r="W532">
        <v>24.794999999999998</v>
      </c>
      <c r="X532">
        <v>40.69</v>
      </c>
      <c r="Y532">
        <v>158.66153624856153</v>
      </c>
    </row>
    <row r="533" spans="1:25" x14ac:dyDescent="0.35">
      <c r="A533" t="s">
        <v>25</v>
      </c>
      <c r="B533" t="s">
        <v>1739</v>
      </c>
      <c r="C533" t="str">
        <f>VLOOKUP(B533,Tabelle3!A:C,2,FALSE)</f>
        <v>Nord</v>
      </c>
      <c r="D533" t="s">
        <v>27</v>
      </c>
      <c r="E533" t="s">
        <v>1740</v>
      </c>
      <c r="F533" t="s">
        <v>1741</v>
      </c>
      <c r="G533">
        <v>24939</v>
      </c>
      <c r="H533" t="s">
        <v>1742</v>
      </c>
      <c r="I533" t="s">
        <v>1743</v>
      </c>
      <c r="J533" t="s">
        <v>276</v>
      </c>
      <c r="K533">
        <v>42491</v>
      </c>
      <c r="L533" t="s">
        <v>33</v>
      </c>
      <c r="M533" t="s">
        <v>34</v>
      </c>
      <c r="N533" t="s">
        <v>33</v>
      </c>
      <c r="O533" t="s">
        <v>25</v>
      </c>
      <c r="P533" t="s">
        <v>266</v>
      </c>
      <c r="Q533" t="s">
        <v>33</v>
      </c>
      <c r="R533" t="s">
        <v>46</v>
      </c>
      <c r="S533">
        <v>0.61199999999999999</v>
      </c>
      <c r="T533" t="s">
        <v>47</v>
      </c>
      <c r="U533">
        <v>27.9</v>
      </c>
      <c r="V533">
        <v>27.2</v>
      </c>
      <c r="W533">
        <v>23.663999999999998</v>
      </c>
      <c r="X533">
        <v>40.69</v>
      </c>
      <c r="Y533">
        <v>90.76364379084967</v>
      </c>
    </row>
    <row r="534" spans="1:25" x14ac:dyDescent="0.35">
      <c r="A534" t="s">
        <v>25</v>
      </c>
      <c r="B534" t="s">
        <v>1744</v>
      </c>
      <c r="C534" t="str">
        <f>VLOOKUP(B534,Tabelle3!A:C,2,FALSE)</f>
        <v>Nord</v>
      </c>
      <c r="D534" t="s">
        <v>27</v>
      </c>
      <c r="E534" t="s">
        <v>1740</v>
      </c>
      <c r="F534" t="s">
        <v>773</v>
      </c>
      <c r="G534">
        <v>24939</v>
      </c>
      <c r="H534" t="s">
        <v>1742</v>
      </c>
      <c r="I534" t="s">
        <v>1743</v>
      </c>
      <c r="J534" t="s">
        <v>276</v>
      </c>
      <c r="K534">
        <v>29515</v>
      </c>
      <c r="L534" t="s">
        <v>33</v>
      </c>
      <c r="M534" t="s">
        <v>34</v>
      </c>
      <c r="N534" t="s">
        <v>33</v>
      </c>
      <c r="O534" t="s">
        <v>25</v>
      </c>
      <c r="P534" t="s">
        <v>266</v>
      </c>
      <c r="Q534" t="s">
        <v>33</v>
      </c>
      <c r="R534" t="s">
        <v>46</v>
      </c>
      <c r="S534">
        <v>0.40260000000000001</v>
      </c>
      <c r="T534" t="s">
        <v>47</v>
      </c>
      <c r="U534">
        <v>34.159999999999997</v>
      </c>
      <c r="V534">
        <v>28</v>
      </c>
      <c r="W534">
        <v>24.36</v>
      </c>
      <c r="X534">
        <v>40.69</v>
      </c>
      <c r="Y534">
        <v>137.19138102334821</v>
      </c>
    </row>
    <row r="535" spans="1:25" x14ac:dyDescent="0.35">
      <c r="A535" t="s">
        <v>25</v>
      </c>
      <c r="B535" t="s">
        <v>1745</v>
      </c>
      <c r="C535" t="str">
        <f>VLOOKUP(B535,Tabelle3!A:C,2,FALSE)</f>
        <v>Nord</v>
      </c>
      <c r="D535" t="s">
        <v>27</v>
      </c>
      <c r="E535" t="s">
        <v>1740</v>
      </c>
      <c r="F535" t="s">
        <v>1746</v>
      </c>
      <c r="G535">
        <v>24939</v>
      </c>
      <c r="H535" t="s">
        <v>1742</v>
      </c>
      <c r="I535" t="s">
        <v>1743</v>
      </c>
      <c r="J535" t="s">
        <v>276</v>
      </c>
      <c r="K535">
        <v>44911</v>
      </c>
      <c r="L535" t="s">
        <v>33</v>
      </c>
      <c r="M535" t="s">
        <v>34</v>
      </c>
      <c r="N535" t="s">
        <v>33</v>
      </c>
      <c r="O535" t="s">
        <v>25</v>
      </c>
      <c r="P535" t="s">
        <v>266</v>
      </c>
      <c r="Q535" t="s">
        <v>33</v>
      </c>
      <c r="R535" t="s">
        <v>46</v>
      </c>
      <c r="S535">
        <v>0.63</v>
      </c>
      <c r="T535" t="s">
        <v>37</v>
      </c>
      <c r="U535">
        <v>38.700000000000003</v>
      </c>
      <c r="V535">
        <v>38.200000000000003</v>
      </c>
      <c r="W535">
        <v>33.234000000000002</v>
      </c>
      <c r="X535">
        <v>40.69</v>
      </c>
      <c r="Y535">
        <v>88.213253968253966</v>
      </c>
    </row>
    <row r="536" spans="1:25" x14ac:dyDescent="0.35">
      <c r="A536" t="s">
        <v>25</v>
      </c>
      <c r="B536" t="s">
        <v>1747</v>
      </c>
      <c r="C536" t="str">
        <f>VLOOKUP(B536,Tabelle3!A:C,2,FALSE)</f>
        <v>Nord</v>
      </c>
      <c r="D536" t="s">
        <v>27</v>
      </c>
      <c r="E536" t="s">
        <v>1740</v>
      </c>
      <c r="F536" t="s">
        <v>1748</v>
      </c>
      <c r="G536">
        <v>24939</v>
      </c>
      <c r="H536" t="s">
        <v>1742</v>
      </c>
      <c r="I536" t="s">
        <v>1743</v>
      </c>
      <c r="J536" t="s">
        <v>276</v>
      </c>
      <c r="K536">
        <v>42474</v>
      </c>
      <c r="L536" t="s">
        <v>33</v>
      </c>
      <c r="M536" t="s">
        <v>34</v>
      </c>
      <c r="N536" t="s">
        <v>33</v>
      </c>
      <c r="O536" t="s">
        <v>25</v>
      </c>
      <c r="P536" t="s">
        <v>87</v>
      </c>
      <c r="Q536" t="s">
        <v>33</v>
      </c>
      <c r="R536" t="s">
        <v>46</v>
      </c>
      <c r="S536">
        <v>0.61199999999999999</v>
      </c>
      <c r="T536" t="s">
        <v>47</v>
      </c>
      <c r="U536">
        <v>50.2</v>
      </c>
      <c r="V536">
        <v>50.1</v>
      </c>
      <c r="W536">
        <v>43.587000000000003</v>
      </c>
      <c r="X536">
        <v>40.69</v>
      </c>
      <c r="Y536">
        <v>90.76364379084967</v>
      </c>
    </row>
    <row r="537" spans="1:25" x14ac:dyDescent="0.35">
      <c r="A537" t="s">
        <v>25</v>
      </c>
      <c r="B537" t="s">
        <v>1749</v>
      </c>
      <c r="C537" t="str">
        <f>VLOOKUP(B537,Tabelle3!A:C,2,FALSE)</f>
        <v>Nord</v>
      </c>
      <c r="D537" t="s">
        <v>27</v>
      </c>
      <c r="E537" t="s">
        <v>1740</v>
      </c>
      <c r="F537" t="s">
        <v>1750</v>
      </c>
      <c r="G537">
        <v>24939</v>
      </c>
      <c r="H537" t="s">
        <v>1742</v>
      </c>
      <c r="I537" t="s">
        <v>1743</v>
      </c>
      <c r="J537" t="s">
        <v>276</v>
      </c>
      <c r="K537">
        <v>44868</v>
      </c>
      <c r="L537" t="s">
        <v>33</v>
      </c>
      <c r="M537" t="s">
        <v>34</v>
      </c>
      <c r="N537" t="s">
        <v>33</v>
      </c>
      <c r="O537" t="s">
        <v>25</v>
      </c>
      <c r="P537" t="s">
        <v>87</v>
      </c>
      <c r="Q537" t="s">
        <v>33</v>
      </c>
      <c r="R537" t="s">
        <v>46</v>
      </c>
      <c r="S537">
        <v>0.432</v>
      </c>
      <c r="T537" t="s">
        <v>37</v>
      </c>
      <c r="U537">
        <v>60.6</v>
      </c>
      <c r="V537">
        <v>60</v>
      </c>
      <c r="W537">
        <v>52.2</v>
      </c>
      <c r="X537">
        <v>40.69</v>
      </c>
      <c r="Y537">
        <v>127.95682870370371</v>
      </c>
    </row>
    <row r="538" spans="1:25" x14ac:dyDescent="0.35">
      <c r="A538" t="s">
        <v>25</v>
      </c>
      <c r="B538" t="s">
        <v>1751</v>
      </c>
      <c r="C538" t="str">
        <f>VLOOKUP(B538,Tabelle3!A:C,2,FALSE)</f>
        <v>Süd</v>
      </c>
      <c r="D538" t="s">
        <v>27</v>
      </c>
      <c r="E538" t="s">
        <v>1752</v>
      </c>
      <c r="F538" t="s">
        <v>1753</v>
      </c>
      <c r="G538">
        <v>83022</v>
      </c>
      <c r="H538" t="s">
        <v>1754</v>
      </c>
      <c r="I538" t="s">
        <v>1755</v>
      </c>
      <c r="J538" t="s">
        <v>701</v>
      </c>
      <c r="K538">
        <v>41374</v>
      </c>
      <c r="L538" t="s">
        <v>33</v>
      </c>
      <c r="M538" t="s">
        <v>34</v>
      </c>
      <c r="N538" t="s">
        <v>33</v>
      </c>
      <c r="O538" t="s">
        <v>25</v>
      </c>
      <c r="P538" t="s">
        <v>137</v>
      </c>
      <c r="Q538" t="s">
        <v>33</v>
      </c>
      <c r="R538" t="s">
        <v>46</v>
      </c>
      <c r="S538">
        <v>0.48699999999999999</v>
      </c>
      <c r="T538" t="s">
        <v>260</v>
      </c>
      <c r="U538">
        <v>10.387</v>
      </c>
      <c r="V538">
        <v>10.282999999999999</v>
      </c>
      <c r="W538">
        <v>8.9462099999999989</v>
      </c>
      <c r="X538">
        <v>40.69</v>
      </c>
      <c r="Y538">
        <v>113.67525667351129</v>
      </c>
    </row>
    <row r="539" spans="1:25" x14ac:dyDescent="0.35">
      <c r="A539" t="s">
        <v>25</v>
      </c>
      <c r="B539" t="s">
        <v>1756</v>
      </c>
      <c r="C539" t="str">
        <f>VLOOKUP(B539,Tabelle3!A:C,2,FALSE)</f>
        <v>Süd</v>
      </c>
      <c r="D539" t="s">
        <v>27</v>
      </c>
      <c r="E539" t="s">
        <v>1757</v>
      </c>
      <c r="F539" t="s">
        <v>1758</v>
      </c>
      <c r="G539">
        <v>97080</v>
      </c>
      <c r="H539" t="s">
        <v>1759</v>
      </c>
      <c r="I539" t="s">
        <v>1760</v>
      </c>
      <c r="J539" t="s">
        <v>701</v>
      </c>
      <c r="K539">
        <v>44512</v>
      </c>
      <c r="L539" t="s">
        <v>33</v>
      </c>
      <c r="M539" t="s">
        <v>34</v>
      </c>
      <c r="N539" t="s">
        <v>33</v>
      </c>
      <c r="O539" t="s">
        <v>25</v>
      </c>
      <c r="P539" t="s">
        <v>50</v>
      </c>
      <c r="Q539" t="s">
        <v>33</v>
      </c>
      <c r="R539" t="s">
        <v>46</v>
      </c>
      <c r="S539">
        <v>0.5</v>
      </c>
      <c r="T539" t="s">
        <v>1761</v>
      </c>
      <c r="U539">
        <v>20.5</v>
      </c>
      <c r="V539">
        <v>20.5</v>
      </c>
      <c r="W539">
        <v>17.835000000000001</v>
      </c>
      <c r="X539">
        <v>40.69</v>
      </c>
      <c r="Y539">
        <v>110.75869999999999</v>
      </c>
    </row>
    <row r="540" spans="1:25" x14ac:dyDescent="0.35">
      <c r="A540" t="s">
        <v>25</v>
      </c>
      <c r="B540" t="s">
        <v>1762</v>
      </c>
      <c r="C540" t="str">
        <f>VLOOKUP(B540,Tabelle3!A:C,2,FALSE)</f>
        <v>Süd</v>
      </c>
      <c r="D540" t="s">
        <v>27</v>
      </c>
      <c r="E540" t="s">
        <v>1757</v>
      </c>
      <c r="F540" t="s">
        <v>1763</v>
      </c>
      <c r="G540">
        <v>97080</v>
      </c>
      <c r="H540" t="s">
        <v>1759</v>
      </c>
      <c r="I540" t="s">
        <v>1760</v>
      </c>
      <c r="J540" t="s">
        <v>701</v>
      </c>
      <c r="K540">
        <v>26214</v>
      </c>
      <c r="L540" t="s">
        <v>33</v>
      </c>
      <c r="M540" t="s">
        <v>34</v>
      </c>
      <c r="N540" t="s">
        <v>33</v>
      </c>
      <c r="O540" t="s">
        <v>25</v>
      </c>
      <c r="P540" t="s">
        <v>82</v>
      </c>
      <c r="Q540" t="s">
        <v>33</v>
      </c>
      <c r="R540" t="s">
        <v>46</v>
      </c>
      <c r="S540">
        <v>0.25</v>
      </c>
      <c r="T540" t="s">
        <v>47</v>
      </c>
      <c r="U540">
        <v>23.5</v>
      </c>
      <c r="V540">
        <v>23</v>
      </c>
      <c r="W540">
        <v>20.010000000000002</v>
      </c>
      <c r="X540">
        <v>40.69</v>
      </c>
      <c r="Y540">
        <v>220.01739999999998</v>
      </c>
    </row>
    <row r="541" spans="1:25" x14ac:dyDescent="0.35">
      <c r="A541" t="s">
        <v>25</v>
      </c>
      <c r="B541" t="s">
        <v>1764</v>
      </c>
      <c r="C541" t="str">
        <f>VLOOKUP(B541,Tabelle3!A:C,2,FALSE)</f>
        <v>Süd</v>
      </c>
      <c r="D541" t="s">
        <v>27</v>
      </c>
      <c r="E541" t="s">
        <v>1757</v>
      </c>
      <c r="F541" t="s">
        <v>1765</v>
      </c>
      <c r="G541">
        <v>97080</v>
      </c>
      <c r="H541" t="s">
        <v>1759</v>
      </c>
      <c r="I541" t="s">
        <v>1760</v>
      </c>
      <c r="J541" t="s">
        <v>701</v>
      </c>
      <c r="K541">
        <v>34268</v>
      </c>
      <c r="L541" t="s">
        <v>33</v>
      </c>
      <c r="M541" t="s">
        <v>34</v>
      </c>
      <c r="N541" t="s">
        <v>33</v>
      </c>
      <c r="O541" t="s">
        <v>25</v>
      </c>
      <c r="P541" t="s">
        <v>82</v>
      </c>
      <c r="Q541" t="s">
        <v>33</v>
      </c>
      <c r="R541" t="s">
        <v>46</v>
      </c>
      <c r="S541">
        <v>0.25</v>
      </c>
      <c r="T541" t="s">
        <v>47</v>
      </c>
      <c r="U541">
        <v>25.5</v>
      </c>
      <c r="V541">
        <v>25</v>
      </c>
      <c r="W541">
        <v>21.75</v>
      </c>
      <c r="X541">
        <v>40.69</v>
      </c>
      <c r="Y541">
        <v>220.01739999999998</v>
      </c>
    </row>
    <row r="542" spans="1:25" x14ac:dyDescent="0.35">
      <c r="A542" t="s">
        <v>25</v>
      </c>
      <c r="B542" t="s">
        <v>1766</v>
      </c>
      <c r="C542" t="str">
        <f>VLOOKUP(B542,Tabelle3!A:C,2,FALSE)</f>
        <v>Süd</v>
      </c>
      <c r="D542" t="s">
        <v>27</v>
      </c>
      <c r="E542" t="s">
        <v>1757</v>
      </c>
      <c r="F542" t="s">
        <v>1767</v>
      </c>
      <c r="G542">
        <v>97080</v>
      </c>
      <c r="H542" t="s">
        <v>1759</v>
      </c>
      <c r="I542" t="s">
        <v>1760</v>
      </c>
      <c r="J542" t="s">
        <v>701</v>
      </c>
      <c r="K542">
        <v>39857</v>
      </c>
      <c r="L542" t="s">
        <v>33</v>
      </c>
      <c r="M542" t="s">
        <v>34</v>
      </c>
      <c r="N542" t="s">
        <v>33</v>
      </c>
      <c r="O542" t="s">
        <v>25</v>
      </c>
      <c r="P542" t="s">
        <v>87</v>
      </c>
      <c r="Q542" t="s">
        <v>33</v>
      </c>
      <c r="R542" t="s">
        <v>46</v>
      </c>
      <c r="S542">
        <v>0.5</v>
      </c>
      <c r="T542" t="s">
        <v>47</v>
      </c>
      <c r="U542">
        <v>30.5</v>
      </c>
      <c r="V542">
        <v>30</v>
      </c>
      <c r="W542">
        <v>26.1</v>
      </c>
      <c r="X542">
        <v>40.69</v>
      </c>
      <c r="Y542">
        <v>110.75869999999999</v>
      </c>
    </row>
    <row r="543" spans="1:25" x14ac:dyDescent="0.35">
      <c r="A543" t="s">
        <v>25</v>
      </c>
      <c r="B543" t="s">
        <v>1768</v>
      </c>
      <c r="C543" t="str">
        <f>VLOOKUP(B543,Tabelle3!A:C,2,FALSE)</f>
        <v>Süd</v>
      </c>
      <c r="D543" t="s">
        <v>27</v>
      </c>
      <c r="E543" t="s">
        <v>1757</v>
      </c>
      <c r="F543" t="s">
        <v>1769</v>
      </c>
      <c r="G543">
        <v>97080</v>
      </c>
      <c r="H543" t="s">
        <v>1759</v>
      </c>
      <c r="I543" t="s">
        <v>1760</v>
      </c>
      <c r="J543" t="s">
        <v>701</v>
      </c>
      <c r="K543">
        <v>38404</v>
      </c>
      <c r="L543" t="s">
        <v>33</v>
      </c>
      <c r="M543" t="s">
        <v>34</v>
      </c>
      <c r="N543" t="s">
        <v>33</v>
      </c>
      <c r="O543" t="s">
        <v>25</v>
      </c>
      <c r="P543" t="s">
        <v>87</v>
      </c>
      <c r="Q543" t="s">
        <v>33</v>
      </c>
      <c r="R543" t="s">
        <v>46</v>
      </c>
      <c r="S543">
        <v>0.5</v>
      </c>
      <c r="T543" t="s">
        <v>47</v>
      </c>
      <c r="U543">
        <v>51.5</v>
      </c>
      <c r="V543">
        <v>51</v>
      </c>
      <c r="W543">
        <v>44.37</v>
      </c>
      <c r="X543">
        <v>40.69</v>
      </c>
      <c r="Y543">
        <v>110.75869999999999</v>
      </c>
    </row>
    <row r="544" spans="1:25" x14ac:dyDescent="0.35">
      <c r="A544" t="s">
        <v>25</v>
      </c>
      <c r="B544" t="s">
        <v>1770</v>
      </c>
      <c r="C544" t="str">
        <f>VLOOKUP(B544,Tabelle3!A:C,2,FALSE)</f>
        <v>Nord</v>
      </c>
      <c r="D544" t="s">
        <v>27</v>
      </c>
      <c r="E544" t="s">
        <v>1771</v>
      </c>
      <c r="F544" t="s">
        <v>1772</v>
      </c>
      <c r="G544">
        <v>25348</v>
      </c>
      <c r="H544" t="s">
        <v>1773</v>
      </c>
      <c r="I544" t="s">
        <v>1774</v>
      </c>
      <c r="J544" t="s">
        <v>276</v>
      </c>
      <c r="K544">
        <v>40448</v>
      </c>
      <c r="L544" t="s">
        <v>171</v>
      </c>
      <c r="M544" t="s">
        <v>172</v>
      </c>
      <c r="N544" t="s">
        <v>173</v>
      </c>
      <c r="O544" t="s">
        <v>25</v>
      </c>
      <c r="P544" t="s">
        <v>82</v>
      </c>
      <c r="Q544" t="s">
        <v>173</v>
      </c>
      <c r="R544" t="s">
        <v>173</v>
      </c>
      <c r="S544">
        <v>0.33</v>
      </c>
      <c r="T544" t="s">
        <v>47</v>
      </c>
      <c r="U544">
        <v>21.4</v>
      </c>
      <c r="V544">
        <v>17</v>
      </c>
      <c r="W544">
        <v>14.45</v>
      </c>
      <c r="X544">
        <v>0</v>
      </c>
      <c r="Y544">
        <v>1</v>
      </c>
    </row>
    <row r="545" spans="1:25" x14ac:dyDescent="0.35">
      <c r="A545" t="s">
        <v>25</v>
      </c>
      <c r="B545" t="s">
        <v>1775</v>
      </c>
      <c r="C545" t="s">
        <v>4080</v>
      </c>
      <c r="D545" t="s">
        <v>27</v>
      </c>
      <c r="E545" t="s">
        <v>673</v>
      </c>
      <c r="F545" t="s">
        <v>1776</v>
      </c>
      <c r="G545">
        <v>34590</v>
      </c>
      <c r="H545" t="s">
        <v>1777</v>
      </c>
      <c r="I545" t="s">
        <v>1778</v>
      </c>
      <c r="J545" t="s">
        <v>865</v>
      </c>
      <c r="K545">
        <v>28041</v>
      </c>
      <c r="L545" t="s">
        <v>69</v>
      </c>
      <c r="M545" t="s">
        <v>70</v>
      </c>
      <c r="N545" t="s">
        <v>69</v>
      </c>
      <c r="O545" t="s">
        <v>25</v>
      </c>
      <c r="P545" t="s">
        <v>266</v>
      </c>
      <c r="Q545" t="s">
        <v>71</v>
      </c>
      <c r="R545" t="s">
        <v>71</v>
      </c>
      <c r="S545">
        <v>0.35</v>
      </c>
      <c r="T545" t="s">
        <v>108</v>
      </c>
      <c r="U545">
        <v>12.54</v>
      </c>
      <c r="V545">
        <v>11.875399999999999</v>
      </c>
      <c r="W545">
        <v>10.09409</v>
      </c>
      <c r="X545">
        <v>95.59</v>
      </c>
      <c r="Y545">
        <v>316.51685714285719</v>
      </c>
    </row>
    <row r="546" spans="1:25" x14ac:dyDescent="0.35">
      <c r="A546" t="s">
        <v>25</v>
      </c>
      <c r="B546" t="s">
        <v>1779</v>
      </c>
      <c r="C546" t="s">
        <v>4081</v>
      </c>
      <c r="D546" t="s">
        <v>27</v>
      </c>
      <c r="E546" t="s">
        <v>673</v>
      </c>
      <c r="F546" t="s">
        <v>1780</v>
      </c>
      <c r="G546">
        <v>97199</v>
      </c>
      <c r="H546" t="s">
        <v>1781</v>
      </c>
      <c r="I546" t="s">
        <v>1782</v>
      </c>
      <c r="J546" t="s">
        <v>701</v>
      </c>
      <c r="K546">
        <v>28734</v>
      </c>
      <c r="L546" t="s">
        <v>69</v>
      </c>
      <c r="M546" t="s">
        <v>70</v>
      </c>
      <c r="N546" t="s">
        <v>69</v>
      </c>
      <c r="O546" t="s">
        <v>25</v>
      </c>
      <c r="P546" t="s">
        <v>266</v>
      </c>
      <c r="Q546" t="s">
        <v>71</v>
      </c>
      <c r="R546" t="s">
        <v>71</v>
      </c>
      <c r="S546">
        <v>0.35</v>
      </c>
      <c r="T546" t="s">
        <v>108</v>
      </c>
      <c r="U546">
        <v>14.4</v>
      </c>
      <c r="V546">
        <v>13.667</v>
      </c>
      <c r="W546">
        <v>11.616949999999999</v>
      </c>
      <c r="X546">
        <v>95.59</v>
      </c>
      <c r="Y546">
        <v>316.51685714285719</v>
      </c>
    </row>
    <row r="547" spans="1:25" x14ac:dyDescent="0.35">
      <c r="A547" t="s">
        <v>25</v>
      </c>
      <c r="B547" t="s">
        <v>1783</v>
      </c>
      <c r="C547" t="str">
        <f>VLOOKUP(B547,Tabelle3!A:C,2,FALSE)</f>
        <v>Süd</v>
      </c>
      <c r="D547" t="s">
        <v>27</v>
      </c>
      <c r="E547" t="s">
        <v>1396</v>
      </c>
      <c r="F547" t="s">
        <v>1784</v>
      </c>
      <c r="G547">
        <v>63741</v>
      </c>
      <c r="H547" t="s">
        <v>1398</v>
      </c>
      <c r="I547" t="s">
        <v>1399</v>
      </c>
      <c r="J547" t="s">
        <v>701</v>
      </c>
      <c r="K547">
        <v>41302</v>
      </c>
      <c r="L547" t="s">
        <v>33</v>
      </c>
      <c r="M547" t="s">
        <v>34</v>
      </c>
      <c r="N547" t="s">
        <v>33</v>
      </c>
      <c r="O547" t="s">
        <v>25</v>
      </c>
      <c r="P547" t="s">
        <v>35</v>
      </c>
      <c r="Q547" t="s">
        <v>33</v>
      </c>
      <c r="R547" t="s">
        <v>36</v>
      </c>
      <c r="S547">
        <v>0.59850000000000003</v>
      </c>
      <c r="T547" t="s">
        <v>47</v>
      </c>
      <c r="U547">
        <v>32.25</v>
      </c>
      <c r="V547">
        <v>31.552</v>
      </c>
      <c r="W547">
        <v>27.450240000000001</v>
      </c>
      <c r="X547">
        <v>40.69</v>
      </c>
      <c r="Y547">
        <v>92.277109440267324</v>
      </c>
    </row>
    <row r="548" spans="1:25" x14ac:dyDescent="0.35">
      <c r="A548" t="s">
        <v>25</v>
      </c>
      <c r="B548" t="s">
        <v>1785</v>
      </c>
      <c r="C548" t="str">
        <f>VLOOKUP(B548,Tabelle3!A:C,2,FALSE)</f>
        <v>Nord</v>
      </c>
      <c r="D548" t="s">
        <v>27</v>
      </c>
      <c r="E548" t="s">
        <v>1786</v>
      </c>
      <c r="F548" t="s">
        <v>1787</v>
      </c>
      <c r="G548">
        <v>28219</v>
      </c>
      <c r="H548" t="s">
        <v>1531</v>
      </c>
      <c r="I548" t="s">
        <v>1788</v>
      </c>
      <c r="J548" t="s">
        <v>1531</v>
      </c>
      <c r="K548">
        <v>37987</v>
      </c>
      <c r="L548" t="s">
        <v>171</v>
      </c>
      <c r="M548" t="s">
        <v>172</v>
      </c>
      <c r="N548" t="s">
        <v>173</v>
      </c>
      <c r="O548" t="s">
        <v>25</v>
      </c>
      <c r="P548" t="s">
        <v>266</v>
      </c>
      <c r="Q548" t="s">
        <v>173</v>
      </c>
      <c r="R548" t="s">
        <v>173</v>
      </c>
      <c r="S548">
        <v>0.33</v>
      </c>
      <c r="T548" t="s">
        <v>47</v>
      </c>
      <c r="U548">
        <v>13.7</v>
      </c>
      <c r="V548">
        <v>13.3</v>
      </c>
      <c r="W548">
        <v>11.305</v>
      </c>
      <c r="X548">
        <v>0</v>
      </c>
      <c r="Y548">
        <v>1</v>
      </c>
    </row>
    <row r="549" spans="1:25" x14ac:dyDescent="0.35">
      <c r="A549" t="s">
        <v>25</v>
      </c>
      <c r="B549" t="s">
        <v>1789</v>
      </c>
      <c r="C549" t="str">
        <f>VLOOKUP(B549,Tabelle3!A:C,2,FALSE)</f>
        <v>Nord</v>
      </c>
      <c r="D549" t="s">
        <v>27</v>
      </c>
      <c r="E549" t="s">
        <v>1786</v>
      </c>
      <c r="F549" t="s">
        <v>1790</v>
      </c>
      <c r="G549">
        <v>28237</v>
      </c>
      <c r="H549" t="s">
        <v>1531</v>
      </c>
      <c r="I549" t="s">
        <v>1791</v>
      </c>
      <c r="J549" t="s">
        <v>1531</v>
      </c>
      <c r="K549">
        <v>39997</v>
      </c>
      <c r="L549" t="s">
        <v>171</v>
      </c>
      <c r="M549" t="s">
        <v>293</v>
      </c>
      <c r="N549" t="s">
        <v>173</v>
      </c>
      <c r="O549" t="s">
        <v>25</v>
      </c>
      <c r="P549" t="s">
        <v>50</v>
      </c>
      <c r="Q549" t="s">
        <v>173</v>
      </c>
      <c r="R549" t="s">
        <v>173</v>
      </c>
      <c r="S549">
        <v>0.33</v>
      </c>
      <c r="T549" t="s">
        <v>47</v>
      </c>
      <c r="U549">
        <v>35</v>
      </c>
      <c r="V549">
        <v>32</v>
      </c>
      <c r="W549">
        <v>27.2</v>
      </c>
      <c r="X549">
        <v>0</v>
      </c>
      <c r="Y549">
        <v>1</v>
      </c>
    </row>
    <row r="550" spans="1:25" x14ac:dyDescent="0.35">
      <c r="A550" t="s">
        <v>25</v>
      </c>
      <c r="B550" t="s">
        <v>1792</v>
      </c>
      <c r="C550" t="str">
        <f>VLOOKUP(B550,Tabelle3!A:C,2,FALSE)</f>
        <v>Nord</v>
      </c>
      <c r="D550" t="s">
        <v>27</v>
      </c>
      <c r="E550" t="s">
        <v>1786</v>
      </c>
      <c r="F550" t="s">
        <v>1793</v>
      </c>
      <c r="G550">
        <v>28219</v>
      </c>
      <c r="H550" t="s">
        <v>1531</v>
      </c>
      <c r="I550" t="s">
        <v>1788</v>
      </c>
      <c r="J550" t="s">
        <v>1531</v>
      </c>
      <c r="K550">
        <v>41275</v>
      </c>
      <c r="L550" t="s">
        <v>171</v>
      </c>
      <c r="M550" t="s">
        <v>172</v>
      </c>
      <c r="N550" t="s">
        <v>173</v>
      </c>
      <c r="O550" t="s">
        <v>25</v>
      </c>
      <c r="P550" t="s">
        <v>82</v>
      </c>
      <c r="Q550" t="s">
        <v>173</v>
      </c>
      <c r="R550" t="s">
        <v>173</v>
      </c>
      <c r="S550">
        <v>0.33</v>
      </c>
      <c r="T550" t="s">
        <v>47</v>
      </c>
      <c r="U550">
        <v>50</v>
      </c>
      <c r="V550">
        <v>49.2</v>
      </c>
      <c r="W550">
        <v>41.82</v>
      </c>
      <c r="X550">
        <v>0</v>
      </c>
      <c r="Y550">
        <v>1</v>
      </c>
    </row>
    <row r="551" spans="1:25" x14ac:dyDescent="0.35">
      <c r="A551" t="s">
        <v>25</v>
      </c>
      <c r="B551" t="s">
        <v>1794</v>
      </c>
      <c r="C551" t="s">
        <v>4080</v>
      </c>
      <c r="D551" t="s">
        <v>27</v>
      </c>
      <c r="E551" t="s">
        <v>1795</v>
      </c>
      <c r="F551" t="s">
        <v>1796</v>
      </c>
      <c r="G551">
        <v>28207</v>
      </c>
      <c r="H551" t="s">
        <v>1531</v>
      </c>
      <c r="I551" t="s">
        <v>1797</v>
      </c>
      <c r="J551" t="s">
        <v>1531</v>
      </c>
      <c r="K551">
        <v>44858</v>
      </c>
      <c r="L551" t="s">
        <v>33</v>
      </c>
      <c r="M551" t="s">
        <v>34</v>
      </c>
      <c r="N551" t="s">
        <v>33</v>
      </c>
      <c r="O551" t="s">
        <v>25</v>
      </c>
      <c r="P551" t="s">
        <v>137</v>
      </c>
      <c r="Q551" t="s">
        <v>33</v>
      </c>
      <c r="R551" t="s">
        <v>46</v>
      </c>
      <c r="S551">
        <v>0.47899999999999998</v>
      </c>
      <c r="T551" t="s">
        <v>1798</v>
      </c>
      <c r="U551">
        <v>11.80955</v>
      </c>
      <c r="V551">
        <v>11.679440000000001</v>
      </c>
      <c r="W551">
        <v>10.161112800000001</v>
      </c>
      <c r="X551">
        <v>40.69</v>
      </c>
      <c r="Y551">
        <v>115.54874739039666</v>
      </c>
    </row>
    <row r="552" spans="1:25" x14ac:dyDescent="0.35">
      <c r="A552" t="s">
        <v>25</v>
      </c>
      <c r="B552" t="s">
        <v>1799</v>
      </c>
      <c r="C552" t="s">
        <v>4080</v>
      </c>
      <c r="D552" t="s">
        <v>27</v>
      </c>
      <c r="E552" t="s">
        <v>1795</v>
      </c>
      <c r="F552" t="s">
        <v>1800</v>
      </c>
      <c r="G552">
        <v>28207</v>
      </c>
      <c r="H552" t="s">
        <v>1531</v>
      </c>
      <c r="I552" t="s">
        <v>1797</v>
      </c>
      <c r="J552" t="s">
        <v>1531</v>
      </c>
      <c r="K552">
        <v>44858</v>
      </c>
      <c r="L552" t="s">
        <v>33</v>
      </c>
      <c r="M552" t="s">
        <v>34</v>
      </c>
      <c r="N552" t="s">
        <v>33</v>
      </c>
      <c r="O552" t="s">
        <v>25</v>
      </c>
      <c r="P552" t="s">
        <v>137</v>
      </c>
      <c r="Q552" t="s">
        <v>33</v>
      </c>
      <c r="R552" t="s">
        <v>46</v>
      </c>
      <c r="S552">
        <v>0.47899999999999998</v>
      </c>
      <c r="T552" t="s">
        <v>1798</v>
      </c>
      <c r="U552">
        <v>11.809559999999999</v>
      </c>
      <c r="V552">
        <v>11.679440000000001</v>
      </c>
      <c r="W552">
        <v>10.161112800000001</v>
      </c>
      <c r="X552">
        <v>40.69</v>
      </c>
      <c r="Y552">
        <v>115.54874739039666</v>
      </c>
    </row>
    <row r="553" spans="1:25" x14ac:dyDescent="0.35">
      <c r="A553" t="s">
        <v>25</v>
      </c>
      <c r="B553" t="s">
        <v>1801</v>
      </c>
      <c r="C553" t="s">
        <v>4080</v>
      </c>
      <c r="D553" t="s">
        <v>27</v>
      </c>
      <c r="E553" t="s">
        <v>1795</v>
      </c>
      <c r="F553" t="s">
        <v>1802</v>
      </c>
      <c r="G553">
        <v>28207</v>
      </c>
      <c r="H553" t="s">
        <v>1531</v>
      </c>
      <c r="I553" t="s">
        <v>1797</v>
      </c>
      <c r="J553" t="s">
        <v>1531</v>
      </c>
      <c r="K553">
        <v>44858</v>
      </c>
      <c r="L553" t="s">
        <v>33</v>
      </c>
      <c r="M553" t="s">
        <v>34</v>
      </c>
      <c r="N553" t="s">
        <v>33</v>
      </c>
      <c r="O553" t="s">
        <v>25</v>
      </c>
      <c r="P553" t="s">
        <v>137</v>
      </c>
      <c r="Q553" t="s">
        <v>33</v>
      </c>
      <c r="R553" t="s">
        <v>46</v>
      </c>
      <c r="S553">
        <v>0.47899999999999998</v>
      </c>
      <c r="T553" t="s">
        <v>1798</v>
      </c>
      <c r="U553">
        <v>11.809559999999999</v>
      </c>
      <c r="V553">
        <v>11.679440000000001</v>
      </c>
      <c r="W553">
        <v>10.161112800000001</v>
      </c>
      <c r="X553">
        <v>40.69</v>
      </c>
      <c r="Y553">
        <v>115.54874739039666</v>
      </c>
    </row>
    <row r="554" spans="1:25" x14ac:dyDescent="0.35">
      <c r="A554" t="s">
        <v>25</v>
      </c>
      <c r="B554" t="s">
        <v>1803</v>
      </c>
      <c r="C554" t="s">
        <v>4080</v>
      </c>
      <c r="D554" t="s">
        <v>27</v>
      </c>
      <c r="E554" t="s">
        <v>1795</v>
      </c>
      <c r="F554" t="s">
        <v>1804</v>
      </c>
      <c r="G554">
        <v>28207</v>
      </c>
      <c r="H554" t="s">
        <v>1531</v>
      </c>
      <c r="I554" t="s">
        <v>1797</v>
      </c>
      <c r="J554" t="s">
        <v>1531</v>
      </c>
      <c r="K554">
        <v>44858</v>
      </c>
      <c r="L554" t="s">
        <v>33</v>
      </c>
      <c r="M554" t="s">
        <v>34</v>
      </c>
      <c r="N554" t="s">
        <v>33</v>
      </c>
      <c r="O554" t="s">
        <v>25</v>
      </c>
      <c r="P554" t="s">
        <v>137</v>
      </c>
      <c r="Q554" t="s">
        <v>33</v>
      </c>
      <c r="R554" t="s">
        <v>46</v>
      </c>
      <c r="S554">
        <v>0.47899999999999998</v>
      </c>
      <c r="T554" t="s">
        <v>1798</v>
      </c>
      <c r="U554">
        <v>11.809559999999999</v>
      </c>
      <c r="V554">
        <v>11.679440000000001</v>
      </c>
      <c r="W554">
        <v>10.161112800000001</v>
      </c>
      <c r="X554">
        <v>40.69</v>
      </c>
      <c r="Y554">
        <v>115.54874739039666</v>
      </c>
    </row>
    <row r="555" spans="1:25" x14ac:dyDescent="0.35">
      <c r="A555" t="s">
        <v>25</v>
      </c>
      <c r="B555" t="s">
        <v>1805</v>
      </c>
      <c r="C555" t="s">
        <v>4080</v>
      </c>
      <c r="D555" t="s">
        <v>27</v>
      </c>
      <c r="E555" t="s">
        <v>1795</v>
      </c>
      <c r="F555" t="s">
        <v>1806</v>
      </c>
      <c r="G555">
        <v>28207</v>
      </c>
      <c r="H555" t="s">
        <v>1531</v>
      </c>
      <c r="I555" t="s">
        <v>1797</v>
      </c>
      <c r="J555" t="s">
        <v>1531</v>
      </c>
      <c r="K555">
        <v>44858</v>
      </c>
      <c r="L555" t="s">
        <v>33</v>
      </c>
      <c r="M555" t="s">
        <v>34</v>
      </c>
      <c r="N555" t="s">
        <v>33</v>
      </c>
      <c r="O555" t="s">
        <v>25</v>
      </c>
      <c r="P555" t="s">
        <v>137</v>
      </c>
      <c r="Q555" t="s">
        <v>33</v>
      </c>
      <c r="R555" t="s">
        <v>46</v>
      </c>
      <c r="S555">
        <v>0.47899999999999998</v>
      </c>
      <c r="T555" t="s">
        <v>1798</v>
      </c>
      <c r="U555">
        <v>11.809559999999999</v>
      </c>
      <c r="V555">
        <v>11.679440000000001</v>
      </c>
      <c r="W555">
        <v>10.161112800000001</v>
      </c>
      <c r="X555">
        <v>40.69</v>
      </c>
      <c r="Y555">
        <v>115.54874739039666</v>
      </c>
    </row>
    <row r="556" spans="1:25" x14ac:dyDescent="0.35">
      <c r="A556" t="s">
        <v>25</v>
      </c>
      <c r="B556" t="s">
        <v>1807</v>
      </c>
      <c r="C556" t="s">
        <v>4080</v>
      </c>
      <c r="D556" t="s">
        <v>27</v>
      </c>
      <c r="E556" t="s">
        <v>1795</v>
      </c>
      <c r="F556" t="s">
        <v>1808</v>
      </c>
      <c r="G556">
        <v>28207</v>
      </c>
      <c r="H556" t="s">
        <v>1531</v>
      </c>
      <c r="I556" t="s">
        <v>1797</v>
      </c>
      <c r="J556" t="s">
        <v>1531</v>
      </c>
      <c r="K556">
        <v>44858</v>
      </c>
      <c r="L556" t="s">
        <v>33</v>
      </c>
      <c r="M556" t="s">
        <v>34</v>
      </c>
      <c r="N556" t="s">
        <v>33</v>
      </c>
      <c r="O556" t="s">
        <v>25</v>
      </c>
      <c r="P556" t="s">
        <v>137</v>
      </c>
      <c r="Q556" t="s">
        <v>33</v>
      </c>
      <c r="R556" t="s">
        <v>46</v>
      </c>
      <c r="S556">
        <v>0.47899999999999998</v>
      </c>
      <c r="T556" t="s">
        <v>1798</v>
      </c>
      <c r="U556">
        <v>11.809559999999999</v>
      </c>
      <c r="V556">
        <v>11.679440000000001</v>
      </c>
      <c r="W556">
        <v>10.161112800000001</v>
      </c>
      <c r="X556">
        <v>40.69</v>
      </c>
      <c r="Y556">
        <v>115.54874739039666</v>
      </c>
    </row>
    <row r="557" spans="1:25" x14ac:dyDescent="0.35">
      <c r="A557" t="s">
        <v>25</v>
      </c>
      <c r="B557" t="s">
        <v>1809</v>
      </c>
      <c r="C557" t="s">
        <v>4080</v>
      </c>
      <c r="D557" t="s">
        <v>27</v>
      </c>
      <c r="E557" t="s">
        <v>1795</v>
      </c>
      <c r="F557" t="s">
        <v>1810</v>
      </c>
      <c r="G557">
        <v>28207</v>
      </c>
      <c r="H557" t="s">
        <v>1531</v>
      </c>
      <c r="I557" t="s">
        <v>1797</v>
      </c>
      <c r="J557" t="s">
        <v>1531</v>
      </c>
      <c r="K557">
        <v>44858</v>
      </c>
      <c r="L557" t="s">
        <v>33</v>
      </c>
      <c r="M557" t="s">
        <v>34</v>
      </c>
      <c r="N557" t="s">
        <v>33</v>
      </c>
      <c r="O557" t="s">
        <v>25</v>
      </c>
      <c r="P557" t="s">
        <v>137</v>
      </c>
      <c r="Q557" t="s">
        <v>33</v>
      </c>
      <c r="R557" t="s">
        <v>46</v>
      </c>
      <c r="S557">
        <v>0.47899999999999998</v>
      </c>
      <c r="T557" t="s">
        <v>1798</v>
      </c>
      <c r="U557">
        <v>11.809559999999999</v>
      </c>
      <c r="V557">
        <v>11.679440000000001</v>
      </c>
      <c r="W557">
        <v>10.161112800000001</v>
      </c>
      <c r="X557">
        <v>40.69</v>
      </c>
      <c r="Y557">
        <v>115.54874739039666</v>
      </c>
    </row>
    <row r="558" spans="1:25" x14ac:dyDescent="0.35">
      <c r="A558" t="s">
        <v>25</v>
      </c>
      <c r="B558" t="s">
        <v>1811</v>
      </c>
      <c r="C558" t="s">
        <v>4080</v>
      </c>
      <c r="D558" t="s">
        <v>27</v>
      </c>
      <c r="E558" t="s">
        <v>1795</v>
      </c>
      <c r="F558" t="s">
        <v>1812</v>
      </c>
      <c r="G558">
        <v>28207</v>
      </c>
      <c r="H558" t="s">
        <v>1531</v>
      </c>
      <c r="I558" t="s">
        <v>1797</v>
      </c>
      <c r="J558" t="s">
        <v>1531</v>
      </c>
      <c r="K558">
        <v>44858</v>
      </c>
      <c r="L558" t="s">
        <v>33</v>
      </c>
      <c r="M558" t="s">
        <v>34</v>
      </c>
      <c r="N558" t="s">
        <v>33</v>
      </c>
      <c r="O558" t="s">
        <v>25</v>
      </c>
      <c r="P558" t="s">
        <v>137</v>
      </c>
      <c r="Q558" t="s">
        <v>33</v>
      </c>
      <c r="R558" t="s">
        <v>46</v>
      </c>
      <c r="S558">
        <v>0.47899999999999998</v>
      </c>
      <c r="T558" t="s">
        <v>1798</v>
      </c>
      <c r="U558">
        <v>11.809559999999999</v>
      </c>
      <c r="V558">
        <v>11.679440000000001</v>
      </c>
      <c r="W558">
        <v>10.161112800000001</v>
      </c>
      <c r="X558">
        <v>40.69</v>
      </c>
      <c r="Y558">
        <v>115.54874739039666</v>
      </c>
    </row>
    <row r="559" spans="1:25" x14ac:dyDescent="0.35">
      <c r="A559" t="s">
        <v>25</v>
      </c>
      <c r="B559" t="s">
        <v>1813</v>
      </c>
      <c r="C559" t="s">
        <v>4080</v>
      </c>
      <c r="D559" t="s">
        <v>27</v>
      </c>
      <c r="E559" t="s">
        <v>1795</v>
      </c>
      <c r="F559" t="s">
        <v>1814</v>
      </c>
      <c r="G559">
        <v>28207</v>
      </c>
      <c r="H559" t="s">
        <v>1531</v>
      </c>
      <c r="I559" t="s">
        <v>1797</v>
      </c>
      <c r="J559" t="s">
        <v>1531</v>
      </c>
      <c r="K559">
        <v>44858</v>
      </c>
      <c r="L559" t="s">
        <v>33</v>
      </c>
      <c r="M559" t="s">
        <v>34</v>
      </c>
      <c r="N559" t="s">
        <v>33</v>
      </c>
      <c r="O559" t="s">
        <v>25</v>
      </c>
      <c r="P559" t="s">
        <v>137</v>
      </c>
      <c r="Q559" t="s">
        <v>33</v>
      </c>
      <c r="R559" t="s">
        <v>46</v>
      </c>
      <c r="S559">
        <v>0.47899999999999998</v>
      </c>
      <c r="T559" t="s">
        <v>1798</v>
      </c>
      <c r="U559">
        <v>11.809559999999999</v>
      </c>
      <c r="V559">
        <v>11.679440000000001</v>
      </c>
      <c r="W559">
        <v>10.161112800000001</v>
      </c>
      <c r="X559">
        <v>40.69</v>
      </c>
      <c r="Y559">
        <v>115.54874739039666</v>
      </c>
    </row>
    <row r="560" spans="1:25" x14ac:dyDescent="0.35">
      <c r="A560" t="s">
        <v>25</v>
      </c>
      <c r="B560" t="s">
        <v>1815</v>
      </c>
      <c r="C560" t="str">
        <f>VLOOKUP(B560,Tabelle3!A:C,2,FALSE)</f>
        <v>Süd</v>
      </c>
      <c r="D560" t="s">
        <v>27</v>
      </c>
      <c r="E560" t="s">
        <v>1816</v>
      </c>
      <c r="F560" t="s">
        <v>1817</v>
      </c>
      <c r="G560">
        <v>85774</v>
      </c>
      <c r="H560" t="s">
        <v>1818</v>
      </c>
      <c r="I560" t="s">
        <v>1819</v>
      </c>
      <c r="J560" t="s">
        <v>701</v>
      </c>
      <c r="K560">
        <v>33479</v>
      </c>
      <c r="L560" t="s">
        <v>171</v>
      </c>
      <c r="M560" t="s">
        <v>172</v>
      </c>
      <c r="N560" t="s">
        <v>173</v>
      </c>
      <c r="O560" t="s">
        <v>25</v>
      </c>
      <c r="P560" t="s">
        <v>266</v>
      </c>
      <c r="Q560" t="s">
        <v>173</v>
      </c>
      <c r="R560" t="s">
        <v>173</v>
      </c>
      <c r="S560">
        <v>0.33</v>
      </c>
      <c r="T560" t="s">
        <v>47</v>
      </c>
      <c r="U560">
        <v>22.05</v>
      </c>
      <c r="V560">
        <v>18</v>
      </c>
      <c r="W560">
        <v>15.299999999999999</v>
      </c>
      <c r="X560">
        <v>0</v>
      </c>
      <c r="Y560">
        <v>1</v>
      </c>
    </row>
    <row r="561" spans="1:25" x14ac:dyDescent="0.35">
      <c r="A561" t="s">
        <v>25</v>
      </c>
      <c r="B561" t="s">
        <v>1820</v>
      </c>
      <c r="C561" t="str">
        <f>VLOOKUP(B561,Tabelle3!A:C,2,FALSE)</f>
        <v>Süd</v>
      </c>
      <c r="D561" t="s">
        <v>27</v>
      </c>
      <c r="E561" t="s">
        <v>1816</v>
      </c>
      <c r="F561" t="s">
        <v>1821</v>
      </c>
      <c r="G561">
        <v>85774</v>
      </c>
      <c r="H561" t="s">
        <v>1818</v>
      </c>
      <c r="I561" t="s">
        <v>1819</v>
      </c>
      <c r="J561" t="s">
        <v>701</v>
      </c>
      <c r="K561">
        <v>30755</v>
      </c>
      <c r="L561" t="s">
        <v>171</v>
      </c>
      <c r="M561" t="s">
        <v>172</v>
      </c>
      <c r="N561" t="s">
        <v>173</v>
      </c>
      <c r="O561" t="s">
        <v>25</v>
      </c>
      <c r="P561" t="s">
        <v>82</v>
      </c>
      <c r="Q561" t="s">
        <v>173</v>
      </c>
      <c r="R561" t="s">
        <v>173</v>
      </c>
      <c r="S561">
        <v>0.33</v>
      </c>
      <c r="T561" t="s">
        <v>47</v>
      </c>
      <c r="U561">
        <v>27.8</v>
      </c>
      <c r="V561">
        <v>22</v>
      </c>
      <c r="W561">
        <v>18.7</v>
      </c>
      <c r="X561">
        <v>0</v>
      </c>
      <c r="Y561">
        <v>1</v>
      </c>
    </row>
    <row r="562" spans="1:25" x14ac:dyDescent="0.35">
      <c r="A562" t="s">
        <v>25</v>
      </c>
      <c r="B562" t="s">
        <v>1822</v>
      </c>
      <c r="C562" t="str">
        <f>VLOOKUP(B562,Tabelle3!A:C,2,FALSE)</f>
        <v>Süd</v>
      </c>
      <c r="D562" t="s">
        <v>27</v>
      </c>
      <c r="E562" t="s">
        <v>1816</v>
      </c>
      <c r="F562" t="s">
        <v>1823</v>
      </c>
      <c r="G562">
        <v>80807</v>
      </c>
      <c r="H562" t="s">
        <v>1824</v>
      </c>
      <c r="I562" t="s">
        <v>1825</v>
      </c>
      <c r="J562" t="s">
        <v>701</v>
      </c>
      <c r="K562">
        <v>44197</v>
      </c>
      <c r="L562" t="s">
        <v>33</v>
      </c>
      <c r="M562" t="s">
        <v>34</v>
      </c>
      <c r="N562" t="s">
        <v>33</v>
      </c>
      <c r="O562" t="s">
        <v>25</v>
      </c>
      <c r="P562" t="s">
        <v>87</v>
      </c>
      <c r="Q562" t="s">
        <v>33</v>
      </c>
      <c r="R562" t="s">
        <v>46</v>
      </c>
      <c r="S562">
        <v>0.4</v>
      </c>
      <c r="T562" t="s">
        <v>108</v>
      </c>
      <c r="U562">
        <v>53.151000000000003</v>
      </c>
      <c r="V562">
        <v>52.451000000000001</v>
      </c>
      <c r="W562">
        <v>45.632370000000002</v>
      </c>
      <c r="X562">
        <v>40.69</v>
      </c>
      <c r="Y562">
        <v>138.073375</v>
      </c>
    </row>
    <row r="563" spans="1:25" x14ac:dyDescent="0.35">
      <c r="A563" t="s">
        <v>25</v>
      </c>
      <c r="B563" t="s">
        <v>1826</v>
      </c>
      <c r="C563" t="str">
        <f>VLOOKUP(B563,Tabelle3!A:C,2,FALSE)</f>
        <v>Süd</v>
      </c>
      <c r="D563" t="s">
        <v>27</v>
      </c>
      <c r="E563" t="s">
        <v>1816</v>
      </c>
      <c r="F563" t="s">
        <v>1827</v>
      </c>
      <c r="G563">
        <v>80807</v>
      </c>
      <c r="H563" t="s">
        <v>1824</v>
      </c>
      <c r="I563" t="s">
        <v>1825</v>
      </c>
      <c r="J563" t="s">
        <v>701</v>
      </c>
      <c r="K563">
        <v>44197</v>
      </c>
      <c r="L563" t="s">
        <v>33</v>
      </c>
      <c r="M563" t="s">
        <v>34</v>
      </c>
      <c r="N563" t="s">
        <v>33</v>
      </c>
      <c r="O563" t="s">
        <v>25</v>
      </c>
      <c r="P563" t="s">
        <v>87</v>
      </c>
      <c r="Q563" t="s">
        <v>33</v>
      </c>
      <c r="R563" t="s">
        <v>46</v>
      </c>
      <c r="S563">
        <v>0.4</v>
      </c>
      <c r="T563" t="s">
        <v>108</v>
      </c>
      <c r="U563">
        <v>53.468000000000004</v>
      </c>
      <c r="V563">
        <v>52.768000000000001</v>
      </c>
      <c r="W563">
        <v>45.908160000000002</v>
      </c>
      <c r="X563">
        <v>40.69</v>
      </c>
      <c r="Y563">
        <v>138.073375</v>
      </c>
    </row>
    <row r="564" spans="1:25" x14ac:dyDescent="0.35">
      <c r="A564" t="s">
        <v>25</v>
      </c>
      <c r="B564" t="s">
        <v>1828</v>
      </c>
      <c r="C564" t="str">
        <f>VLOOKUP(B564,Tabelle3!A:C,2,FALSE)</f>
        <v>Süd</v>
      </c>
      <c r="D564" t="s">
        <v>27</v>
      </c>
      <c r="E564" t="s">
        <v>1816</v>
      </c>
      <c r="F564" t="s">
        <v>1829</v>
      </c>
      <c r="G564">
        <v>81371</v>
      </c>
      <c r="H564" t="s">
        <v>1824</v>
      </c>
      <c r="I564" t="s">
        <v>1830</v>
      </c>
      <c r="J564" t="s">
        <v>701</v>
      </c>
      <c r="K564">
        <v>29495</v>
      </c>
      <c r="L564" t="s">
        <v>33</v>
      </c>
      <c r="M564" t="s">
        <v>34</v>
      </c>
      <c r="N564" t="s">
        <v>33</v>
      </c>
      <c r="O564" t="s">
        <v>25</v>
      </c>
      <c r="P564" t="s">
        <v>87</v>
      </c>
      <c r="Q564" t="s">
        <v>33</v>
      </c>
      <c r="R564" t="s">
        <v>46</v>
      </c>
      <c r="S564">
        <v>0.45</v>
      </c>
      <c r="T564" t="s">
        <v>47</v>
      </c>
      <c r="U564">
        <v>98.9</v>
      </c>
      <c r="V564">
        <v>97.9</v>
      </c>
      <c r="W564">
        <v>85.173000000000002</v>
      </c>
      <c r="X564">
        <v>40.69</v>
      </c>
      <c r="Y564">
        <v>122.89855555555555</v>
      </c>
    </row>
    <row r="565" spans="1:25" x14ac:dyDescent="0.35">
      <c r="A565" t="s">
        <v>25</v>
      </c>
      <c r="B565" t="s">
        <v>1831</v>
      </c>
      <c r="C565" t="str">
        <f>VLOOKUP(B565,Tabelle3!A:C,2,FALSE)</f>
        <v>Süd</v>
      </c>
      <c r="D565" t="s">
        <v>27</v>
      </c>
      <c r="E565" t="s">
        <v>1816</v>
      </c>
      <c r="F565" t="s">
        <v>1832</v>
      </c>
      <c r="G565">
        <v>81371</v>
      </c>
      <c r="H565" t="s">
        <v>1824</v>
      </c>
      <c r="I565" t="s">
        <v>1830</v>
      </c>
      <c r="J565" t="s">
        <v>701</v>
      </c>
      <c r="K565">
        <v>29495</v>
      </c>
      <c r="L565" t="s">
        <v>33</v>
      </c>
      <c r="M565" t="s">
        <v>34</v>
      </c>
      <c r="N565" t="s">
        <v>33</v>
      </c>
      <c r="O565" t="s">
        <v>25</v>
      </c>
      <c r="P565" t="s">
        <v>87</v>
      </c>
      <c r="Q565" t="s">
        <v>33</v>
      </c>
      <c r="R565" t="s">
        <v>46</v>
      </c>
      <c r="S565">
        <v>0.45</v>
      </c>
      <c r="T565" t="s">
        <v>47</v>
      </c>
      <c r="U565">
        <v>98.9</v>
      </c>
      <c r="V565">
        <v>97.9</v>
      </c>
      <c r="W565">
        <v>85.173000000000002</v>
      </c>
      <c r="X565">
        <v>40.69</v>
      </c>
      <c r="Y565">
        <v>122.89855555555555</v>
      </c>
    </row>
    <row r="566" spans="1:25" x14ac:dyDescent="0.35">
      <c r="A566" t="s">
        <v>25</v>
      </c>
      <c r="B566" t="s">
        <v>1833</v>
      </c>
      <c r="C566" t="str">
        <f>VLOOKUP(B566,Tabelle3!A:C,2,FALSE)</f>
        <v>Süd</v>
      </c>
      <c r="D566" t="s">
        <v>27</v>
      </c>
      <c r="E566" t="s">
        <v>1816</v>
      </c>
      <c r="F566" t="s">
        <v>1834</v>
      </c>
      <c r="G566">
        <v>81371</v>
      </c>
      <c r="H566" t="s">
        <v>1824</v>
      </c>
      <c r="I566" t="s">
        <v>1830</v>
      </c>
      <c r="J566" t="s">
        <v>701</v>
      </c>
      <c r="K566">
        <v>38308</v>
      </c>
      <c r="L566" t="s">
        <v>33</v>
      </c>
      <c r="M566" t="s">
        <v>34</v>
      </c>
      <c r="N566" t="s">
        <v>33</v>
      </c>
      <c r="O566" t="s">
        <v>25</v>
      </c>
      <c r="P566" t="s">
        <v>50</v>
      </c>
      <c r="Q566" t="s">
        <v>33</v>
      </c>
      <c r="R566" t="s">
        <v>46</v>
      </c>
      <c r="S566">
        <v>0.55800000000000005</v>
      </c>
      <c r="T566" t="s">
        <v>47</v>
      </c>
      <c r="U566">
        <v>131.58500000000001</v>
      </c>
      <c r="V566">
        <v>127.6</v>
      </c>
      <c r="W566">
        <v>111.012</v>
      </c>
      <c r="X566">
        <v>40.69</v>
      </c>
      <c r="Y566">
        <v>99.402060931899641</v>
      </c>
    </row>
    <row r="567" spans="1:25" x14ac:dyDescent="0.35">
      <c r="A567" t="s">
        <v>25</v>
      </c>
      <c r="B567" t="s">
        <v>1835</v>
      </c>
      <c r="C567" t="str">
        <f>VLOOKUP(B567,Tabelle3!A:C,2,FALSE)</f>
        <v>Süd</v>
      </c>
      <c r="D567" t="s">
        <v>27</v>
      </c>
      <c r="E567" t="s">
        <v>1816</v>
      </c>
      <c r="F567" t="s">
        <v>1836</v>
      </c>
      <c r="G567">
        <v>81371</v>
      </c>
      <c r="H567" t="s">
        <v>1824</v>
      </c>
      <c r="I567" t="s">
        <v>1830</v>
      </c>
      <c r="J567" t="s">
        <v>701</v>
      </c>
      <c r="K567">
        <v>44561</v>
      </c>
      <c r="L567" t="s">
        <v>33</v>
      </c>
      <c r="M567" t="s">
        <v>34</v>
      </c>
      <c r="N567" t="s">
        <v>33</v>
      </c>
      <c r="O567" t="s">
        <v>25</v>
      </c>
      <c r="P567" t="s">
        <v>35</v>
      </c>
      <c r="Q567" t="s">
        <v>33</v>
      </c>
      <c r="R567" t="s">
        <v>36</v>
      </c>
      <c r="S567">
        <v>0.55800000000000005</v>
      </c>
      <c r="T567" t="s">
        <v>47</v>
      </c>
      <c r="U567">
        <v>146.5</v>
      </c>
      <c r="V567">
        <v>146.30000000000001</v>
      </c>
      <c r="W567">
        <v>127.28100000000001</v>
      </c>
      <c r="X567">
        <v>40.69</v>
      </c>
      <c r="Y567">
        <v>98.902060931899641</v>
      </c>
    </row>
    <row r="568" spans="1:25" x14ac:dyDescent="0.35">
      <c r="A568" t="s">
        <v>25</v>
      </c>
      <c r="B568" t="s">
        <v>1837</v>
      </c>
      <c r="C568" t="str">
        <f>VLOOKUP(B568,Tabelle3!A:C,2,FALSE)</f>
        <v>Süd</v>
      </c>
      <c r="D568" t="s">
        <v>27</v>
      </c>
      <c r="E568" t="s">
        <v>1816</v>
      </c>
      <c r="F568" t="s">
        <v>1838</v>
      </c>
      <c r="G568">
        <v>81371</v>
      </c>
      <c r="H568" t="s">
        <v>1824</v>
      </c>
      <c r="I568" t="s">
        <v>1830</v>
      </c>
      <c r="J568" t="s">
        <v>701</v>
      </c>
      <c r="K568">
        <v>44561</v>
      </c>
      <c r="L568" t="s">
        <v>33</v>
      </c>
      <c r="M568" t="s">
        <v>34</v>
      </c>
      <c r="N568" t="s">
        <v>33</v>
      </c>
      <c r="O568" t="s">
        <v>25</v>
      </c>
      <c r="P568" t="s">
        <v>35</v>
      </c>
      <c r="Q568" t="s">
        <v>33</v>
      </c>
      <c r="R568" t="s">
        <v>36</v>
      </c>
      <c r="S568">
        <v>0.55800000000000005</v>
      </c>
      <c r="T568" t="s">
        <v>47</v>
      </c>
      <c r="U568">
        <v>146.5</v>
      </c>
      <c r="V568">
        <v>146.30000000000001</v>
      </c>
      <c r="W568">
        <v>127.28100000000001</v>
      </c>
      <c r="X568">
        <v>40.69</v>
      </c>
      <c r="Y568">
        <v>98.902060931899641</v>
      </c>
    </row>
    <row r="569" spans="1:25" x14ac:dyDescent="0.35">
      <c r="A569" t="s">
        <v>25</v>
      </c>
      <c r="B569" t="s">
        <v>1839</v>
      </c>
      <c r="C569" t="str">
        <f>VLOOKUP(B569,Tabelle3!A:C,2,FALSE)</f>
        <v>Nord</v>
      </c>
      <c r="D569" t="s">
        <v>27</v>
      </c>
      <c r="E569" t="s">
        <v>1840</v>
      </c>
      <c r="F569" t="s">
        <v>1841</v>
      </c>
      <c r="G569">
        <v>24534</v>
      </c>
      <c r="H569" t="s">
        <v>1842</v>
      </c>
      <c r="I569" t="s">
        <v>1843</v>
      </c>
      <c r="J569" t="s">
        <v>276</v>
      </c>
      <c r="K569">
        <v>29042</v>
      </c>
      <c r="L569" t="s">
        <v>171</v>
      </c>
      <c r="M569" t="s">
        <v>172</v>
      </c>
      <c r="N569" t="s">
        <v>173</v>
      </c>
      <c r="O569" t="s">
        <v>25</v>
      </c>
      <c r="P569" t="s">
        <v>50</v>
      </c>
      <c r="Q569" t="s">
        <v>173</v>
      </c>
      <c r="R569" t="s">
        <v>173</v>
      </c>
      <c r="S569">
        <v>0.33</v>
      </c>
      <c r="T569" t="s">
        <v>47</v>
      </c>
      <c r="U569">
        <v>15.52</v>
      </c>
      <c r="V569">
        <v>12.522</v>
      </c>
      <c r="W569">
        <v>10.643699999999999</v>
      </c>
      <c r="X569">
        <v>0</v>
      </c>
      <c r="Y569">
        <v>1</v>
      </c>
    </row>
    <row r="570" spans="1:25" x14ac:dyDescent="0.35">
      <c r="A570" t="s">
        <v>25</v>
      </c>
      <c r="B570" t="s">
        <v>1844</v>
      </c>
      <c r="C570" t="str">
        <f>VLOOKUP(B570,Tabelle3!A:C,2,FALSE)</f>
        <v>Nord</v>
      </c>
      <c r="D570" t="s">
        <v>27</v>
      </c>
      <c r="E570" t="s">
        <v>1840</v>
      </c>
      <c r="F570" t="s">
        <v>1845</v>
      </c>
      <c r="G570">
        <v>24534</v>
      </c>
      <c r="H570" t="s">
        <v>1842</v>
      </c>
      <c r="I570" t="s">
        <v>1843</v>
      </c>
      <c r="J570" t="s">
        <v>276</v>
      </c>
      <c r="K570">
        <v>41830</v>
      </c>
      <c r="L570" t="s">
        <v>171</v>
      </c>
      <c r="M570" t="s">
        <v>172</v>
      </c>
      <c r="N570" t="s">
        <v>173</v>
      </c>
      <c r="O570" t="s">
        <v>25</v>
      </c>
      <c r="P570" t="s">
        <v>82</v>
      </c>
      <c r="Q570" t="s">
        <v>173</v>
      </c>
      <c r="R570" t="s">
        <v>173</v>
      </c>
      <c r="S570">
        <v>0.33</v>
      </c>
      <c r="T570" t="s">
        <v>47</v>
      </c>
      <c r="U570">
        <v>23.02</v>
      </c>
      <c r="V570">
        <v>14.44</v>
      </c>
      <c r="W570">
        <v>12.273999999999999</v>
      </c>
      <c r="X570">
        <v>0</v>
      </c>
      <c r="Y570">
        <v>1</v>
      </c>
    </row>
    <row r="571" spans="1:25" x14ac:dyDescent="0.35">
      <c r="A571" t="s">
        <v>25</v>
      </c>
      <c r="B571" t="s">
        <v>1846</v>
      </c>
      <c r="C571" t="str">
        <f>VLOOKUP(B571,Tabelle3!A:C,2,FALSE)</f>
        <v>Süd</v>
      </c>
      <c r="D571" t="s">
        <v>27</v>
      </c>
      <c r="E571" t="s">
        <v>569</v>
      </c>
      <c r="F571" t="s">
        <v>1847</v>
      </c>
      <c r="G571">
        <v>90449</v>
      </c>
      <c r="H571" t="s">
        <v>1649</v>
      </c>
      <c r="I571" t="s">
        <v>1848</v>
      </c>
      <c r="J571" t="s">
        <v>701</v>
      </c>
      <c r="K571">
        <v>27395</v>
      </c>
      <c r="L571" t="s">
        <v>33</v>
      </c>
      <c r="M571" t="s">
        <v>34</v>
      </c>
      <c r="N571" t="s">
        <v>33</v>
      </c>
      <c r="O571" t="s">
        <v>25</v>
      </c>
      <c r="P571" t="s">
        <v>35</v>
      </c>
      <c r="Q571" t="s">
        <v>33</v>
      </c>
      <c r="R571" t="s">
        <v>36</v>
      </c>
      <c r="S571">
        <v>0.432</v>
      </c>
      <c r="T571" t="s">
        <v>47</v>
      </c>
      <c r="U571">
        <v>58</v>
      </c>
      <c r="V571">
        <v>53</v>
      </c>
      <c r="W571">
        <v>46.11</v>
      </c>
      <c r="X571">
        <v>40.69</v>
      </c>
      <c r="Y571">
        <v>127.45682870370371</v>
      </c>
    </row>
    <row r="572" spans="1:25" x14ac:dyDescent="0.35">
      <c r="A572" t="s">
        <v>25</v>
      </c>
      <c r="B572" t="s">
        <v>1849</v>
      </c>
      <c r="C572" t="str">
        <f>VLOOKUP(B572,Tabelle3!A:C,2,FALSE)</f>
        <v>Nord</v>
      </c>
      <c r="D572" t="s">
        <v>27</v>
      </c>
      <c r="E572" t="s">
        <v>569</v>
      </c>
      <c r="F572" t="s">
        <v>1850</v>
      </c>
      <c r="G572">
        <v>26931</v>
      </c>
      <c r="H572" t="s">
        <v>1851</v>
      </c>
      <c r="I572" t="s">
        <v>1852</v>
      </c>
      <c r="J572" t="s">
        <v>765</v>
      </c>
      <c r="K572">
        <v>28491</v>
      </c>
      <c r="L572" t="s">
        <v>33</v>
      </c>
      <c r="M572" t="s">
        <v>34</v>
      </c>
      <c r="N572" t="s">
        <v>33</v>
      </c>
      <c r="O572" t="s">
        <v>44</v>
      </c>
      <c r="P572" t="s">
        <v>62</v>
      </c>
      <c r="Q572" t="s">
        <v>33</v>
      </c>
      <c r="R572" t="s">
        <v>36</v>
      </c>
      <c r="S572">
        <v>0.42</v>
      </c>
      <c r="T572" t="s">
        <v>47</v>
      </c>
      <c r="U572">
        <v>323</v>
      </c>
      <c r="V572">
        <v>321</v>
      </c>
      <c r="W572">
        <v>279.27</v>
      </c>
      <c r="X572">
        <v>40.69</v>
      </c>
      <c r="Y572">
        <v>131.06988095238094</v>
      </c>
    </row>
    <row r="573" spans="1:25" x14ac:dyDescent="0.35">
      <c r="A573" t="s">
        <v>25</v>
      </c>
      <c r="B573" t="s">
        <v>1853</v>
      </c>
      <c r="C573" t="str">
        <f>VLOOKUP(B573,Tabelle3!A:C,2,FALSE)</f>
        <v>Süd</v>
      </c>
      <c r="D573" t="s">
        <v>1854</v>
      </c>
      <c r="E573" t="s">
        <v>569</v>
      </c>
      <c r="F573" t="s">
        <v>1855</v>
      </c>
      <c r="G573">
        <v>90449</v>
      </c>
      <c r="H573" t="s">
        <v>1649</v>
      </c>
      <c r="I573" t="s">
        <v>1848</v>
      </c>
      <c r="J573" t="s">
        <v>701</v>
      </c>
      <c r="K573">
        <v>26665</v>
      </c>
      <c r="L573" t="s">
        <v>33</v>
      </c>
      <c r="M573" t="s">
        <v>34</v>
      </c>
      <c r="N573" t="s">
        <v>33</v>
      </c>
      <c r="O573" t="s">
        <v>25</v>
      </c>
      <c r="P573" t="s">
        <v>82</v>
      </c>
      <c r="Q573" t="s">
        <v>33</v>
      </c>
      <c r="R573" t="s">
        <v>46</v>
      </c>
      <c r="S573">
        <v>0.41849999999999998</v>
      </c>
      <c r="T573" t="s">
        <v>47</v>
      </c>
      <c r="U573">
        <v>395</v>
      </c>
      <c r="V573">
        <v>383</v>
      </c>
      <c r="W573">
        <v>333.21</v>
      </c>
      <c r="X573">
        <v>40.69</v>
      </c>
      <c r="Y573">
        <v>132.03608124253284</v>
      </c>
    </row>
    <row r="574" spans="1:25" x14ac:dyDescent="0.35">
      <c r="A574" t="s">
        <v>25</v>
      </c>
      <c r="B574" t="s">
        <v>1856</v>
      </c>
      <c r="C574" t="str">
        <f>VLOOKUP(B574,Tabelle3!A:C,2,FALSE)</f>
        <v>Süd</v>
      </c>
      <c r="D574" t="s">
        <v>1854</v>
      </c>
      <c r="E574" t="s">
        <v>569</v>
      </c>
      <c r="F574" t="s">
        <v>1857</v>
      </c>
      <c r="G574">
        <v>90449</v>
      </c>
      <c r="H574" t="s">
        <v>1649</v>
      </c>
      <c r="I574" t="s">
        <v>1848</v>
      </c>
      <c r="J574" t="s">
        <v>701</v>
      </c>
      <c r="K574">
        <v>27395</v>
      </c>
      <c r="L574" t="s">
        <v>33</v>
      </c>
      <c r="M574" t="s">
        <v>34</v>
      </c>
      <c r="N574" t="s">
        <v>33</v>
      </c>
      <c r="O574" t="s">
        <v>25</v>
      </c>
      <c r="P574" t="s">
        <v>82</v>
      </c>
      <c r="Q574" t="s">
        <v>33</v>
      </c>
      <c r="R574" t="s">
        <v>46</v>
      </c>
      <c r="S574">
        <v>0.432</v>
      </c>
      <c r="T574" t="s">
        <v>47</v>
      </c>
      <c r="U574">
        <v>395</v>
      </c>
      <c r="V574">
        <v>387</v>
      </c>
      <c r="W574">
        <v>336.69</v>
      </c>
      <c r="X574">
        <v>40.69</v>
      </c>
      <c r="Y574">
        <v>127.95682870370371</v>
      </c>
    </row>
    <row r="575" spans="1:25" x14ac:dyDescent="0.35">
      <c r="A575" t="s">
        <v>25</v>
      </c>
      <c r="B575" t="s">
        <v>1858</v>
      </c>
      <c r="C575" t="str">
        <f>VLOOKUP(B575,Tabelle3!A:C,2,FALSE)</f>
        <v>Süd</v>
      </c>
      <c r="D575" t="s">
        <v>27</v>
      </c>
      <c r="E575" t="s">
        <v>569</v>
      </c>
      <c r="F575" t="s">
        <v>1859</v>
      </c>
      <c r="G575">
        <v>85088</v>
      </c>
      <c r="H575" t="s">
        <v>1536</v>
      </c>
      <c r="I575" t="s">
        <v>1537</v>
      </c>
      <c r="J575" t="s">
        <v>701</v>
      </c>
      <c r="K575">
        <v>40544</v>
      </c>
      <c r="L575" t="s">
        <v>33</v>
      </c>
      <c r="M575" t="s">
        <v>34</v>
      </c>
      <c r="N575" t="s">
        <v>33</v>
      </c>
      <c r="O575" t="s">
        <v>44</v>
      </c>
      <c r="P575" t="s">
        <v>87</v>
      </c>
      <c r="Q575" t="s">
        <v>33</v>
      </c>
      <c r="R575" t="s">
        <v>46</v>
      </c>
      <c r="S575">
        <v>0.60399999999999998</v>
      </c>
      <c r="T575" t="s">
        <v>47</v>
      </c>
      <c r="U575">
        <v>580</v>
      </c>
      <c r="V575">
        <v>576</v>
      </c>
      <c r="W575">
        <v>501.12</v>
      </c>
      <c r="X575">
        <v>40.69</v>
      </c>
      <c r="Y575">
        <v>91.945943708609278</v>
      </c>
    </row>
    <row r="576" spans="1:25" x14ac:dyDescent="0.35">
      <c r="A576" t="s">
        <v>25</v>
      </c>
      <c r="B576" t="s">
        <v>1860</v>
      </c>
      <c r="C576" t="str">
        <f>VLOOKUP(B576,Tabelle3!A:C,2,FALSE)</f>
        <v>Nord</v>
      </c>
      <c r="D576" t="s">
        <v>27</v>
      </c>
      <c r="E576" t="s">
        <v>1861</v>
      </c>
      <c r="F576" t="s">
        <v>1862</v>
      </c>
      <c r="G576">
        <v>38440</v>
      </c>
      <c r="H576" t="s">
        <v>1863</v>
      </c>
      <c r="I576" t="s">
        <v>1864</v>
      </c>
      <c r="J576" t="s">
        <v>765</v>
      </c>
      <c r="K576">
        <v>44557</v>
      </c>
      <c r="L576" t="s">
        <v>69</v>
      </c>
      <c r="M576" t="s">
        <v>70</v>
      </c>
      <c r="N576" t="s">
        <v>69</v>
      </c>
      <c r="O576" t="s">
        <v>25</v>
      </c>
      <c r="P576" t="s">
        <v>50</v>
      </c>
      <c r="Q576" t="s">
        <v>71</v>
      </c>
      <c r="R576" t="s">
        <v>71</v>
      </c>
      <c r="S576">
        <v>0.4</v>
      </c>
      <c r="T576" t="s">
        <v>108</v>
      </c>
      <c r="U576">
        <v>37</v>
      </c>
      <c r="V576">
        <v>36.200000000000003</v>
      </c>
      <c r="W576">
        <v>30.770000000000003</v>
      </c>
      <c r="X576">
        <v>95.59</v>
      </c>
      <c r="Y576">
        <v>277.07724999999999</v>
      </c>
    </row>
    <row r="577" spans="1:25" x14ac:dyDescent="0.35">
      <c r="A577" t="s">
        <v>25</v>
      </c>
      <c r="B577" t="s">
        <v>1865</v>
      </c>
      <c r="C577" t="str">
        <f>VLOOKUP(B577,Tabelle3!A:C,2,FALSE)</f>
        <v>Nord</v>
      </c>
      <c r="D577" t="s">
        <v>27</v>
      </c>
      <c r="E577" t="s">
        <v>1861</v>
      </c>
      <c r="F577" t="s">
        <v>1866</v>
      </c>
      <c r="G577">
        <v>38440</v>
      </c>
      <c r="H577" t="s">
        <v>1863</v>
      </c>
      <c r="I577" t="s">
        <v>1864</v>
      </c>
      <c r="J577" t="s">
        <v>765</v>
      </c>
      <c r="K577">
        <v>45282</v>
      </c>
      <c r="L577" t="s">
        <v>69</v>
      </c>
      <c r="M577" t="s">
        <v>70</v>
      </c>
      <c r="N577" t="s">
        <v>69</v>
      </c>
      <c r="O577" t="s">
        <v>25</v>
      </c>
      <c r="P577" t="s">
        <v>82</v>
      </c>
      <c r="Q577" t="s">
        <v>71</v>
      </c>
      <c r="R577" t="s">
        <v>71</v>
      </c>
      <c r="S577">
        <v>0.47</v>
      </c>
      <c r="T577" t="s">
        <v>37</v>
      </c>
      <c r="U577">
        <v>48.99</v>
      </c>
      <c r="V577">
        <v>48.99</v>
      </c>
      <c r="W577">
        <v>41.641500000000001</v>
      </c>
      <c r="X577">
        <v>95.59</v>
      </c>
      <c r="Y577">
        <v>235.95936170212769</v>
      </c>
    </row>
    <row r="578" spans="1:25" x14ac:dyDescent="0.35">
      <c r="A578" t="s">
        <v>25</v>
      </c>
      <c r="B578" t="s">
        <v>1867</v>
      </c>
      <c r="C578" t="str">
        <f>VLOOKUP(B578,Tabelle3!A:C,2,FALSE)</f>
        <v>Nord</v>
      </c>
      <c r="D578" t="s">
        <v>27</v>
      </c>
      <c r="E578" t="s">
        <v>1861</v>
      </c>
      <c r="F578" t="s">
        <v>1868</v>
      </c>
      <c r="G578">
        <v>38440</v>
      </c>
      <c r="H578" t="s">
        <v>1863</v>
      </c>
      <c r="I578" t="s">
        <v>1864</v>
      </c>
      <c r="J578" t="s">
        <v>765</v>
      </c>
      <c r="K578">
        <v>45282</v>
      </c>
      <c r="L578" t="s">
        <v>69</v>
      </c>
      <c r="M578" t="s">
        <v>70</v>
      </c>
      <c r="N578" t="s">
        <v>69</v>
      </c>
      <c r="O578" t="s">
        <v>25</v>
      </c>
      <c r="P578" t="s">
        <v>82</v>
      </c>
      <c r="Q578" t="s">
        <v>71</v>
      </c>
      <c r="R578" t="s">
        <v>71</v>
      </c>
      <c r="S578">
        <v>0.47</v>
      </c>
      <c r="T578" t="s">
        <v>37</v>
      </c>
      <c r="U578">
        <v>48.99</v>
      </c>
      <c r="V578">
        <v>48.99</v>
      </c>
      <c r="W578">
        <v>41.641500000000001</v>
      </c>
      <c r="X578">
        <v>95.59</v>
      </c>
      <c r="Y578">
        <v>235.95936170212769</v>
      </c>
    </row>
    <row r="579" spans="1:25" x14ac:dyDescent="0.35">
      <c r="A579" t="s">
        <v>25</v>
      </c>
      <c r="B579" t="s">
        <v>1869</v>
      </c>
      <c r="C579" t="str">
        <f>VLOOKUP(B579,Tabelle3!A:C,2,FALSE)</f>
        <v>Nord</v>
      </c>
      <c r="D579" t="s">
        <v>27</v>
      </c>
      <c r="E579" t="s">
        <v>1861</v>
      </c>
      <c r="F579" t="s">
        <v>1870</v>
      </c>
      <c r="G579">
        <v>38440</v>
      </c>
      <c r="H579" t="s">
        <v>1863</v>
      </c>
      <c r="I579" t="s">
        <v>1864</v>
      </c>
      <c r="J579" t="s">
        <v>765</v>
      </c>
      <c r="K579">
        <v>44557</v>
      </c>
      <c r="L579" t="s">
        <v>33</v>
      </c>
      <c r="M579" t="s">
        <v>34</v>
      </c>
      <c r="N579" t="s">
        <v>33</v>
      </c>
      <c r="O579" t="s">
        <v>25</v>
      </c>
      <c r="P579" t="s">
        <v>35</v>
      </c>
      <c r="Q579" t="s">
        <v>33</v>
      </c>
      <c r="R579" t="s">
        <v>36</v>
      </c>
      <c r="S579">
        <v>0.63</v>
      </c>
      <c r="T579" t="s">
        <v>37</v>
      </c>
      <c r="U579">
        <v>49.5</v>
      </c>
      <c r="V579">
        <v>49.4</v>
      </c>
      <c r="W579">
        <v>42.978000000000002</v>
      </c>
      <c r="X579">
        <v>40.69</v>
      </c>
      <c r="Y579">
        <v>87.713253968253966</v>
      </c>
    </row>
    <row r="580" spans="1:25" x14ac:dyDescent="0.35">
      <c r="A580" t="s">
        <v>25</v>
      </c>
      <c r="B580" t="s">
        <v>1871</v>
      </c>
      <c r="C580" t="str">
        <f>VLOOKUP(B580,Tabelle3!A:C,2,FALSE)</f>
        <v>Nord</v>
      </c>
      <c r="D580" t="s">
        <v>27</v>
      </c>
      <c r="E580" t="s">
        <v>1861</v>
      </c>
      <c r="F580" t="s">
        <v>1872</v>
      </c>
      <c r="G580">
        <v>38440</v>
      </c>
      <c r="H580" t="s">
        <v>1863</v>
      </c>
      <c r="I580" t="s">
        <v>1864</v>
      </c>
      <c r="J580" t="s">
        <v>765</v>
      </c>
      <c r="K580">
        <v>44557</v>
      </c>
      <c r="L580" t="s">
        <v>33</v>
      </c>
      <c r="M580" t="s">
        <v>34</v>
      </c>
      <c r="N580" t="s">
        <v>33</v>
      </c>
      <c r="O580" t="s">
        <v>25</v>
      </c>
      <c r="P580" t="s">
        <v>35</v>
      </c>
      <c r="Q580" t="s">
        <v>33</v>
      </c>
      <c r="R580" t="s">
        <v>36</v>
      </c>
      <c r="S580">
        <v>0.63</v>
      </c>
      <c r="T580" t="s">
        <v>37</v>
      </c>
      <c r="U580">
        <v>49.5</v>
      </c>
      <c r="V580">
        <v>49.4</v>
      </c>
      <c r="W580">
        <v>42.978000000000002</v>
      </c>
      <c r="X580">
        <v>40.69</v>
      </c>
      <c r="Y580">
        <v>87.713253968253966</v>
      </c>
    </row>
    <row r="581" spans="1:25" x14ac:dyDescent="0.35">
      <c r="A581" t="s">
        <v>25</v>
      </c>
      <c r="B581" t="s">
        <v>1873</v>
      </c>
      <c r="C581" t="str">
        <f>VLOOKUP(B581,Tabelle3!A:C,2,FALSE)</f>
        <v>Nord</v>
      </c>
      <c r="D581" t="s">
        <v>27</v>
      </c>
      <c r="E581" t="s">
        <v>1861</v>
      </c>
      <c r="F581" t="s">
        <v>1874</v>
      </c>
      <c r="G581">
        <v>38440</v>
      </c>
      <c r="H581" t="s">
        <v>1863</v>
      </c>
      <c r="I581" t="s">
        <v>1864</v>
      </c>
      <c r="J581" t="s">
        <v>765</v>
      </c>
      <c r="K581">
        <v>45282</v>
      </c>
      <c r="L581" t="s">
        <v>33</v>
      </c>
      <c r="M581" t="s">
        <v>34</v>
      </c>
      <c r="N581" t="s">
        <v>33</v>
      </c>
      <c r="O581" t="s">
        <v>25</v>
      </c>
      <c r="P581" t="s">
        <v>87</v>
      </c>
      <c r="Q581" t="s">
        <v>33</v>
      </c>
      <c r="R581" t="s">
        <v>46</v>
      </c>
      <c r="S581">
        <v>0.47</v>
      </c>
      <c r="T581" t="s">
        <v>37</v>
      </c>
      <c r="U581">
        <v>101</v>
      </c>
      <c r="V581">
        <v>101</v>
      </c>
      <c r="W581">
        <v>87.87</v>
      </c>
      <c r="X581">
        <v>40.69</v>
      </c>
      <c r="Y581">
        <v>117.7326595744681</v>
      </c>
    </row>
    <row r="582" spans="1:25" x14ac:dyDescent="0.35">
      <c r="A582" t="s">
        <v>25</v>
      </c>
      <c r="B582" t="s">
        <v>1875</v>
      </c>
      <c r="C582" t="str">
        <f>VLOOKUP(B582,Tabelle3!A:C,2,FALSE)</f>
        <v>Nord</v>
      </c>
      <c r="D582" t="s">
        <v>27</v>
      </c>
      <c r="E582" t="s">
        <v>1861</v>
      </c>
      <c r="F582" t="s">
        <v>1876</v>
      </c>
      <c r="G582">
        <v>38440</v>
      </c>
      <c r="H582" t="s">
        <v>1863</v>
      </c>
      <c r="I582" t="s">
        <v>1864</v>
      </c>
      <c r="J582" t="s">
        <v>765</v>
      </c>
      <c r="K582">
        <v>45282</v>
      </c>
      <c r="L582" t="s">
        <v>33</v>
      </c>
      <c r="M582" t="s">
        <v>34</v>
      </c>
      <c r="N582" t="s">
        <v>33</v>
      </c>
      <c r="O582" t="s">
        <v>25</v>
      </c>
      <c r="P582" t="s">
        <v>87</v>
      </c>
      <c r="Q582" t="s">
        <v>33</v>
      </c>
      <c r="R582" t="s">
        <v>46</v>
      </c>
      <c r="S582">
        <v>0.47</v>
      </c>
      <c r="T582" t="s">
        <v>37</v>
      </c>
      <c r="U582">
        <v>101</v>
      </c>
      <c r="V582">
        <v>101</v>
      </c>
      <c r="W582">
        <v>87.87</v>
      </c>
      <c r="X582">
        <v>40.69</v>
      </c>
      <c r="Y582">
        <v>117.7326595744681</v>
      </c>
    </row>
    <row r="583" spans="1:25" x14ac:dyDescent="0.35">
      <c r="A583" t="s">
        <v>25</v>
      </c>
      <c r="B583" t="s">
        <v>1877</v>
      </c>
      <c r="C583" t="str">
        <f>VLOOKUP(B583,Tabelle3!A:C,2,FALSE)</f>
        <v>Nord</v>
      </c>
      <c r="D583" t="s">
        <v>27</v>
      </c>
      <c r="E583" t="s">
        <v>1878</v>
      </c>
      <c r="F583" t="s">
        <v>1879</v>
      </c>
      <c r="G583">
        <v>38112</v>
      </c>
      <c r="H583" t="s">
        <v>1453</v>
      </c>
      <c r="I583" t="s">
        <v>1880</v>
      </c>
      <c r="J583" t="s">
        <v>765</v>
      </c>
      <c r="K583">
        <v>41840</v>
      </c>
      <c r="L583" t="s">
        <v>33</v>
      </c>
      <c r="M583" t="s">
        <v>34</v>
      </c>
      <c r="N583" t="s">
        <v>33</v>
      </c>
      <c r="O583" t="s">
        <v>25</v>
      </c>
      <c r="P583" t="s">
        <v>137</v>
      </c>
      <c r="Q583" t="s">
        <v>33</v>
      </c>
      <c r="R583" t="s">
        <v>46</v>
      </c>
      <c r="S583">
        <v>0.40039999999999998</v>
      </c>
      <c r="T583" t="s">
        <v>47</v>
      </c>
      <c r="U583">
        <v>10.5</v>
      </c>
      <c r="V583">
        <v>10.4</v>
      </c>
      <c r="W583">
        <v>9.048</v>
      </c>
      <c r="X583">
        <v>40.69</v>
      </c>
      <c r="Y583">
        <v>137.93693806193806</v>
      </c>
    </row>
    <row r="584" spans="1:25" x14ac:dyDescent="0.35">
      <c r="A584" t="s">
        <v>25</v>
      </c>
      <c r="B584" t="s">
        <v>1881</v>
      </c>
      <c r="C584" t="str">
        <f>VLOOKUP(B584,Tabelle3!A:C,2,FALSE)</f>
        <v>Nord</v>
      </c>
      <c r="D584" t="s">
        <v>27</v>
      </c>
      <c r="E584" t="s">
        <v>1878</v>
      </c>
      <c r="F584" t="s">
        <v>1882</v>
      </c>
      <c r="G584">
        <v>34225</v>
      </c>
      <c r="H584" t="s">
        <v>1883</v>
      </c>
      <c r="I584" t="s">
        <v>1884</v>
      </c>
      <c r="J584" t="s">
        <v>865</v>
      </c>
      <c r="K584">
        <v>41323</v>
      </c>
      <c r="L584" t="s">
        <v>69</v>
      </c>
      <c r="M584" t="s">
        <v>70</v>
      </c>
      <c r="N584" t="s">
        <v>69</v>
      </c>
      <c r="O584" t="s">
        <v>25</v>
      </c>
      <c r="P584" t="s">
        <v>82</v>
      </c>
      <c r="Q584" t="s">
        <v>71</v>
      </c>
      <c r="R584" t="s">
        <v>71</v>
      </c>
      <c r="S584">
        <v>0.47</v>
      </c>
      <c r="T584" t="s">
        <v>47</v>
      </c>
      <c r="U584">
        <v>30.259</v>
      </c>
      <c r="V584">
        <v>29.303999999999998</v>
      </c>
      <c r="W584">
        <v>24.908399999999997</v>
      </c>
      <c r="X584">
        <v>95.59</v>
      </c>
      <c r="Y584">
        <v>235.95936170212769</v>
      </c>
    </row>
    <row r="585" spans="1:25" x14ac:dyDescent="0.35">
      <c r="A585" t="s">
        <v>25</v>
      </c>
      <c r="B585" t="s">
        <v>1885</v>
      </c>
      <c r="C585" t="str">
        <f>VLOOKUP(B585,Tabelle3!A:C,2,FALSE)</f>
        <v>Nord</v>
      </c>
      <c r="D585" t="s">
        <v>27</v>
      </c>
      <c r="E585" t="s">
        <v>1878</v>
      </c>
      <c r="F585" t="s">
        <v>1886</v>
      </c>
      <c r="G585">
        <v>34225</v>
      </c>
      <c r="H585" t="s">
        <v>1883</v>
      </c>
      <c r="I585" t="s">
        <v>1884</v>
      </c>
      <c r="J585" t="s">
        <v>865</v>
      </c>
      <c r="K585">
        <v>41323</v>
      </c>
      <c r="L585" t="s">
        <v>33</v>
      </c>
      <c r="M585" t="s">
        <v>34</v>
      </c>
      <c r="N585" t="s">
        <v>33</v>
      </c>
      <c r="O585" t="s">
        <v>25</v>
      </c>
      <c r="P585" t="s">
        <v>35</v>
      </c>
      <c r="Q585" t="s">
        <v>33</v>
      </c>
      <c r="R585" t="s">
        <v>36</v>
      </c>
      <c r="S585">
        <v>0.47</v>
      </c>
      <c r="T585" t="s">
        <v>47</v>
      </c>
      <c r="U585">
        <v>51</v>
      </c>
      <c r="V585">
        <v>45.07</v>
      </c>
      <c r="W585">
        <v>39.210900000000002</v>
      </c>
      <c r="X585">
        <v>40.69</v>
      </c>
      <c r="Y585">
        <v>117.2326595744681</v>
      </c>
    </row>
    <row r="586" spans="1:25" x14ac:dyDescent="0.35">
      <c r="A586" t="s">
        <v>25</v>
      </c>
      <c r="B586" t="s">
        <v>1887</v>
      </c>
      <c r="C586" t="str">
        <f>VLOOKUP(B586,Tabelle3!A:C,2,FALSE)</f>
        <v>Süd</v>
      </c>
      <c r="D586" t="s">
        <v>27</v>
      </c>
      <c r="E586" t="s">
        <v>1888</v>
      </c>
      <c r="F586" t="s">
        <v>1889</v>
      </c>
      <c r="G586">
        <v>84489</v>
      </c>
      <c r="H586" t="s">
        <v>1890</v>
      </c>
      <c r="I586" t="s">
        <v>1891</v>
      </c>
      <c r="J586" t="s">
        <v>701</v>
      </c>
      <c r="K586">
        <v>31778</v>
      </c>
      <c r="L586" t="s">
        <v>33</v>
      </c>
      <c r="M586" t="s">
        <v>34</v>
      </c>
      <c r="N586" t="s">
        <v>33</v>
      </c>
      <c r="O586" t="s">
        <v>25</v>
      </c>
      <c r="P586" t="s">
        <v>50</v>
      </c>
      <c r="Q586" t="s">
        <v>33</v>
      </c>
      <c r="R586" t="s">
        <v>46</v>
      </c>
      <c r="S586">
        <v>0.3619</v>
      </c>
      <c r="T586" t="s">
        <v>47</v>
      </c>
      <c r="U586">
        <v>13.6</v>
      </c>
      <c r="V586">
        <v>13.5</v>
      </c>
      <c r="W586">
        <v>11.744999999999999</v>
      </c>
      <c r="X586">
        <v>40.69</v>
      </c>
      <c r="Y586">
        <v>152.45150594086763</v>
      </c>
    </row>
    <row r="587" spans="1:25" x14ac:dyDescent="0.35">
      <c r="A587" t="s">
        <v>25</v>
      </c>
      <c r="B587" t="s">
        <v>1892</v>
      </c>
      <c r="C587" t="str">
        <f>VLOOKUP(B587,Tabelle3!A:C,2,FALSE)</f>
        <v>Süd</v>
      </c>
      <c r="D587" t="s">
        <v>27</v>
      </c>
      <c r="E587" t="s">
        <v>1888</v>
      </c>
      <c r="F587" t="s">
        <v>1893</v>
      </c>
      <c r="G587">
        <v>84489</v>
      </c>
      <c r="H587" t="s">
        <v>1890</v>
      </c>
      <c r="I587" t="s">
        <v>1891</v>
      </c>
      <c r="J587" t="s">
        <v>701</v>
      </c>
      <c r="K587">
        <v>41837</v>
      </c>
      <c r="L587" t="s">
        <v>33</v>
      </c>
      <c r="M587" t="s">
        <v>34</v>
      </c>
      <c r="N587" t="s">
        <v>33</v>
      </c>
      <c r="O587" t="s">
        <v>25</v>
      </c>
      <c r="P587" t="s">
        <v>50</v>
      </c>
      <c r="Q587" t="s">
        <v>33</v>
      </c>
      <c r="R587" t="s">
        <v>46</v>
      </c>
      <c r="S587">
        <v>0.3619</v>
      </c>
      <c r="T587" t="s">
        <v>47</v>
      </c>
      <c r="U587">
        <v>37.799999999999997</v>
      </c>
      <c r="V587">
        <v>37.6</v>
      </c>
      <c r="W587">
        <v>32.712000000000003</v>
      </c>
      <c r="X587">
        <v>40.69</v>
      </c>
      <c r="Y587">
        <v>152.45150594086763</v>
      </c>
    </row>
    <row r="588" spans="1:25" x14ac:dyDescent="0.35">
      <c r="A588" t="s">
        <v>25</v>
      </c>
      <c r="B588" t="s">
        <v>1894</v>
      </c>
      <c r="C588" t="str">
        <f>VLOOKUP(B588,Tabelle3!A:C,2,FALSE)</f>
        <v>Süd</v>
      </c>
      <c r="D588" t="s">
        <v>27</v>
      </c>
      <c r="E588" t="s">
        <v>1888</v>
      </c>
      <c r="F588" t="s">
        <v>1895</v>
      </c>
      <c r="G588">
        <v>84489</v>
      </c>
      <c r="H588" t="s">
        <v>1890</v>
      </c>
      <c r="I588" t="s">
        <v>1891</v>
      </c>
      <c r="J588" t="s">
        <v>701</v>
      </c>
      <c r="K588">
        <v>28989</v>
      </c>
      <c r="L588" t="s">
        <v>33</v>
      </c>
      <c r="M588" t="s">
        <v>34</v>
      </c>
      <c r="N588" t="s">
        <v>33</v>
      </c>
      <c r="O588" t="s">
        <v>25</v>
      </c>
      <c r="P588" t="s">
        <v>50</v>
      </c>
      <c r="Q588" t="s">
        <v>33</v>
      </c>
      <c r="R588" t="s">
        <v>46</v>
      </c>
      <c r="S588">
        <v>0.3619</v>
      </c>
      <c r="T588" t="s">
        <v>47</v>
      </c>
      <c r="U588">
        <v>46</v>
      </c>
      <c r="V588">
        <v>45.8</v>
      </c>
      <c r="W588">
        <v>39.845999999999997</v>
      </c>
      <c r="X588">
        <v>40.69</v>
      </c>
      <c r="Y588">
        <v>152.45150594086763</v>
      </c>
    </row>
    <row r="589" spans="1:25" x14ac:dyDescent="0.35">
      <c r="A589" t="s">
        <v>25</v>
      </c>
      <c r="B589" t="s">
        <v>1896</v>
      </c>
      <c r="C589" t="str">
        <f>VLOOKUP(B589,Tabelle3!A:C,2,FALSE)</f>
        <v>Süd</v>
      </c>
      <c r="D589" t="s">
        <v>27</v>
      </c>
      <c r="E589" t="s">
        <v>1888</v>
      </c>
      <c r="F589" t="s">
        <v>1897</v>
      </c>
      <c r="G589">
        <v>84489</v>
      </c>
      <c r="H589" t="s">
        <v>1890</v>
      </c>
      <c r="I589" t="s">
        <v>1891</v>
      </c>
      <c r="J589" t="s">
        <v>701</v>
      </c>
      <c r="K589">
        <v>37099</v>
      </c>
      <c r="L589" t="s">
        <v>33</v>
      </c>
      <c r="M589" t="s">
        <v>34</v>
      </c>
      <c r="N589" t="s">
        <v>33</v>
      </c>
      <c r="O589" t="s">
        <v>25</v>
      </c>
      <c r="P589" t="s">
        <v>87</v>
      </c>
      <c r="Q589" t="s">
        <v>33</v>
      </c>
      <c r="R589" t="s">
        <v>46</v>
      </c>
      <c r="S589">
        <v>0.54449999999999998</v>
      </c>
      <c r="T589" t="s">
        <v>47</v>
      </c>
      <c r="U589">
        <v>141</v>
      </c>
      <c r="V589">
        <v>137</v>
      </c>
      <c r="W589">
        <v>119.19</v>
      </c>
      <c r="X589">
        <v>40.69</v>
      </c>
      <c r="Y589">
        <v>101.82938475665748</v>
      </c>
    </row>
    <row r="590" spans="1:25" x14ac:dyDescent="0.35">
      <c r="A590" t="s">
        <v>25</v>
      </c>
      <c r="B590" t="s">
        <v>1898</v>
      </c>
      <c r="C590" t="str">
        <f>VLOOKUP(B590,Tabelle3!A:C,2,FALSE)</f>
        <v>Süd</v>
      </c>
      <c r="D590" t="s">
        <v>27</v>
      </c>
      <c r="E590" t="s">
        <v>1899</v>
      </c>
      <c r="F590" t="s">
        <v>1900</v>
      </c>
      <c r="G590">
        <v>84508</v>
      </c>
      <c r="H590" t="s">
        <v>1560</v>
      </c>
      <c r="I590" t="s">
        <v>1901</v>
      </c>
      <c r="J590" t="s">
        <v>701</v>
      </c>
      <c r="K590">
        <v>34362</v>
      </c>
      <c r="L590" t="s">
        <v>171</v>
      </c>
      <c r="M590" t="s">
        <v>172</v>
      </c>
      <c r="N590" t="s">
        <v>173</v>
      </c>
      <c r="O590" t="s">
        <v>25</v>
      </c>
      <c r="P590" t="s">
        <v>82</v>
      </c>
      <c r="Q590" t="s">
        <v>173</v>
      </c>
      <c r="R590" t="s">
        <v>173</v>
      </c>
      <c r="S590">
        <v>0.33</v>
      </c>
      <c r="T590" t="s">
        <v>47</v>
      </c>
      <c r="U590">
        <v>16.600000000000001</v>
      </c>
      <c r="V590">
        <v>12.8</v>
      </c>
      <c r="W590">
        <v>10.88</v>
      </c>
      <c r="X590">
        <v>0</v>
      </c>
      <c r="Y590">
        <v>1</v>
      </c>
    </row>
    <row r="591" spans="1:25" x14ac:dyDescent="0.35">
      <c r="A591" t="s">
        <v>25</v>
      </c>
      <c r="B591" t="s">
        <v>1902</v>
      </c>
      <c r="C591" t="str">
        <f>VLOOKUP(B591,Tabelle3!A:C,2,FALSE)</f>
        <v>Süd</v>
      </c>
      <c r="D591" t="s">
        <v>27</v>
      </c>
      <c r="E591" t="s">
        <v>1903</v>
      </c>
      <c r="F591" t="s">
        <v>1904</v>
      </c>
      <c r="G591">
        <v>97076</v>
      </c>
      <c r="H591" t="s">
        <v>1759</v>
      </c>
      <c r="I591" t="s">
        <v>1905</v>
      </c>
      <c r="J591" t="s">
        <v>701</v>
      </c>
      <c r="K591">
        <v>36108</v>
      </c>
      <c r="L591" t="s">
        <v>171</v>
      </c>
      <c r="M591" t="s">
        <v>172</v>
      </c>
      <c r="N591" t="s">
        <v>173</v>
      </c>
      <c r="O591" t="s">
        <v>25</v>
      </c>
      <c r="P591" t="s">
        <v>82</v>
      </c>
      <c r="Q591" t="s">
        <v>173</v>
      </c>
      <c r="R591" t="s">
        <v>173</v>
      </c>
      <c r="S591">
        <v>0.33</v>
      </c>
      <c r="T591" t="s">
        <v>47</v>
      </c>
      <c r="U591">
        <v>16</v>
      </c>
      <c r="V591">
        <v>12</v>
      </c>
      <c r="W591">
        <v>10.199999999999999</v>
      </c>
      <c r="X591">
        <v>0</v>
      </c>
      <c r="Y591">
        <v>1</v>
      </c>
    </row>
    <row r="592" spans="1:25" x14ac:dyDescent="0.35">
      <c r="A592" t="s">
        <v>25</v>
      </c>
      <c r="B592" t="s">
        <v>1906</v>
      </c>
      <c r="C592" t="str">
        <f>VLOOKUP(B592,Tabelle3!A:C,2,FALSE)</f>
        <v>Süd</v>
      </c>
      <c r="D592" t="s">
        <v>27</v>
      </c>
      <c r="E592" t="s">
        <v>1907</v>
      </c>
      <c r="F592" t="s">
        <v>1908</v>
      </c>
      <c r="G592">
        <v>96450</v>
      </c>
      <c r="H592" t="s">
        <v>1909</v>
      </c>
      <c r="I592" t="s">
        <v>1910</v>
      </c>
      <c r="J592" t="s">
        <v>701</v>
      </c>
      <c r="K592">
        <v>32143</v>
      </c>
      <c r="L592" t="s">
        <v>171</v>
      </c>
      <c r="M592" t="s">
        <v>172</v>
      </c>
      <c r="N592" t="s">
        <v>173</v>
      </c>
      <c r="O592" t="s">
        <v>25</v>
      </c>
      <c r="P592" t="s">
        <v>50</v>
      </c>
      <c r="Q592" t="s">
        <v>173</v>
      </c>
      <c r="R592" t="s">
        <v>173</v>
      </c>
      <c r="S592">
        <v>0.33</v>
      </c>
      <c r="T592" t="s">
        <v>47</v>
      </c>
      <c r="U592">
        <v>12.5</v>
      </c>
      <c r="V592">
        <v>10.6</v>
      </c>
      <c r="W592">
        <v>9.01</v>
      </c>
      <c r="X592">
        <v>0</v>
      </c>
      <c r="Y592">
        <v>1</v>
      </c>
    </row>
    <row r="593" spans="1:25" x14ac:dyDescent="0.35">
      <c r="A593" t="s">
        <v>25</v>
      </c>
      <c r="B593" t="s">
        <v>1911</v>
      </c>
      <c r="C593" t="str">
        <f>VLOOKUP(B593,Tabelle3!A:C,2,FALSE)</f>
        <v>Süd</v>
      </c>
      <c r="D593" t="s">
        <v>27</v>
      </c>
      <c r="E593" t="s">
        <v>1912</v>
      </c>
      <c r="F593" t="s">
        <v>1913</v>
      </c>
      <c r="G593">
        <v>92421</v>
      </c>
      <c r="H593" t="s">
        <v>1914</v>
      </c>
      <c r="I593" t="s">
        <v>1915</v>
      </c>
      <c r="J593" t="s">
        <v>701</v>
      </c>
      <c r="K593">
        <v>33759</v>
      </c>
      <c r="L593" t="s">
        <v>171</v>
      </c>
      <c r="M593" t="s">
        <v>172</v>
      </c>
      <c r="N593" t="s">
        <v>173</v>
      </c>
      <c r="O593" t="s">
        <v>25</v>
      </c>
      <c r="P593" t="s">
        <v>82</v>
      </c>
      <c r="Q593" t="s">
        <v>173</v>
      </c>
      <c r="R593" t="s">
        <v>173</v>
      </c>
      <c r="S593">
        <v>0.33</v>
      </c>
      <c r="T593" t="s">
        <v>47</v>
      </c>
      <c r="U593">
        <v>30</v>
      </c>
      <c r="V593">
        <v>30</v>
      </c>
      <c r="W593">
        <v>25.5</v>
      </c>
      <c r="X593">
        <v>0</v>
      </c>
      <c r="Y593">
        <v>1</v>
      </c>
    </row>
    <row r="594" spans="1:25" x14ac:dyDescent="0.35">
      <c r="A594" t="s">
        <v>25</v>
      </c>
      <c r="B594" t="s">
        <v>1916</v>
      </c>
      <c r="C594" t="str">
        <f>VLOOKUP(B594,Tabelle3!A:C,2,FALSE)</f>
        <v>Süd</v>
      </c>
      <c r="D594" t="s">
        <v>27</v>
      </c>
      <c r="E594" t="s">
        <v>1917</v>
      </c>
      <c r="F594" t="s">
        <v>1918</v>
      </c>
      <c r="G594">
        <v>85055</v>
      </c>
      <c r="H594" t="s">
        <v>1919</v>
      </c>
      <c r="I594" t="s">
        <v>1920</v>
      </c>
      <c r="J594" t="s">
        <v>701</v>
      </c>
      <c r="K594">
        <v>35318</v>
      </c>
      <c r="L594" t="s">
        <v>171</v>
      </c>
      <c r="M594" t="s">
        <v>172</v>
      </c>
      <c r="N594" t="s">
        <v>173</v>
      </c>
      <c r="O594" t="s">
        <v>25</v>
      </c>
      <c r="P594" t="s">
        <v>82</v>
      </c>
      <c r="Q594" t="s">
        <v>173</v>
      </c>
      <c r="R594" t="s">
        <v>173</v>
      </c>
      <c r="S594">
        <v>0.33</v>
      </c>
      <c r="T594" t="s">
        <v>47</v>
      </c>
      <c r="U594">
        <v>22.8</v>
      </c>
      <c r="V594">
        <v>18.239999999999998</v>
      </c>
      <c r="W594">
        <v>15.503999999999998</v>
      </c>
      <c r="X594">
        <v>0</v>
      </c>
      <c r="Y594">
        <v>1</v>
      </c>
    </row>
    <row r="595" spans="1:25" x14ac:dyDescent="0.35">
      <c r="A595" t="s">
        <v>25</v>
      </c>
      <c r="B595" t="s">
        <v>1921</v>
      </c>
      <c r="C595" t="s">
        <v>4080</v>
      </c>
      <c r="D595" t="s">
        <v>27</v>
      </c>
      <c r="E595" t="s">
        <v>1922</v>
      </c>
      <c r="F595" t="s">
        <v>1923</v>
      </c>
      <c r="G595">
        <v>28237</v>
      </c>
      <c r="H595" t="s">
        <v>1531</v>
      </c>
      <c r="I595" t="s">
        <v>1532</v>
      </c>
      <c r="J595" t="s">
        <v>1531</v>
      </c>
      <c r="K595">
        <v>27743</v>
      </c>
      <c r="L595" t="s">
        <v>593</v>
      </c>
      <c r="M595" t="s">
        <v>594</v>
      </c>
      <c r="N595" t="s">
        <v>595</v>
      </c>
      <c r="O595" t="s">
        <v>25</v>
      </c>
      <c r="P595" t="s">
        <v>406</v>
      </c>
      <c r="Q595" t="s">
        <v>71</v>
      </c>
      <c r="R595" t="s">
        <v>71</v>
      </c>
      <c r="S595">
        <v>0.315</v>
      </c>
      <c r="T595" t="s">
        <v>47</v>
      </c>
      <c r="U595">
        <v>240</v>
      </c>
      <c r="V595">
        <v>160</v>
      </c>
      <c r="W595">
        <v>136</v>
      </c>
      <c r="X595">
        <v>95.59</v>
      </c>
      <c r="Y595">
        <v>351.57428571428574</v>
      </c>
    </row>
    <row r="596" spans="1:25" x14ac:dyDescent="0.35">
      <c r="A596" t="s">
        <v>25</v>
      </c>
      <c r="B596" t="s">
        <v>1924</v>
      </c>
      <c r="C596" t="s">
        <v>4081</v>
      </c>
      <c r="D596" t="s">
        <v>27</v>
      </c>
      <c r="E596" t="s">
        <v>1925</v>
      </c>
      <c r="F596" t="s">
        <v>1926</v>
      </c>
      <c r="G596">
        <v>85057</v>
      </c>
      <c r="H596" t="s">
        <v>1919</v>
      </c>
      <c r="I596" t="s">
        <v>1927</v>
      </c>
      <c r="J596" t="s">
        <v>701</v>
      </c>
      <c r="K596">
        <v>33055</v>
      </c>
      <c r="L596" t="s">
        <v>60</v>
      </c>
      <c r="M596" t="s">
        <v>1928</v>
      </c>
      <c r="N596" t="s">
        <v>60</v>
      </c>
      <c r="O596" t="s">
        <v>44</v>
      </c>
      <c r="P596" t="s">
        <v>137</v>
      </c>
      <c r="Q596" t="s">
        <v>63</v>
      </c>
      <c r="R596" t="s">
        <v>63</v>
      </c>
      <c r="S596">
        <v>0.35399999999999998</v>
      </c>
      <c r="T596" t="s">
        <v>37</v>
      </c>
      <c r="U596">
        <v>45.177999999999997</v>
      </c>
      <c r="V596">
        <v>45.177999999999997</v>
      </c>
      <c r="W596">
        <v>38.401299999999999</v>
      </c>
      <c r="X596">
        <v>95.89</v>
      </c>
      <c r="Y596">
        <v>326.72881355932202</v>
      </c>
    </row>
    <row r="597" spans="1:25" x14ac:dyDescent="0.35">
      <c r="A597" t="s">
        <v>25</v>
      </c>
      <c r="B597" t="s">
        <v>1929</v>
      </c>
      <c r="C597" t="s">
        <v>4080</v>
      </c>
      <c r="D597" t="s">
        <v>27</v>
      </c>
      <c r="E597" t="s">
        <v>1930</v>
      </c>
      <c r="F597" t="s">
        <v>1931</v>
      </c>
      <c r="G597">
        <v>32278</v>
      </c>
      <c r="H597" t="s">
        <v>1932</v>
      </c>
      <c r="I597" t="s">
        <v>1933</v>
      </c>
      <c r="J597" t="s">
        <v>693</v>
      </c>
      <c r="K597">
        <v>26821</v>
      </c>
      <c r="L597" t="s">
        <v>60</v>
      </c>
      <c r="M597" t="s">
        <v>61</v>
      </c>
      <c r="N597" t="s">
        <v>60</v>
      </c>
      <c r="O597" t="s">
        <v>44</v>
      </c>
      <c r="P597" t="s">
        <v>62</v>
      </c>
      <c r="Q597" t="s">
        <v>63</v>
      </c>
      <c r="R597" t="s">
        <v>63</v>
      </c>
      <c r="S597">
        <v>0.45450000000000002</v>
      </c>
      <c r="T597" t="s">
        <v>47</v>
      </c>
      <c r="U597">
        <v>19.5</v>
      </c>
      <c r="V597">
        <v>19</v>
      </c>
      <c r="W597">
        <v>16.149999999999999</v>
      </c>
      <c r="X597">
        <v>95.89</v>
      </c>
      <c r="Y597">
        <v>254.70297029702968</v>
      </c>
    </row>
    <row r="598" spans="1:25" x14ac:dyDescent="0.35">
      <c r="A598" t="s">
        <v>25</v>
      </c>
      <c r="B598" t="s">
        <v>1934</v>
      </c>
      <c r="C598" t="s">
        <v>4080</v>
      </c>
      <c r="D598" t="s">
        <v>27</v>
      </c>
      <c r="E598" t="s">
        <v>1930</v>
      </c>
      <c r="F598" t="s">
        <v>1935</v>
      </c>
      <c r="G598">
        <v>32278</v>
      </c>
      <c r="H598" t="s">
        <v>1932</v>
      </c>
      <c r="I598" t="s">
        <v>1933</v>
      </c>
      <c r="J598" t="s">
        <v>693</v>
      </c>
      <c r="K598">
        <v>29602</v>
      </c>
      <c r="L598" t="s">
        <v>33</v>
      </c>
      <c r="M598" t="s">
        <v>34</v>
      </c>
      <c r="N598" t="s">
        <v>33</v>
      </c>
      <c r="O598" t="s">
        <v>44</v>
      </c>
      <c r="P598" t="s">
        <v>62</v>
      </c>
      <c r="Q598" t="s">
        <v>33</v>
      </c>
      <c r="R598" t="s">
        <v>36</v>
      </c>
      <c r="S598">
        <v>0.45450000000000002</v>
      </c>
      <c r="T598" t="s">
        <v>47</v>
      </c>
      <c r="U598">
        <v>85</v>
      </c>
      <c r="V598">
        <v>83</v>
      </c>
      <c r="W598">
        <v>72.209999999999994</v>
      </c>
      <c r="X598">
        <v>40.69</v>
      </c>
      <c r="Y598">
        <v>121.19658965896588</v>
      </c>
    </row>
    <row r="599" spans="1:25" x14ac:dyDescent="0.35">
      <c r="A599" t="s">
        <v>25</v>
      </c>
      <c r="B599" t="s">
        <v>1936</v>
      </c>
      <c r="C599" t="s">
        <v>4080</v>
      </c>
      <c r="D599" t="s">
        <v>27</v>
      </c>
      <c r="E599" t="s">
        <v>1937</v>
      </c>
      <c r="F599" t="s">
        <v>1938</v>
      </c>
      <c r="G599">
        <v>25770</v>
      </c>
      <c r="H599" t="s">
        <v>1939</v>
      </c>
      <c r="I599" t="s">
        <v>1940</v>
      </c>
      <c r="J599" t="s">
        <v>276</v>
      </c>
      <c r="K599">
        <v>22794</v>
      </c>
      <c r="L599" t="s">
        <v>60</v>
      </c>
      <c r="M599" t="s">
        <v>1364</v>
      </c>
      <c r="N599" t="s">
        <v>60</v>
      </c>
      <c r="O599" t="s">
        <v>25</v>
      </c>
      <c r="P599" t="s">
        <v>82</v>
      </c>
      <c r="Q599" t="s">
        <v>63</v>
      </c>
      <c r="R599" t="s">
        <v>63</v>
      </c>
      <c r="S599">
        <v>0.34320000000000001</v>
      </c>
      <c r="T599" t="s">
        <v>260</v>
      </c>
      <c r="U599">
        <v>47.2</v>
      </c>
      <c r="V599">
        <v>45.2</v>
      </c>
      <c r="W599">
        <v>38.42</v>
      </c>
      <c r="X599">
        <v>95.89</v>
      </c>
      <c r="Y599">
        <v>336.97902097902102</v>
      </c>
    </row>
    <row r="600" spans="1:25" x14ac:dyDescent="0.35">
      <c r="A600" t="s">
        <v>25</v>
      </c>
      <c r="B600" t="s">
        <v>1941</v>
      </c>
      <c r="C600" t="s">
        <v>4080</v>
      </c>
      <c r="D600" t="s">
        <v>27</v>
      </c>
      <c r="E600" t="s">
        <v>1942</v>
      </c>
      <c r="F600" t="s">
        <v>1943</v>
      </c>
      <c r="G600">
        <v>38239</v>
      </c>
      <c r="H600" t="s">
        <v>1944</v>
      </c>
      <c r="I600" t="s">
        <v>1945</v>
      </c>
      <c r="J600" t="s">
        <v>765</v>
      </c>
      <c r="K600">
        <v>44663</v>
      </c>
      <c r="L600" t="s">
        <v>593</v>
      </c>
      <c r="M600" t="s">
        <v>594</v>
      </c>
      <c r="N600" t="s">
        <v>595</v>
      </c>
      <c r="O600" t="s">
        <v>25</v>
      </c>
      <c r="P600" t="s">
        <v>82</v>
      </c>
      <c r="Q600" t="s">
        <v>71</v>
      </c>
      <c r="R600" t="s">
        <v>71</v>
      </c>
      <c r="S600">
        <v>0.4</v>
      </c>
      <c r="T600" t="s">
        <v>1946</v>
      </c>
      <c r="U600">
        <v>35</v>
      </c>
      <c r="V600">
        <v>31.5</v>
      </c>
      <c r="W600">
        <v>26.774999999999999</v>
      </c>
      <c r="X600">
        <v>95.59</v>
      </c>
      <c r="Y600">
        <v>277.07724999999999</v>
      </c>
    </row>
    <row r="601" spans="1:25" x14ac:dyDescent="0.35">
      <c r="A601" t="s">
        <v>25</v>
      </c>
      <c r="B601" t="s">
        <v>1947</v>
      </c>
      <c r="C601" t="s">
        <v>4080</v>
      </c>
      <c r="D601" t="s">
        <v>27</v>
      </c>
      <c r="E601" t="s">
        <v>1942</v>
      </c>
      <c r="F601" t="s">
        <v>1948</v>
      </c>
      <c r="G601">
        <v>38239</v>
      </c>
      <c r="H601" t="s">
        <v>1944</v>
      </c>
      <c r="I601" t="s">
        <v>1945</v>
      </c>
      <c r="J601" t="s">
        <v>765</v>
      </c>
      <c r="K601">
        <v>15036</v>
      </c>
      <c r="L601" t="s">
        <v>593</v>
      </c>
      <c r="M601" t="s">
        <v>594</v>
      </c>
      <c r="N601" t="s">
        <v>595</v>
      </c>
      <c r="O601" t="s">
        <v>44</v>
      </c>
      <c r="P601" t="s">
        <v>45</v>
      </c>
      <c r="Q601" t="s">
        <v>71</v>
      </c>
      <c r="R601" t="s">
        <v>71</v>
      </c>
      <c r="S601">
        <v>0.4</v>
      </c>
      <c r="T601" t="s">
        <v>1949</v>
      </c>
      <c r="U601">
        <v>40</v>
      </c>
      <c r="V601">
        <v>35</v>
      </c>
      <c r="W601">
        <v>29.75</v>
      </c>
      <c r="X601">
        <v>95.59</v>
      </c>
      <c r="Y601">
        <v>277.07724999999999</v>
      </c>
    </row>
    <row r="602" spans="1:25" x14ac:dyDescent="0.35">
      <c r="A602" t="s">
        <v>25</v>
      </c>
      <c r="B602" t="s">
        <v>1950</v>
      </c>
      <c r="C602" t="s">
        <v>4080</v>
      </c>
      <c r="D602" t="s">
        <v>27</v>
      </c>
      <c r="E602" t="s">
        <v>1942</v>
      </c>
      <c r="F602" t="s">
        <v>1951</v>
      </c>
      <c r="G602">
        <v>38239</v>
      </c>
      <c r="H602" t="s">
        <v>1944</v>
      </c>
      <c r="I602" t="s">
        <v>1945</v>
      </c>
      <c r="J602" t="s">
        <v>765</v>
      </c>
      <c r="K602">
        <v>38913</v>
      </c>
      <c r="L602" t="s">
        <v>593</v>
      </c>
      <c r="M602" t="s">
        <v>594</v>
      </c>
      <c r="N602" t="s">
        <v>595</v>
      </c>
      <c r="O602" t="s">
        <v>25</v>
      </c>
      <c r="P602" t="s">
        <v>82</v>
      </c>
      <c r="Q602" t="s">
        <v>71</v>
      </c>
      <c r="R602" t="s">
        <v>71</v>
      </c>
      <c r="S602">
        <v>0.4</v>
      </c>
      <c r="T602" t="s">
        <v>1949</v>
      </c>
      <c r="U602">
        <v>55</v>
      </c>
      <c r="V602">
        <v>49.5</v>
      </c>
      <c r="W602">
        <v>42.074999999999996</v>
      </c>
      <c r="X602">
        <v>95.59</v>
      </c>
      <c r="Y602">
        <v>277.07724999999999</v>
      </c>
    </row>
    <row r="603" spans="1:25" x14ac:dyDescent="0.35">
      <c r="A603" t="s">
        <v>25</v>
      </c>
      <c r="B603" t="s">
        <v>1952</v>
      </c>
      <c r="C603" t="s">
        <v>4080</v>
      </c>
      <c r="D603" t="s">
        <v>27</v>
      </c>
      <c r="E603" t="s">
        <v>1942</v>
      </c>
      <c r="F603" t="s">
        <v>1953</v>
      </c>
      <c r="G603">
        <v>38239</v>
      </c>
      <c r="H603" t="s">
        <v>1944</v>
      </c>
      <c r="I603" t="s">
        <v>1945</v>
      </c>
      <c r="J603" t="s">
        <v>765</v>
      </c>
      <c r="K603">
        <v>40344</v>
      </c>
      <c r="L603" t="s">
        <v>593</v>
      </c>
      <c r="M603" t="s">
        <v>594</v>
      </c>
      <c r="N603" t="s">
        <v>595</v>
      </c>
      <c r="O603" t="s">
        <v>25</v>
      </c>
      <c r="P603" t="s">
        <v>82</v>
      </c>
      <c r="Q603" t="s">
        <v>71</v>
      </c>
      <c r="R603" t="s">
        <v>71</v>
      </c>
      <c r="S603">
        <v>0.58499999999999996</v>
      </c>
      <c r="T603" t="s">
        <v>37</v>
      </c>
      <c r="U603">
        <v>110</v>
      </c>
      <c r="V603">
        <v>97</v>
      </c>
      <c r="W603">
        <v>82.45</v>
      </c>
      <c r="X603">
        <v>95.59</v>
      </c>
      <c r="Y603">
        <v>189.77076923076925</v>
      </c>
    </row>
    <row r="604" spans="1:25" x14ac:dyDescent="0.35">
      <c r="A604" t="s">
        <v>25</v>
      </c>
      <c r="B604" t="s">
        <v>1954</v>
      </c>
      <c r="C604" t="s">
        <v>4080</v>
      </c>
      <c r="D604" t="s">
        <v>27</v>
      </c>
      <c r="E604" t="s">
        <v>1942</v>
      </c>
      <c r="F604" t="s">
        <v>1955</v>
      </c>
      <c r="G604">
        <v>38239</v>
      </c>
      <c r="H604" t="s">
        <v>1944</v>
      </c>
      <c r="I604" t="s">
        <v>1945</v>
      </c>
      <c r="J604" t="s">
        <v>765</v>
      </c>
      <c r="K604">
        <v>40405</v>
      </c>
      <c r="L604" t="s">
        <v>593</v>
      </c>
      <c r="M604" t="s">
        <v>594</v>
      </c>
      <c r="N604" t="s">
        <v>595</v>
      </c>
      <c r="O604" t="s">
        <v>25</v>
      </c>
      <c r="P604" t="s">
        <v>82</v>
      </c>
      <c r="Q604" t="s">
        <v>71</v>
      </c>
      <c r="R604" t="s">
        <v>71</v>
      </c>
      <c r="S604">
        <v>0.58499999999999996</v>
      </c>
      <c r="T604" t="s">
        <v>37</v>
      </c>
      <c r="U604">
        <v>110</v>
      </c>
      <c r="V604">
        <v>97</v>
      </c>
      <c r="W604">
        <v>82.45</v>
      </c>
      <c r="X604">
        <v>95.59</v>
      </c>
      <c r="Y604">
        <v>189.77076923076925</v>
      </c>
    </row>
    <row r="605" spans="1:25" x14ac:dyDescent="0.35">
      <c r="A605" t="s">
        <v>25</v>
      </c>
      <c r="B605" t="s">
        <v>1956</v>
      </c>
      <c r="C605" t="s">
        <v>4080</v>
      </c>
      <c r="D605" t="s">
        <v>27</v>
      </c>
      <c r="E605" t="s">
        <v>1725</v>
      </c>
      <c r="F605" t="s">
        <v>1957</v>
      </c>
      <c r="G605">
        <v>34134</v>
      </c>
      <c r="H605" t="s">
        <v>1644</v>
      </c>
      <c r="I605" t="s">
        <v>1727</v>
      </c>
      <c r="J605" t="s">
        <v>865</v>
      </c>
      <c r="K605">
        <v>45645</v>
      </c>
      <c r="L605" t="s">
        <v>360</v>
      </c>
      <c r="M605" t="s">
        <v>361</v>
      </c>
      <c r="N605" t="s">
        <v>360</v>
      </c>
      <c r="O605" t="s">
        <v>25</v>
      </c>
      <c r="P605" t="s">
        <v>82</v>
      </c>
      <c r="Q605" t="s">
        <v>360</v>
      </c>
      <c r="R605" t="s">
        <v>360</v>
      </c>
      <c r="S605">
        <v>0.37359999999999999</v>
      </c>
      <c r="T605" t="s">
        <v>47</v>
      </c>
      <c r="U605">
        <v>22.8</v>
      </c>
      <c r="V605">
        <v>20.100000000000001</v>
      </c>
      <c r="W605">
        <v>17.487000000000002</v>
      </c>
      <c r="X605">
        <v>3.1</v>
      </c>
      <c r="Y605">
        <v>84.99068522483941</v>
      </c>
    </row>
    <row r="606" spans="1:25" x14ac:dyDescent="0.35">
      <c r="A606" t="s">
        <v>25</v>
      </c>
      <c r="B606" t="s">
        <v>1958</v>
      </c>
      <c r="C606" t="s">
        <v>4080</v>
      </c>
      <c r="D606" t="s">
        <v>27</v>
      </c>
      <c r="E606" t="s">
        <v>1725</v>
      </c>
      <c r="F606" t="s">
        <v>1959</v>
      </c>
      <c r="G606">
        <v>34134</v>
      </c>
      <c r="H606" t="s">
        <v>1644</v>
      </c>
      <c r="I606" t="s">
        <v>1727</v>
      </c>
      <c r="J606" t="s">
        <v>865</v>
      </c>
      <c r="K606">
        <v>32863</v>
      </c>
      <c r="L606" t="s">
        <v>360</v>
      </c>
      <c r="M606" t="s">
        <v>361</v>
      </c>
      <c r="N606" t="s">
        <v>360</v>
      </c>
      <c r="O606" t="s">
        <v>25</v>
      </c>
      <c r="P606" t="s">
        <v>50</v>
      </c>
      <c r="Q606" t="s">
        <v>360</v>
      </c>
      <c r="R606" t="s">
        <v>360</v>
      </c>
      <c r="S606">
        <v>0.37359999999999999</v>
      </c>
      <c r="T606" t="s">
        <v>47</v>
      </c>
      <c r="U606">
        <v>38</v>
      </c>
      <c r="V606">
        <v>33.5</v>
      </c>
      <c r="W606">
        <v>29.145</v>
      </c>
      <c r="X606">
        <v>3.1</v>
      </c>
      <c r="Y606">
        <v>84.99068522483941</v>
      </c>
    </row>
    <row r="607" spans="1:25" x14ac:dyDescent="0.35">
      <c r="A607" t="s">
        <v>25</v>
      </c>
      <c r="B607" t="s">
        <v>1960</v>
      </c>
      <c r="C607" t="s">
        <v>4080</v>
      </c>
      <c r="D607" t="s">
        <v>27</v>
      </c>
      <c r="E607" t="s">
        <v>1740</v>
      </c>
      <c r="F607" t="s">
        <v>1961</v>
      </c>
      <c r="G607">
        <v>24939</v>
      </c>
      <c r="H607" t="s">
        <v>1742</v>
      </c>
      <c r="I607" t="s">
        <v>1743</v>
      </c>
      <c r="J607" t="s">
        <v>276</v>
      </c>
      <c r="K607">
        <v>32371</v>
      </c>
      <c r="L607" t="s">
        <v>92</v>
      </c>
      <c r="M607" t="s">
        <v>93</v>
      </c>
      <c r="N607" t="s">
        <v>92</v>
      </c>
      <c r="O607" t="s">
        <v>25</v>
      </c>
      <c r="P607" t="s">
        <v>266</v>
      </c>
      <c r="Q607" t="s">
        <v>92</v>
      </c>
      <c r="R607" t="s">
        <v>92</v>
      </c>
      <c r="S607">
        <v>0.47249999999999998</v>
      </c>
      <c r="T607" t="s">
        <v>47</v>
      </c>
      <c r="U607">
        <v>35.9</v>
      </c>
      <c r="V607">
        <v>32.9</v>
      </c>
      <c r="W607">
        <v>26.32</v>
      </c>
      <c r="X607">
        <v>15.55</v>
      </c>
      <c r="Y607">
        <v>83.672380952380948</v>
      </c>
    </row>
    <row r="608" spans="1:25" x14ac:dyDescent="0.35">
      <c r="A608" t="s">
        <v>44</v>
      </c>
      <c r="B608" t="s">
        <v>1962</v>
      </c>
      <c r="C608" t="s">
        <v>4080</v>
      </c>
      <c r="D608" t="s">
        <v>329</v>
      </c>
      <c r="E608" t="s">
        <v>1214</v>
      </c>
      <c r="F608" t="s">
        <v>1963</v>
      </c>
      <c r="G608">
        <v>26725</v>
      </c>
      <c r="H608" t="s">
        <v>1964</v>
      </c>
      <c r="I608" t="s">
        <v>1965</v>
      </c>
      <c r="J608" t="s">
        <v>765</v>
      </c>
      <c r="K608">
        <v>26665</v>
      </c>
      <c r="L608" t="s">
        <v>33</v>
      </c>
      <c r="M608" t="s">
        <v>34</v>
      </c>
      <c r="N608" t="s">
        <v>33</v>
      </c>
      <c r="O608" t="s">
        <v>44</v>
      </c>
      <c r="P608" t="s">
        <v>35</v>
      </c>
      <c r="Q608" t="s">
        <v>33</v>
      </c>
      <c r="R608" t="s">
        <v>36</v>
      </c>
      <c r="S608">
        <v>0.42</v>
      </c>
      <c r="T608" t="s">
        <v>1966</v>
      </c>
      <c r="U608">
        <v>54</v>
      </c>
      <c r="V608">
        <v>52</v>
      </c>
      <c r="W608">
        <v>45.24</v>
      </c>
      <c r="X608">
        <v>40.69</v>
      </c>
      <c r="Y608">
        <v>131.06988095238094</v>
      </c>
    </row>
    <row r="609" spans="1:25" x14ac:dyDescent="0.35">
      <c r="A609" t="s">
        <v>44</v>
      </c>
      <c r="B609" t="s">
        <v>1967</v>
      </c>
      <c r="C609" t="s">
        <v>4080</v>
      </c>
      <c r="D609" t="s">
        <v>329</v>
      </c>
      <c r="E609" t="s">
        <v>1214</v>
      </c>
      <c r="F609" t="s">
        <v>1968</v>
      </c>
      <c r="G609">
        <v>31628</v>
      </c>
      <c r="H609" t="s">
        <v>1969</v>
      </c>
      <c r="I609" t="s">
        <v>1970</v>
      </c>
      <c r="J609" t="s">
        <v>765</v>
      </c>
      <c r="K609">
        <v>26299</v>
      </c>
      <c r="L609" t="s">
        <v>33</v>
      </c>
      <c r="M609" t="s">
        <v>34</v>
      </c>
      <c r="N609" t="s">
        <v>33</v>
      </c>
      <c r="O609" t="s">
        <v>44</v>
      </c>
      <c r="P609" t="s">
        <v>35</v>
      </c>
      <c r="Q609" t="s">
        <v>33</v>
      </c>
      <c r="R609" t="s">
        <v>36</v>
      </c>
      <c r="S609">
        <v>0.43</v>
      </c>
      <c r="T609" t="s">
        <v>1971</v>
      </c>
      <c r="U609">
        <v>58</v>
      </c>
      <c r="V609">
        <v>56</v>
      </c>
      <c r="W609">
        <v>48.72</v>
      </c>
      <c r="X609">
        <v>40.69</v>
      </c>
      <c r="Y609">
        <v>128.04500000000002</v>
      </c>
    </row>
    <row r="610" spans="1:25" x14ac:dyDescent="0.35">
      <c r="A610" t="s">
        <v>25</v>
      </c>
      <c r="B610" t="s">
        <v>1972</v>
      </c>
      <c r="C610" t="s">
        <v>4081</v>
      </c>
      <c r="D610" t="s">
        <v>27</v>
      </c>
      <c r="E610" t="s">
        <v>673</v>
      </c>
      <c r="F610" t="s">
        <v>1973</v>
      </c>
      <c r="G610">
        <v>97199</v>
      </c>
      <c r="H610" t="s">
        <v>1781</v>
      </c>
      <c r="I610" t="s">
        <v>1782</v>
      </c>
      <c r="J610" t="s">
        <v>701</v>
      </c>
      <c r="K610">
        <v>32021</v>
      </c>
      <c r="L610" t="s">
        <v>69</v>
      </c>
      <c r="N610" t="s">
        <v>69</v>
      </c>
      <c r="O610" t="s">
        <v>25</v>
      </c>
      <c r="P610" t="s">
        <v>50</v>
      </c>
      <c r="Q610" t="s">
        <v>71</v>
      </c>
      <c r="R610" t="s">
        <v>71</v>
      </c>
      <c r="S610">
        <v>0.35</v>
      </c>
      <c r="T610" t="s">
        <v>108</v>
      </c>
      <c r="U610">
        <v>17.434999999999999</v>
      </c>
      <c r="V610">
        <v>16.547000000000001</v>
      </c>
      <c r="W610">
        <v>14.06495</v>
      </c>
      <c r="X610">
        <v>95.59</v>
      </c>
      <c r="Y610">
        <v>316.51685714285719</v>
      </c>
    </row>
    <row r="611" spans="1:25" x14ac:dyDescent="0.35">
      <c r="A611" t="s">
        <v>25</v>
      </c>
      <c r="B611" t="s">
        <v>1974</v>
      </c>
      <c r="C611" t="s">
        <v>4080</v>
      </c>
      <c r="D611" t="s">
        <v>27</v>
      </c>
      <c r="E611" t="s">
        <v>1795</v>
      </c>
      <c r="F611" t="s">
        <v>1975</v>
      </c>
      <c r="G611">
        <v>28237</v>
      </c>
      <c r="H611" t="s">
        <v>1531</v>
      </c>
      <c r="I611" t="s">
        <v>1532</v>
      </c>
      <c r="J611" t="s">
        <v>1531</v>
      </c>
      <c r="K611">
        <v>27395</v>
      </c>
      <c r="L611" t="s">
        <v>60</v>
      </c>
      <c r="M611" t="s">
        <v>61</v>
      </c>
      <c r="N611" t="s">
        <v>60</v>
      </c>
      <c r="O611" t="s">
        <v>44</v>
      </c>
      <c r="P611" t="s">
        <v>62</v>
      </c>
      <c r="Q611" t="s">
        <v>63</v>
      </c>
      <c r="R611" t="s">
        <v>63</v>
      </c>
      <c r="S611">
        <v>0.315</v>
      </c>
      <c r="T611" t="s">
        <v>47</v>
      </c>
      <c r="U611">
        <v>87</v>
      </c>
      <c r="V611">
        <v>86</v>
      </c>
      <c r="W611">
        <v>73.099999999999994</v>
      </c>
      <c r="X611">
        <v>95.89</v>
      </c>
      <c r="Y611">
        <v>367.05714285714288</v>
      </c>
    </row>
    <row r="612" spans="1:25" x14ac:dyDescent="0.35">
      <c r="A612" t="s">
        <v>25</v>
      </c>
      <c r="B612" t="s">
        <v>1976</v>
      </c>
      <c r="C612" t="s">
        <v>4081</v>
      </c>
      <c r="D612" t="s">
        <v>27</v>
      </c>
      <c r="E612" t="s">
        <v>1816</v>
      </c>
      <c r="F612" t="s">
        <v>1977</v>
      </c>
      <c r="G612">
        <v>85774</v>
      </c>
      <c r="H612" t="s">
        <v>1818</v>
      </c>
      <c r="I612" t="s">
        <v>1819</v>
      </c>
      <c r="J612" t="s">
        <v>701</v>
      </c>
      <c r="K612">
        <v>33587</v>
      </c>
      <c r="L612" t="s">
        <v>33</v>
      </c>
      <c r="M612" t="s">
        <v>34</v>
      </c>
      <c r="N612" t="s">
        <v>33</v>
      </c>
      <c r="O612" t="s">
        <v>25</v>
      </c>
      <c r="P612" t="s">
        <v>82</v>
      </c>
      <c r="Q612" t="s">
        <v>33</v>
      </c>
      <c r="R612" t="s">
        <v>46</v>
      </c>
      <c r="S612">
        <v>0.40589999999999998</v>
      </c>
      <c r="T612" t="s">
        <v>37</v>
      </c>
      <c r="U612">
        <v>363</v>
      </c>
      <c r="V612">
        <v>333</v>
      </c>
      <c r="W612">
        <v>289.70999999999998</v>
      </c>
      <c r="X612">
        <v>40.69</v>
      </c>
      <c r="Y612">
        <v>136.08819906380882</v>
      </c>
    </row>
    <row r="613" spans="1:25" x14ac:dyDescent="0.35">
      <c r="A613" t="s">
        <v>25</v>
      </c>
      <c r="B613" t="s">
        <v>1978</v>
      </c>
      <c r="C613" t="s">
        <v>4080</v>
      </c>
      <c r="D613" t="s">
        <v>27</v>
      </c>
      <c r="E613" t="s">
        <v>569</v>
      </c>
      <c r="F613" t="s">
        <v>1979</v>
      </c>
      <c r="G613">
        <v>25588</v>
      </c>
      <c r="H613" t="s">
        <v>1980</v>
      </c>
      <c r="I613" t="s">
        <v>1981</v>
      </c>
      <c r="J613" t="s">
        <v>276</v>
      </c>
      <c r="K613">
        <v>26299</v>
      </c>
      <c r="L613" t="s">
        <v>60</v>
      </c>
      <c r="M613" t="s">
        <v>61</v>
      </c>
      <c r="N613" t="s">
        <v>60</v>
      </c>
      <c r="O613" t="s">
        <v>44</v>
      </c>
      <c r="P613" t="s">
        <v>62</v>
      </c>
      <c r="Q613" t="s">
        <v>63</v>
      </c>
      <c r="R613" t="s">
        <v>63</v>
      </c>
      <c r="S613">
        <v>0.35420000000000001</v>
      </c>
      <c r="T613" t="s">
        <v>47</v>
      </c>
      <c r="U613">
        <v>89</v>
      </c>
      <c r="V613">
        <v>87</v>
      </c>
      <c r="W613">
        <v>73.95</v>
      </c>
      <c r="X613">
        <v>95.89</v>
      </c>
      <c r="Y613">
        <v>326.54488989271596</v>
      </c>
    </row>
    <row r="614" spans="1:25" x14ac:dyDescent="0.35">
      <c r="A614" t="s">
        <v>25</v>
      </c>
      <c r="B614" t="s">
        <v>1982</v>
      </c>
      <c r="C614" t="s">
        <v>4080</v>
      </c>
      <c r="D614" t="s">
        <v>27</v>
      </c>
      <c r="E614" t="s">
        <v>569</v>
      </c>
      <c r="F614" t="s">
        <v>1983</v>
      </c>
      <c r="G614">
        <v>24783</v>
      </c>
      <c r="H614" t="s">
        <v>1984</v>
      </c>
      <c r="I614" t="s">
        <v>1985</v>
      </c>
      <c r="J614" t="s">
        <v>276</v>
      </c>
      <c r="K614">
        <v>38027</v>
      </c>
      <c r="L614" t="s">
        <v>60</v>
      </c>
      <c r="M614" t="s">
        <v>61</v>
      </c>
      <c r="N614" t="s">
        <v>60</v>
      </c>
      <c r="O614" t="s">
        <v>44</v>
      </c>
      <c r="P614" t="s">
        <v>62</v>
      </c>
      <c r="Q614" t="s">
        <v>63</v>
      </c>
      <c r="R614" t="s">
        <v>63</v>
      </c>
      <c r="S614">
        <v>0.3553</v>
      </c>
      <c r="T614" t="s">
        <v>47</v>
      </c>
      <c r="U614">
        <v>90</v>
      </c>
      <c r="V614">
        <v>90</v>
      </c>
      <c r="W614">
        <v>76.5</v>
      </c>
      <c r="X614">
        <v>95.89</v>
      </c>
      <c r="Y614">
        <v>325.53701097663941</v>
      </c>
    </row>
    <row r="615" spans="1:25" x14ac:dyDescent="0.35">
      <c r="A615" t="s">
        <v>44</v>
      </c>
      <c r="B615" t="s">
        <v>1986</v>
      </c>
      <c r="C615" t="s">
        <v>4081</v>
      </c>
      <c r="D615" t="s">
        <v>870</v>
      </c>
      <c r="E615" t="s">
        <v>569</v>
      </c>
      <c r="F615" t="s">
        <v>1987</v>
      </c>
      <c r="G615">
        <v>85098</v>
      </c>
      <c r="H615" t="s">
        <v>1988</v>
      </c>
      <c r="I615" t="s">
        <v>1989</v>
      </c>
      <c r="J615" t="s">
        <v>701</v>
      </c>
      <c r="K615">
        <v>26665</v>
      </c>
      <c r="L615" t="s">
        <v>60</v>
      </c>
      <c r="M615" t="s">
        <v>1364</v>
      </c>
      <c r="N615" t="s">
        <v>60</v>
      </c>
      <c r="O615" t="s">
        <v>44</v>
      </c>
      <c r="P615" t="s">
        <v>82</v>
      </c>
      <c r="Q615" t="s">
        <v>63</v>
      </c>
      <c r="R615" t="s">
        <v>63</v>
      </c>
      <c r="S615">
        <v>0.3553</v>
      </c>
      <c r="T615" t="s">
        <v>47</v>
      </c>
      <c r="U615">
        <v>420</v>
      </c>
      <c r="V615">
        <v>355</v>
      </c>
      <c r="W615">
        <v>301.75</v>
      </c>
      <c r="X615">
        <v>95.89</v>
      </c>
      <c r="Y615">
        <v>325.53701097663941</v>
      </c>
    </row>
    <row r="616" spans="1:25" x14ac:dyDescent="0.35">
      <c r="A616" t="s">
        <v>44</v>
      </c>
      <c r="B616" t="s">
        <v>1990</v>
      </c>
      <c r="C616" t="s">
        <v>4081</v>
      </c>
      <c r="D616" t="s">
        <v>870</v>
      </c>
      <c r="E616" t="s">
        <v>569</v>
      </c>
      <c r="F616" t="s">
        <v>1991</v>
      </c>
      <c r="G616">
        <v>85098</v>
      </c>
      <c r="H616" t="s">
        <v>1988</v>
      </c>
      <c r="I616" t="s">
        <v>1989</v>
      </c>
      <c r="J616" t="s">
        <v>701</v>
      </c>
      <c r="K616">
        <v>27030</v>
      </c>
      <c r="L616" t="s">
        <v>60</v>
      </c>
      <c r="M616" t="s">
        <v>1364</v>
      </c>
      <c r="N616" t="s">
        <v>60</v>
      </c>
      <c r="O616" t="s">
        <v>44</v>
      </c>
      <c r="P616" t="s">
        <v>82</v>
      </c>
      <c r="Q616" t="s">
        <v>63</v>
      </c>
      <c r="R616" t="s">
        <v>63</v>
      </c>
      <c r="S616">
        <v>0.35639999999999999</v>
      </c>
      <c r="T616" t="s">
        <v>47</v>
      </c>
      <c r="U616">
        <v>420</v>
      </c>
      <c r="V616">
        <v>365</v>
      </c>
      <c r="W616">
        <v>310.25</v>
      </c>
      <c r="X616">
        <v>95.89</v>
      </c>
      <c r="Y616">
        <v>324.53535353535358</v>
      </c>
    </row>
    <row r="617" spans="1:25" x14ac:dyDescent="0.35">
      <c r="A617" t="s">
        <v>44</v>
      </c>
      <c r="B617" t="s">
        <v>1992</v>
      </c>
      <c r="C617" t="s">
        <v>4080</v>
      </c>
      <c r="D617" t="s">
        <v>870</v>
      </c>
      <c r="E617" t="s">
        <v>569</v>
      </c>
      <c r="F617" t="s">
        <v>1993</v>
      </c>
      <c r="G617">
        <v>63538</v>
      </c>
      <c r="H617" t="s">
        <v>1994</v>
      </c>
      <c r="I617" t="s">
        <v>1995</v>
      </c>
      <c r="J617" t="s">
        <v>865</v>
      </c>
      <c r="K617">
        <v>33604</v>
      </c>
      <c r="L617" t="s">
        <v>92</v>
      </c>
      <c r="M617" t="s">
        <v>93</v>
      </c>
      <c r="N617" t="s">
        <v>92</v>
      </c>
      <c r="O617" t="s">
        <v>25</v>
      </c>
      <c r="P617" t="s">
        <v>82</v>
      </c>
      <c r="Q617" t="s">
        <v>92</v>
      </c>
      <c r="R617" t="s">
        <v>92</v>
      </c>
      <c r="S617">
        <v>0.40500000000000003</v>
      </c>
      <c r="T617" t="s">
        <v>47</v>
      </c>
      <c r="U617">
        <v>550</v>
      </c>
      <c r="V617">
        <v>522</v>
      </c>
      <c r="W617">
        <v>417.6</v>
      </c>
      <c r="X617">
        <v>15.55</v>
      </c>
      <c r="Y617">
        <v>97.401111111111106</v>
      </c>
    </row>
    <row r="618" spans="1:25" x14ac:dyDescent="0.35">
      <c r="A618" t="s">
        <v>44</v>
      </c>
      <c r="B618" t="s">
        <v>1996</v>
      </c>
      <c r="C618" t="s">
        <v>4080</v>
      </c>
      <c r="D618" t="s">
        <v>870</v>
      </c>
      <c r="E618" t="s">
        <v>569</v>
      </c>
      <c r="F618" t="s">
        <v>1997</v>
      </c>
      <c r="G618">
        <v>63538</v>
      </c>
      <c r="H618" t="s">
        <v>1994</v>
      </c>
      <c r="I618" t="s">
        <v>1995</v>
      </c>
      <c r="J618" t="s">
        <v>865</v>
      </c>
      <c r="K618">
        <v>28126</v>
      </c>
      <c r="L618" t="s">
        <v>33</v>
      </c>
      <c r="M618" t="s">
        <v>34</v>
      </c>
      <c r="N618" t="s">
        <v>33</v>
      </c>
      <c r="O618" t="s">
        <v>44</v>
      </c>
      <c r="P618" t="s">
        <v>82</v>
      </c>
      <c r="Q618" t="s">
        <v>33</v>
      </c>
      <c r="R618" t="s">
        <v>46</v>
      </c>
      <c r="S618">
        <v>0.35970000000000002</v>
      </c>
      <c r="T618" t="s">
        <v>47</v>
      </c>
      <c r="U618">
        <v>660</v>
      </c>
      <c r="V618">
        <v>580</v>
      </c>
      <c r="W618">
        <v>504.6</v>
      </c>
      <c r="X618">
        <v>40.69</v>
      </c>
      <c r="Y618">
        <v>153.37475674172919</v>
      </c>
    </row>
    <row r="619" spans="1:25" x14ac:dyDescent="0.35">
      <c r="A619" t="s">
        <v>25</v>
      </c>
      <c r="B619" t="s">
        <v>1998</v>
      </c>
      <c r="C619" t="s">
        <v>4081</v>
      </c>
      <c r="D619" t="s">
        <v>27</v>
      </c>
      <c r="E619" t="s">
        <v>1999</v>
      </c>
      <c r="F619" t="s">
        <v>2000</v>
      </c>
      <c r="G619">
        <v>85088</v>
      </c>
      <c r="H619" t="s">
        <v>1536</v>
      </c>
      <c r="I619" t="s">
        <v>1537</v>
      </c>
      <c r="J619" t="s">
        <v>701</v>
      </c>
      <c r="K619">
        <v>45139</v>
      </c>
      <c r="L619" t="s">
        <v>33</v>
      </c>
      <c r="M619" t="s">
        <v>34</v>
      </c>
      <c r="N619" t="s">
        <v>33</v>
      </c>
      <c r="O619" t="s">
        <v>44</v>
      </c>
      <c r="P619" t="s">
        <v>45</v>
      </c>
      <c r="Q619" t="s">
        <v>33</v>
      </c>
      <c r="R619" t="s">
        <v>46</v>
      </c>
      <c r="S619">
        <v>0.4</v>
      </c>
      <c r="T619" t="s">
        <v>2001</v>
      </c>
      <c r="U619">
        <v>320</v>
      </c>
      <c r="V619">
        <v>300</v>
      </c>
      <c r="W619">
        <v>261</v>
      </c>
      <c r="X619">
        <v>40.69</v>
      </c>
      <c r="Y619">
        <v>138.073375</v>
      </c>
    </row>
    <row r="620" spans="1:25" x14ac:dyDescent="0.35">
      <c r="A620" t="s">
        <v>25</v>
      </c>
      <c r="B620" t="s">
        <v>2002</v>
      </c>
      <c r="C620" t="s">
        <v>4080</v>
      </c>
      <c r="D620" t="s">
        <v>27</v>
      </c>
      <c r="E620" t="s">
        <v>1861</v>
      </c>
      <c r="F620" t="s">
        <v>2003</v>
      </c>
      <c r="G620">
        <v>38440</v>
      </c>
      <c r="H620" t="s">
        <v>1863</v>
      </c>
      <c r="I620" t="s">
        <v>1864</v>
      </c>
      <c r="J620" t="s">
        <v>765</v>
      </c>
      <c r="K620">
        <v>36069</v>
      </c>
      <c r="L620" t="s">
        <v>33</v>
      </c>
      <c r="M620" t="s">
        <v>34</v>
      </c>
      <c r="N620" t="s">
        <v>33</v>
      </c>
      <c r="O620" t="s">
        <v>25</v>
      </c>
      <c r="P620" t="s">
        <v>50</v>
      </c>
      <c r="Q620" t="s">
        <v>33</v>
      </c>
      <c r="R620" t="s">
        <v>46</v>
      </c>
      <c r="S620">
        <v>0.40589999999999998</v>
      </c>
      <c r="T620" t="s">
        <v>37</v>
      </c>
      <c r="U620">
        <v>68.2</v>
      </c>
      <c r="V620">
        <v>61</v>
      </c>
      <c r="W620">
        <v>53.07</v>
      </c>
      <c r="X620">
        <v>40.69</v>
      </c>
      <c r="Y620">
        <v>136.08819906380882</v>
      </c>
    </row>
    <row r="621" spans="1:25" x14ac:dyDescent="0.35">
      <c r="A621" t="s">
        <v>25</v>
      </c>
      <c r="B621" t="s">
        <v>2004</v>
      </c>
      <c r="C621" t="s">
        <v>4081</v>
      </c>
      <c r="D621" t="s">
        <v>27</v>
      </c>
      <c r="E621" t="s">
        <v>1925</v>
      </c>
      <c r="F621" t="s">
        <v>2005</v>
      </c>
      <c r="G621">
        <v>74172</v>
      </c>
      <c r="H621" t="s">
        <v>2006</v>
      </c>
      <c r="I621" t="s">
        <v>2007</v>
      </c>
      <c r="J621" t="s">
        <v>2008</v>
      </c>
      <c r="K621">
        <v>34699</v>
      </c>
      <c r="L621" t="s">
        <v>60</v>
      </c>
      <c r="M621" t="s">
        <v>644</v>
      </c>
      <c r="N621" t="s">
        <v>60</v>
      </c>
      <c r="O621" t="s">
        <v>44</v>
      </c>
      <c r="P621" t="s">
        <v>137</v>
      </c>
      <c r="Q621" t="s">
        <v>63</v>
      </c>
      <c r="R621" t="s">
        <v>63</v>
      </c>
      <c r="S621">
        <v>0.35399999999999998</v>
      </c>
      <c r="T621" t="s">
        <v>37</v>
      </c>
      <c r="U621">
        <v>20.57</v>
      </c>
      <c r="V621">
        <v>20.57</v>
      </c>
      <c r="W621">
        <v>17.484500000000001</v>
      </c>
      <c r="X621">
        <v>95.89</v>
      </c>
      <c r="Y621">
        <v>326.72881355932202</v>
      </c>
    </row>
    <row r="622" spans="1:25" x14ac:dyDescent="0.35">
      <c r="A622" t="s">
        <v>25</v>
      </c>
      <c r="B622" t="s">
        <v>2009</v>
      </c>
      <c r="C622" t="str">
        <f>VLOOKUP(B622,Tabelle3!A:C,2,FALSE)</f>
        <v>Süd</v>
      </c>
      <c r="D622" t="s">
        <v>27</v>
      </c>
      <c r="E622" t="s">
        <v>733</v>
      </c>
      <c r="F622" t="s">
        <v>715</v>
      </c>
      <c r="G622">
        <v>68169</v>
      </c>
      <c r="H622" t="s">
        <v>2010</v>
      </c>
      <c r="I622" t="s">
        <v>2011</v>
      </c>
      <c r="J622" t="s">
        <v>2008</v>
      </c>
      <c r="K622">
        <v>39031</v>
      </c>
      <c r="L622" t="s">
        <v>171</v>
      </c>
      <c r="M622" t="s">
        <v>172</v>
      </c>
      <c r="N622" t="s">
        <v>173</v>
      </c>
      <c r="O622" t="s">
        <v>44</v>
      </c>
      <c r="P622" t="s">
        <v>82</v>
      </c>
      <c r="Q622" t="s">
        <v>173</v>
      </c>
      <c r="R622" t="s">
        <v>173</v>
      </c>
      <c r="S622">
        <v>0.33</v>
      </c>
      <c r="T622" t="s">
        <v>47</v>
      </c>
      <c r="U622">
        <v>11.3</v>
      </c>
      <c r="V622">
        <v>11.14</v>
      </c>
      <c r="W622">
        <v>9.4689999999999994</v>
      </c>
      <c r="X622">
        <v>0</v>
      </c>
      <c r="Y622">
        <v>1</v>
      </c>
    </row>
    <row r="623" spans="1:25" x14ac:dyDescent="0.35">
      <c r="A623" t="s">
        <v>25</v>
      </c>
      <c r="B623" t="s">
        <v>2012</v>
      </c>
      <c r="C623" t="str">
        <f>VLOOKUP(B623,Tabelle3!A:C,2,FALSE)</f>
        <v>Süd</v>
      </c>
      <c r="D623" t="s">
        <v>27</v>
      </c>
      <c r="E623" t="s">
        <v>2013</v>
      </c>
      <c r="F623" t="s">
        <v>2014</v>
      </c>
      <c r="G623">
        <v>79108</v>
      </c>
      <c r="H623" t="s">
        <v>2015</v>
      </c>
      <c r="I623" t="s">
        <v>2016</v>
      </c>
      <c r="J623" t="s">
        <v>2008</v>
      </c>
      <c r="K623">
        <v>43939</v>
      </c>
      <c r="L623" t="s">
        <v>33</v>
      </c>
      <c r="M623" t="s">
        <v>34</v>
      </c>
      <c r="N623" t="s">
        <v>33</v>
      </c>
      <c r="O623" t="s">
        <v>25</v>
      </c>
      <c r="P623" t="s">
        <v>50</v>
      </c>
      <c r="Q623" t="s">
        <v>33</v>
      </c>
      <c r="R623" t="s">
        <v>46</v>
      </c>
      <c r="S623">
        <v>0.53100000000000003</v>
      </c>
      <c r="T623" t="s">
        <v>47</v>
      </c>
      <c r="U623">
        <v>19.016999999999999</v>
      </c>
      <c r="V623">
        <v>18.338999999999999</v>
      </c>
      <c r="W623">
        <v>15.954929999999999</v>
      </c>
      <c r="X623">
        <v>40.69</v>
      </c>
      <c r="Y623">
        <v>104.380131826742</v>
      </c>
    </row>
    <row r="624" spans="1:25" x14ac:dyDescent="0.35">
      <c r="A624" t="s">
        <v>25</v>
      </c>
      <c r="B624" t="s">
        <v>2017</v>
      </c>
      <c r="C624" t="str">
        <f>VLOOKUP(B624,Tabelle3!A:C,2,FALSE)</f>
        <v>Süd</v>
      </c>
      <c r="D624" t="s">
        <v>27</v>
      </c>
      <c r="E624" t="s">
        <v>2013</v>
      </c>
      <c r="F624" t="s">
        <v>36</v>
      </c>
      <c r="G624">
        <v>79108</v>
      </c>
      <c r="H624" t="s">
        <v>2015</v>
      </c>
      <c r="I624" t="s">
        <v>2016</v>
      </c>
      <c r="J624" t="s">
        <v>2008</v>
      </c>
      <c r="K624">
        <v>36069</v>
      </c>
      <c r="L624" t="s">
        <v>33</v>
      </c>
      <c r="M624" t="s">
        <v>34</v>
      </c>
      <c r="N624" t="s">
        <v>33</v>
      </c>
      <c r="O624" t="s">
        <v>25</v>
      </c>
      <c r="P624" t="s">
        <v>35</v>
      </c>
      <c r="Q624" t="s">
        <v>33</v>
      </c>
      <c r="R624" t="s">
        <v>36</v>
      </c>
      <c r="S624">
        <v>0.53100000000000003</v>
      </c>
      <c r="T624" t="s">
        <v>47</v>
      </c>
      <c r="U624">
        <v>39.92</v>
      </c>
      <c r="V624">
        <v>38.497999999999998</v>
      </c>
      <c r="W624">
        <v>33.493259999999999</v>
      </c>
      <c r="X624">
        <v>40.69</v>
      </c>
      <c r="Y624">
        <v>103.880131826742</v>
      </c>
    </row>
    <row r="625" spans="1:25" x14ac:dyDescent="0.35">
      <c r="A625" t="s">
        <v>25</v>
      </c>
      <c r="B625" t="s">
        <v>2018</v>
      </c>
      <c r="C625" t="s">
        <v>4081</v>
      </c>
      <c r="D625" t="s">
        <v>27</v>
      </c>
      <c r="E625" t="s">
        <v>2019</v>
      </c>
      <c r="F625" t="s">
        <v>2020</v>
      </c>
      <c r="G625">
        <v>73733</v>
      </c>
      <c r="H625" t="s">
        <v>2021</v>
      </c>
      <c r="I625" t="s">
        <v>2022</v>
      </c>
      <c r="J625" t="s">
        <v>2008</v>
      </c>
      <c r="K625">
        <v>43770</v>
      </c>
      <c r="L625" t="s">
        <v>60</v>
      </c>
      <c r="M625" t="s">
        <v>1928</v>
      </c>
      <c r="N625" t="s">
        <v>60</v>
      </c>
      <c r="O625" t="s">
        <v>44</v>
      </c>
      <c r="P625" t="s">
        <v>137</v>
      </c>
      <c r="Q625" t="s">
        <v>63</v>
      </c>
      <c r="R625" t="s">
        <v>63</v>
      </c>
      <c r="S625">
        <v>0.432</v>
      </c>
      <c r="T625" t="s">
        <v>37</v>
      </c>
      <c r="U625">
        <v>20.757999999999999</v>
      </c>
      <c r="V625">
        <v>20.757999999999999</v>
      </c>
      <c r="W625">
        <v>17.644299999999998</v>
      </c>
      <c r="X625">
        <v>95.89</v>
      </c>
      <c r="Y625">
        <v>267.91666666666669</v>
      </c>
    </row>
    <row r="626" spans="1:25" x14ac:dyDescent="0.35">
      <c r="A626" t="s">
        <v>25</v>
      </c>
      <c r="B626" t="s">
        <v>2023</v>
      </c>
      <c r="C626" t="s">
        <v>4081</v>
      </c>
      <c r="D626" t="s">
        <v>27</v>
      </c>
      <c r="E626" t="s">
        <v>2024</v>
      </c>
      <c r="F626" t="s">
        <v>2025</v>
      </c>
      <c r="G626">
        <v>71287</v>
      </c>
      <c r="H626" t="s">
        <v>2026</v>
      </c>
      <c r="I626" t="s">
        <v>2027</v>
      </c>
      <c r="J626" t="s">
        <v>2008</v>
      </c>
      <c r="K626">
        <v>42705</v>
      </c>
      <c r="L626" t="s">
        <v>60</v>
      </c>
      <c r="M626" t="s">
        <v>644</v>
      </c>
      <c r="N626" t="s">
        <v>60</v>
      </c>
      <c r="O626" t="s">
        <v>44</v>
      </c>
      <c r="P626" t="s">
        <v>137</v>
      </c>
      <c r="Q626" t="s">
        <v>63</v>
      </c>
      <c r="R626" t="s">
        <v>63</v>
      </c>
      <c r="S626">
        <v>0.40699999999999997</v>
      </c>
      <c r="T626" t="s">
        <v>37</v>
      </c>
      <c r="U626">
        <v>21.042999999999999</v>
      </c>
      <c r="V626">
        <v>19.872199999999999</v>
      </c>
      <c r="W626">
        <v>16.891369999999998</v>
      </c>
      <c r="X626">
        <v>95.89</v>
      </c>
      <c r="Y626">
        <v>284.31203931203936</v>
      </c>
    </row>
    <row r="627" spans="1:25" x14ac:dyDescent="0.35">
      <c r="A627" t="s">
        <v>25</v>
      </c>
      <c r="B627" t="s">
        <v>2028</v>
      </c>
      <c r="C627" t="str">
        <f>VLOOKUP(B627,Tabelle3!A:C,2,FALSE)</f>
        <v>Süd</v>
      </c>
      <c r="D627" t="s">
        <v>27</v>
      </c>
      <c r="E627" t="s">
        <v>2029</v>
      </c>
      <c r="F627" t="s">
        <v>2030</v>
      </c>
      <c r="G627">
        <v>79639</v>
      </c>
      <c r="H627" t="s">
        <v>2031</v>
      </c>
      <c r="I627" t="s">
        <v>2032</v>
      </c>
      <c r="J627" t="s">
        <v>2008</v>
      </c>
      <c r="K627">
        <v>43046</v>
      </c>
      <c r="L627" t="s">
        <v>33</v>
      </c>
      <c r="M627" t="s">
        <v>34</v>
      </c>
      <c r="N627" t="s">
        <v>33</v>
      </c>
      <c r="O627" t="s">
        <v>25</v>
      </c>
      <c r="P627" t="s">
        <v>87</v>
      </c>
      <c r="Q627" t="s">
        <v>33</v>
      </c>
      <c r="R627" t="s">
        <v>46</v>
      </c>
      <c r="S627">
        <v>0.4037</v>
      </c>
      <c r="T627" t="s">
        <v>47</v>
      </c>
      <c r="U627">
        <v>22.2</v>
      </c>
      <c r="V627">
        <v>22</v>
      </c>
      <c r="W627">
        <v>19.14</v>
      </c>
      <c r="X627">
        <v>40.69</v>
      </c>
      <c r="Y627">
        <v>136.82164973990587</v>
      </c>
    </row>
    <row r="628" spans="1:25" x14ac:dyDescent="0.35">
      <c r="A628" t="s">
        <v>25</v>
      </c>
      <c r="B628" t="s">
        <v>2033</v>
      </c>
      <c r="C628" t="str">
        <f>VLOOKUP(B628,Tabelle3!A:C,2,FALSE)</f>
        <v>Süd</v>
      </c>
      <c r="D628" t="s">
        <v>27</v>
      </c>
      <c r="E628" t="s">
        <v>2034</v>
      </c>
      <c r="F628" t="s">
        <v>2035</v>
      </c>
      <c r="G628">
        <v>73037</v>
      </c>
      <c r="H628" t="s">
        <v>2036</v>
      </c>
      <c r="I628" t="s">
        <v>2037</v>
      </c>
      <c r="J628" t="s">
        <v>2008</v>
      </c>
      <c r="K628">
        <v>27576</v>
      </c>
      <c r="L628" t="s">
        <v>171</v>
      </c>
      <c r="M628" t="s">
        <v>172</v>
      </c>
      <c r="N628" t="s">
        <v>173</v>
      </c>
      <c r="O628" t="s">
        <v>25</v>
      </c>
      <c r="P628" t="s">
        <v>82</v>
      </c>
      <c r="Q628" t="s">
        <v>173</v>
      </c>
      <c r="R628" t="s">
        <v>173</v>
      </c>
      <c r="S628">
        <v>0.33</v>
      </c>
      <c r="T628" t="s">
        <v>47</v>
      </c>
      <c r="U628">
        <v>13.2</v>
      </c>
      <c r="V628">
        <v>11</v>
      </c>
      <c r="W628">
        <v>9.35</v>
      </c>
      <c r="X628">
        <v>0</v>
      </c>
      <c r="Y628">
        <v>1</v>
      </c>
    </row>
    <row r="629" spans="1:25" x14ac:dyDescent="0.35">
      <c r="A629" t="s">
        <v>25</v>
      </c>
      <c r="B629" t="s">
        <v>2038</v>
      </c>
      <c r="C629" t="str">
        <f>VLOOKUP(B629,Tabelle3!A:C,2,FALSE)</f>
        <v>Süd</v>
      </c>
      <c r="D629" t="s">
        <v>27</v>
      </c>
      <c r="E629" t="s">
        <v>814</v>
      </c>
      <c r="F629" t="s">
        <v>2039</v>
      </c>
      <c r="G629">
        <v>79427</v>
      </c>
      <c r="H629" t="s">
        <v>2040</v>
      </c>
      <c r="I629" t="s">
        <v>2041</v>
      </c>
      <c r="J629" t="s">
        <v>2008</v>
      </c>
      <c r="K629">
        <v>38124</v>
      </c>
      <c r="L629" t="s">
        <v>171</v>
      </c>
      <c r="M629" t="s">
        <v>172</v>
      </c>
      <c r="N629" t="s">
        <v>173</v>
      </c>
      <c r="O629" t="s">
        <v>44</v>
      </c>
      <c r="P629" t="s">
        <v>82</v>
      </c>
      <c r="Q629" t="s">
        <v>173</v>
      </c>
      <c r="R629" t="s">
        <v>173</v>
      </c>
      <c r="S629">
        <v>0.33</v>
      </c>
      <c r="T629" t="s">
        <v>47</v>
      </c>
      <c r="U629">
        <v>14.5</v>
      </c>
      <c r="V629">
        <v>14</v>
      </c>
      <c r="W629">
        <v>11.9</v>
      </c>
      <c r="X629">
        <v>0</v>
      </c>
      <c r="Y629">
        <v>1</v>
      </c>
    </row>
    <row r="630" spans="1:25" x14ac:dyDescent="0.35">
      <c r="A630" t="s">
        <v>25</v>
      </c>
      <c r="B630" t="s">
        <v>2042</v>
      </c>
      <c r="C630" t="str">
        <f>VLOOKUP(B630,Tabelle3!A:C,2,FALSE)</f>
        <v>Süd</v>
      </c>
      <c r="D630" t="s">
        <v>27</v>
      </c>
      <c r="E630" t="s">
        <v>683</v>
      </c>
      <c r="F630" t="s">
        <v>2043</v>
      </c>
      <c r="G630">
        <v>70376</v>
      </c>
      <c r="H630" t="s">
        <v>2044</v>
      </c>
      <c r="I630" t="s">
        <v>2045</v>
      </c>
      <c r="J630" t="s">
        <v>2008</v>
      </c>
      <c r="K630">
        <v>39814</v>
      </c>
      <c r="L630" t="s">
        <v>92</v>
      </c>
      <c r="M630" t="s">
        <v>93</v>
      </c>
      <c r="N630" t="s">
        <v>92</v>
      </c>
      <c r="O630" t="s">
        <v>25</v>
      </c>
      <c r="P630" t="s">
        <v>82</v>
      </c>
      <c r="Q630" t="s">
        <v>92</v>
      </c>
      <c r="R630" t="s">
        <v>92</v>
      </c>
      <c r="S630">
        <v>0.33</v>
      </c>
      <c r="T630" t="s">
        <v>47</v>
      </c>
      <c r="U630">
        <v>19.600000000000001</v>
      </c>
      <c r="V630">
        <v>19.5</v>
      </c>
      <c r="W630">
        <v>15.600000000000001</v>
      </c>
      <c r="X630">
        <v>15.55</v>
      </c>
      <c r="Y630">
        <v>119.24227272727272</v>
      </c>
    </row>
    <row r="631" spans="1:25" x14ac:dyDescent="0.35">
      <c r="A631" t="s">
        <v>25</v>
      </c>
      <c r="B631" t="s">
        <v>2046</v>
      </c>
      <c r="C631" t="s">
        <v>4081</v>
      </c>
      <c r="D631" t="s">
        <v>27</v>
      </c>
      <c r="E631" t="s">
        <v>683</v>
      </c>
      <c r="F631" t="s">
        <v>2047</v>
      </c>
      <c r="G631">
        <v>70376</v>
      </c>
      <c r="H631" t="s">
        <v>2044</v>
      </c>
      <c r="I631" t="s">
        <v>2045</v>
      </c>
      <c r="J631" t="s">
        <v>2008</v>
      </c>
      <c r="K631">
        <v>27030</v>
      </c>
      <c r="L631" t="s">
        <v>60</v>
      </c>
      <c r="M631" t="s">
        <v>61</v>
      </c>
      <c r="N631" t="s">
        <v>60</v>
      </c>
      <c r="O631" t="s">
        <v>44</v>
      </c>
      <c r="P631" t="s">
        <v>62</v>
      </c>
      <c r="Q631" t="s">
        <v>63</v>
      </c>
      <c r="R631" t="s">
        <v>63</v>
      </c>
      <c r="S631">
        <v>0.23</v>
      </c>
      <c r="T631" t="s">
        <v>47</v>
      </c>
      <c r="U631">
        <v>23.3</v>
      </c>
      <c r="V631">
        <v>23.3</v>
      </c>
      <c r="W631">
        <v>19.805</v>
      </c>
      <c r="X631">
        <v>95.89</v>
      </c>
      <c r="Y631">
        <v>502.33913043478265</v>
      </c>
    </row>
    <row r="632" spans="1:25" x14ac:dyDescent="0.35">
      <c r="A632" t="s">
        <v>25</v>
      </c>
      <c r="B632" t="s">
        <v>2048</v>
      </c>
      <c r="C632" t="s">
        <v>4081</v>
      </c>
      <c r="D632" t="s">
        <v>27</v>
      </c>
      <c r="E632" t="s">
        <v>683</v>
      </c>
      <c r="F632" t="s">
        <v>2049</v>
      </c>
      <c r="G632">
        <v>70376</v>
      </c>
      <c r="H632" t="s">
        <v>2044</v>
      </c>
      <c r="I632" t="s">
        <v>2045</v>
      </c>
      <c r="J632" t="s">
        <v>2008</v>
      </c>
      <c r="K632">
        <v>27030</v>
      </c>
      <c r="L632" t="s">
        <v>60</v>
      </c>
      <c r="M632" t="s">
        <v>61</v>
      </c>
      <c r="N632" t="s">
        <v>60</v>
      </c>
      <c r="O632" t="s">
        <v>44</v>
      </c>
      <c r="P632" t="s">
        <v>62</v>
      </c>
      <c r="Q632" t="s">
        <v>63</v>
      </c>
      <c r="R632" t="s">
        <v>63</v>
      </c>
      <c r="S632">
        <v>0.23</v>
      </c>
      <c r="T632" t="s">
        <v>47</v>
      </c>
      <c r="U632">
        <v>23.4</v>
      </c>
      <c r="V632">
        <v>23.4</v>
      </c>
      <c r="W632">
        <v>19.889999999999997</v>
      </c>
      <c r="X632">
        <v>95.89</v>
      </c>
      <c r="Y632">
        <v>502.33913043478265</v>
      </c>
    </row>
    <row r="633" spans="1:25" x14ac:dyDescent="0.35">
      <c r="A633" t="s">
        <v>25</v>
      </c>
      <c r="B633" t="s">
        <v>2050</v>
      </c>
      <c r="C633" t="str">
        <f>VLOOKUP(B633,Tabelle3!A:C,2,FALSE)</f>
        <v>Süd</v>
      </c>
      <c r="D633" t="s">
        <v>27</v>
      </c>
      <c r="E633" t="s">
        <v>683</v>
      </c>
      <c r="F633" t="s">
        <v>2051</v>
      </c>
      <c r="G633">
        <v>73776</v>
      </c>
      <c r="H633" t="s">
        <v>2052</v>
      </c>
      <c r="I633" t="s">
        <v>2053</v>
      </c>
      <c r="J633" t="s">
        <v>2008</v>
      </c>
      <c r="K633">
        <v>26177</v>
      </c>
      <c r="L633" t="s">
        <v>33</v>
      </c>
      <c r="M633" t="s">
        <v>34</v>
      </c>
      <c r="N633" t="s">
        <v>33</v>
      </c>
      <c r="O633" t="s">
        <v>44</v>
      </c>
      <c r="P633" t="s">
        <v>62</v>
      </c>
      <c r="Q633" t="s">
        <v>33</v>
      </c>
      <c r="R633" t="s">
        <v>36</v>
      </c>
      <c r="S633">
        <v>0.30459999999999998</v>
      </c>
      <c r="T633" t="s">
        <v>47</v>
      </c>
      <c r="U633">
        <v>50</v>
      </c>
      <c r="V633">
        <v>45</v>
      </c>
      <c r="W633">
        <v>39.15</v>
      </c>
      <c r="X633">
        <v>40.69</v>
      </c>
      <c r="Y633">
        <v>180.34783322390021</v>
      </c>
    </row>
    <row r="634" spans="1:25" x14ac:dyDescent="0.35">
      <c r="A634" t="s">
        <v>25</v>
      </c>
      <c r="B634" t="s">
        <v>2054</v>
      </c>
      <c r="C634" t="s">
        <v>4081</v>
      </c>
      <c r="D634" t="s">
        <v>27</v>
      </c>
      <c r="E634" t="s">
        <v>683</v>
      </c>
      <c r="F634" t="s">
        <v>2055</v>
      </c>
      <c r="G634">
        <v>70376</v>
      </c>
      <c r="H634" t="s">
        <v>2044</v>
      </c>
      <c r="I634" t="s">
        <v>2045</v>
      </c>
      <c r="J634" t="s">
        <v>2008</v>
      </c>
      <c r="K634">
        <v>30682</v>
      </c>
      <c r="L634" t="s">
        <v>92</v>
      </c>
      <c r="M634" t="s">
        <v>93</v>
      </c>
      <c r="N634" t="s">
        <v>92</v>
      </c>
      <c r="O634" t="s">
        <v>25</v>
      </c>
      <c r="P634" t="s">
        <v>50</v>
      </c>
      <c r="Q634" t="s">
        <v>92</v>
      </c>
      <c r="R634" t="s">
        <v>92</v>
      </c>
      <c r="S634">
        <v>0.38500000000000001</v>
      </c>
      <c r="T634" t="s">
        <v>47</v>
      </c>
      <c r="U634">
        <v>47.2</v>
      </c>
      <c r="V634">
        <v>45</v>
      </c>
      <c r="W634">
        <v>36</v>
      </c>
      <c r="X634">
        <v>15.55</v>
      </c>
      <c r="Y634">
        <v>102.39337662337662</v>
      </c>
    </row>
    <row r="635" spans="1:25" x14ac:dyDescent="0.35">
      <c r="A635" t="s">
        <v>25</v>
      </c>
      <c r="B635" t="s">
        <v>2056</v>
      </c>
      <c r="C635" t="s">
        <v>4081</v>
      </c>
      <c r="D635" t="s">
        <v>27</v>
      </c>
      <c r="E635" t="s">
        <v>683</v>
      </c>
      <c r="F635" t="s">
        <v>2057</v>
      </c>
      <c r="G635">
        <v>70376</v>
      </c>
      <c r="H635" t="s">
        <v>2044</v>
      </c>
      <c r="I635" t="s">
        <v>2045</v>
      </c>
      <c r="J635" t="s">
        <v>2008</v>
      </c>
      <c r="K635">
        <v>29952</v>
      </c>
      <c r="L635" t="s">
        <v>92</v>
      </c>
      <c r="M635" t="s">
        <v>93</v>
      </c>
      <c r="N635" t="s">
        <v>92</v>
      </c>
      <c r="O635" t="s">
        <v>25</v>
      </c>
      <c r="P635" t="s">
        <v>50</v>
      </c>
      <c r="Q635" t="s">
        <v>92</v>
      </c>
      <c r="R635" t="s">
        <v>92</v>
      </c>
      <c r="S635">
        <v>0.38</v>
      </c>
      <c r="T635" t="s">
        <v>47</v>
      </c>
      <c r="U635">
        <v>47.2</v>
      </c>
      <c r="V635">
        <v>45</v>
      </c>
      <c r="W635">
        <v>36</v>
      </c>
      <c r="X635">
        <v>15.55</v>
      </c>
      <c r="Y635">
        <v>103.72355263157895</v>
      </c>
    </row>
    <row r="636" spans="1:25" x14ac:dyDescent="0.35">
      <c r="A636" t="s">
        <v>25</v>
      </c>
      <c r="B636" t="s">
        <v>2058</v>
      </c>
      <c r="C636" t="str">
        <f>VLOOKUP(B636,Tabelle3!A:C,2,FALSE)</f>
        <v>Süd</v>
      </c>
      <c r="D636" t="s">
        <v>27</v>
      </c>
      <c r="E636" t="s">
        <v>683</v>
      </c>
      <c r="F636" t="s">
        <v>2059</v>
      </c>
      <c r="G636">
        <v>73776</v>
      </c>
      <c r="H636" t="s">
        <v>2052</v>
      </c>
      <c r="I636" t="s">
        <v>2053</v>
      </c>
      <c r="J636" t="s">
        <v>2008</v>
      </c>
      <c r="K636">
        <v>26969</v>
      </c>
      <c r="L636" t="s">
        <v>33</v>
      </c>
      <c r="M636" t="s">
        <v>34</v>
      </c>
      <c r="N636" t="s">
        <v>33</v>
      </c>
      <c r="O636" t="s">
        <v>44</v>
      </c>
      <c r="P636" t="s">
        <v>62</v>
      </c>
      <c r="Q636" t="s">
        <v>33</v>
      </c>
      <c r="R636" t="s">
        <v>36</v>
      </c>
      <c r="S636">
        <v>0.30980000000000002</v>
      </c>
      <c r="T636" t="s">
        <v>47</v>
      </c>
      <c r="U636">
        <v>60</v>
      </c>
      <c r="V636">
        <v>57</v>
      </c>
      <c r="W636">
        <v>49.589999999999996</v>
      </c>
      <c r="X636">
        <v>40.69</v>
      </c>
      <c r="Y636">
        <v>177.33747579083277</v>
      </c>
    </row>
    <row r="637" spans="1:25" x14ac:dyDescent="0.35">
      <c r="A637" t="s">
        <v>25</v>
      </c>
      <c r="B637" t="s">
        <v>2060</v>
      </c>
      <c r="C637" t="s">
        <v>4081</v>
      </c>
      <c r="D637" t="s">
        <v>27</v>
      </c>
      <c r="E637" t="s">
        <v>683</v>
      </c>
      <c r="F637" t="s">
        <v>2061</v>
      </c>
      <c r="G637">
        <v>73776</v>
      </c>
      <c r="H637" t="s">
        <v>2052</v>
      </c>
      <c r="I637" t="s">
        <v>2053</v>
      </c>
      <c r="J637" t="s">
        <v>2008</v>
      </c>
      <c r="K637">
        <v>35550</v>
      </c>
      <c r="L637" t="s">
        <v>33</v>
      </c>
      <c r="M637" t="s">
        <v>34</v>
      </c>
      <c r="N637" t="s">
        <v>33</v>
      </c>
      <c r="O637" t="s">
        <v>25</v>
      </c>
      <c r="P637" t="s">
        <v>87</v>
      </c>
      <c r="Q637" t="s">
        <v>33</v>
      </c>
      <c r="R637" t="s">
        <v>46</v>
      </c>
      <c r="S637">
        <v>0.44</v>
      </c>
      <c r="T637" t="s">
        <v>47</v>
      </c>
      <c r="U637">
        <v>65</v>
      </c>
      <c r="V637">
        <v>65</v>
      </c>
      <c r="W637">
        <v>56.55</v>
      </c>
      <c r="X637">
        <v>40.69</v>
      </c>
      <c r="Y637">
        <v>125.65761363636364</v>
      </c>
    </row>
    <row r="638" spans="1:25" x14ac:dyDescent="0.35">
      <c r="A638" t="s">
        <v>25</v>
      </c>
      <c r="B638" t="s">
        <v>2062</v>
      </c>
      <c r="C638" t="str">
        <f>VLOOKUP(B638,Tabelle3!A:C,2,FALSE)</f>
        <v>Süd</v>
      </c>
      <c r="D638" t="s">
        <v>27</v>
      </c>
      <c r="E638" t="s">
        <v>683</v>
      </c>
      <c r="F638" t="s">
        <v>2063</v>
      </c>
      <c r="G638">
        <v>73776</v>
      </c>
      <c r="H638" t="s">
        <v>2052</v>
      </c>
      <c r="I638" t="s">
        <v>2053</v>
      </c>
      <c r="J638" t="s">
        <v>2008</v>
      </c>
      <c r="K638">
        <v>27638</v>
      </c>
      <c r="L638" t="s">
        <v>33</v>
      </c>
      <c r="M638" t="s">
        <v>34</v>
      </c>
      <c r="N638" t="s">
        <v>33</v>
      </c>
      <c r="O638" t="s">
        <v>44</v>
      </c>
      <c r="P638" t="s">
        <v>62</v>
      </c>
      <c r="Q638" t="s">
        <v>33</v>
      </c>
      <c r="R638" t="s">
        <v>36</v>
      </c>
      <c r="S638">
        <v>0.315</v>
      </c>
      <c r="T638" t="s">
        <v>47</v>
      </c>
      <c r="U638">
        <v>87</v>
      </c>
      <c r="V638">
        <v>81</v>
      </c>
      <c r="W638">
        <v>70.47</v>
      </c>
      <c r="X638">
        <v>40.69</v>
      </c>
      <c r="Y638">
        <v>174.42650793650793</v>
      </c>
    </row>
    <row r="639" spans="1:25" x14ac:dyDescent="0.35">
      <c r="A639" t="s">
        <v>44</v>
      </c>
      <c r="B639" t="s">
        <v>2064</v>
      </c>
      <c r="C639" t="s">
        <v>4081</v>
      </c>
      <c r="D639" t="s">
        <v>870</v>
      </c>
      <c r="E639" t="s">
        <v>683</v>
      </c>
      <c r="F639" t="s">
        <v>2065</v>
      </c>
      <c r="G639">
        <v>71672</v>
      </c>
      <c r="H639" t="s">
        <v>2066</v>
      </c>
      <c r="I639" t="s">
        <v>2067</v>
      </c>
      <c r="J639" t="s">
        <v>2008</v>
      </c>
      <c r="K639">
        <v>27652</v>
      </c>
      <c r="L639" t="s">
        <v>60</v>
      </c>
      <c r="M639" t="s">
        <v>61</v>
      </c>
      <c r="N639" t="s">
        <v>60</v>
      </c>
      <c r="O639" t="s">
        <v>44</v>
      </c>
      <c r="P639" t="s">
        <v>87</v>
      </c>
      <c r="Q639" t="s">
        <v>63</v>
      </c>
      <c r="R639" t="s">
        <v>63</v>
      </c>
      <c r="S639">
        <v>0.33329999999999999</v>
      </c>
      <c r="T639" t="s">
        <v>2068</v>
      </c>
      <c r="U639">
        <v>85</v>
      </c>
      <c r="V639">
        <v>85</v>
      </c>
      <c r="W639">
        <v>72.25</v>
      </c>
      <c r="X639">
        <v>95.89</v>
      </c>
      <c r="Y639">
        <v>346.95859585958601</v>
      </c>
    </row>
    <row r="640" spans="1:25" x14ac:dyDescent="0.35">
      <c r="A640" t="s">
        <v>44</v>
      </c>
      <c r="B640" t="s">
        <v>2069</v>
      </c>
      <c r="C640" t="s">
        <v>4081</v>
      </c>
      <c r="D640" t="s">
        <v>870</v>
      </c>
      <c r="E640" t="s">
        <v>683</v>
      </c>
      <c r="F640" t="s">
        <v>2070</v>
      </c>
      <c r="G640">
        <v>76189</v>
      </c>
      <c r="H640" t="s">
        <v>2071</v>
      </c>
      <c r="I640" t="s">
        <v>2072</v>
      </c>
      <c r="J640" t="s">
        <v>2008</v>
      </c>
      <c r="K640">
        <v>36084</v>
      </c>
      <c r="L640" t="s">
        <v>33</v>
      </c>
      <c r="M640" t="s">
        <v>34</v>
      </c>
      <c r="N640" t="s">
        <v>33</v>
      </c>
      <c r="O640" t="s">
        <v>44</v>
      </c>
      <c r="P640" t="s">
        <v>45</v>
      </c>
      <c r="Q640" t="s">
        <v>33</v>
      </c>
      <c r="R640" t="s">
        <v>46</v>
      </c>
      <c r="S640">
        <v>0.53100000000000003</v>
      </c>
      <c r="T640" t="s">
        <v>47</v>
      </c>
      <c r="U640">
        <v>124.5</v>
      </c>
      <c r="V640">
        <v>114</v>
      </c>
      <c r="W640">
        <v>99.179999999999993</v>
      </c>
      <c r="X640">
        <v>40.69</v>
      </c>
      <c r="Y640">
        <v>104.380131826742</v>
      </c>
    </row>
    <row r="641" spans="1:25" x14ac:dyDescent="0.35">
      <c r="A641" t="s">
        <v>44</v>
      </c>
      <c r="B641" t="s">
        <v>2073</v>
      </c>
      <c r="C641" t="s">
        <v>4081</v>
      </c>
      <c r="D641" t="s">
        <v>870</v>
      </c>
      <c r="E641" t="s">
        <v>683</v>
      </c>
      <c r="F641" t="s">
        <v>2074</v>
      </c>
      <c r="G641">
        <v>74076</v>
      </c>
      <c r="H641" t="s">
        <v>2075</v>
      </c>
      <c r="I641" t="s">
        <v>2076</v>
      </c>
      <c r="J641" t="s">
        <v>2008</v>
      </c>
      <c r="K641">
        <v>24291</v>
      </c>
      <c r="L641" t="s">
        <v>92</v>
      </c>
      <c r="M641" t="s">
        <v>93</v>
      </c>
      <c r="N641" t="s">
        <v>92</v>
      </c>
      <c r="O641" t="s">
        <v>44</v>
      </c>
      <c r="P641" t="s">
        <v>82</v>
      </c>
      <c r="Q641" t="s">
        <v>92</v>
      </c>
      <c r="R641" t="s">
        <v>92</v>
      </c>
      <c r="S641">
        <v>0.45</v>
      </c>
      <c r="T641" t="s">
        <v>47</v>
      </c>
      <c r="U641">
        <v>137</v>
      </c>
      <c r="V641">
        <v>125</v>
      </c>
      <c r="W641">
        <v>100</v>
      </c>
      <c r="X641">
        <v>15.55</v>
      </c>
      <c r="Y641">
        <v>87.790999999999997</v>
      </c>
    </row>
    <row r="642" spans="1:25" x14ac:dyDescent="0.35">
      <c r="A642" t="s">
        <v>44</v>
      </c>
      <c r="B642" t="s">
        <v>2077</v>
      </c>
      <c r="C642" t="s">
        <v>4081</v>
      </c>
      <c r="D642" t="s">
        <v>870</v>
      </c>
      <c r="E642" t="s">
        <v>683</v>
      </c>
      <c r="F642" t="s">
        <v>2078</v>
      </c>
      <c r="G642">
        <v>74076</v>
      </c>
      <c r="H642" t="s">
        <v>2075</v>
      </c>
      <c r="I642" t="s">
        <v>2079</v>
      </c>
      <c r="J642" t="s">
        <v>2008</v>
      </c>
      <c r="K642">
        <v>23979</v>
      </c>
      <c r="L642" t="s">
        <v>92</v>
      </c>
      <c r="M642" t="s">
        <v>93</v>
      </c>
      <c r="N642" t="s">
        <v>92</v>
      </c>
      <c r="O642" t="s">
        <v>44</v>
      </c>
      <c r="P642" t="s">
        <v>82</v>
      </c>
      <c r="Q642" t="s">
        <v>92</v>
      </c>
      <c r="R642" t="s">
        <v>92</v>
      </c>
      <c r="S642">
        <v>0.45</v>
      </c>
      <c r="T642" t="s">
        <v>47</v>
      </c>
      <c r="U642">
        <v>137</v>
      </c>
      <c r="V642">
        <v>125</v>
      </c>
      <c r="W642">
        <v>100</v>
      </c>
      <c r="X642">
        <v>15.55</v>
      </c>
      <c r="Y642">
        <v>87.790999999999997</v>
      </c>
    </row>
    <row r="643" spans="1:25" x14ac:dyDescent="0.35">
      <c r="A643" t="s">
        <v>25</v>
      </c>
      <c r="B643" t="s">
        <v>2080</v>
      </c>
      <c r="C643" t="s">
        <v>4081</v>
      </c>
      <c r="D643" t="s">
        <v>27</v>
      </c>
      <c r="E643" t="s">
        <v>683</v>
      </c>
      <c r="F643" t="s">
        <v>2081</v>
      </c>
      <c r="G643">
        <v>74399</v>
      </c>
      <c r="H643" t="s">
        <v>2082</v>
      </c>
      <c r="I643" t="s">
        <v>2083</v>
      </c>
      <c r="J643" t="s">
        <v>2008</v>
      </c>
      <c r="K643">
        <v>29719</v>
      </c>
      <c r="L643" t="s">
        <v>60</v>
      </c>
      <c r="M643" t="s">
        <v>61</v>
      </c>
      <c r="N643" t="s">
        <v>60</v>
      </c>
      <c r="O643" t="s">
        <v>44</v>
      </c>
      <c r="P643" t="s">
        <v>62</v>
      </c>
      <c r="Q643" t="s">
        <v>63</v>
      </c>
      <c r="R643" t="s">
        <v>63</v>
      </c>
      <c r="S643">
        <v>0.3306</v>
      </c>
      <c r="T643" t="s">
        <v>47</v>
      </c>
      <c r="U643">
        <v>143</v>
      </c>
      <c r="V643">
        <v>136</v>
      </c>
      <c r="W643">
        <v>115.6</v>
      </c>
      <c r="X643">
        <v>95.89</v>
      </c>
      <c r="Y643">
        <v>349.78402903811252</v>
      </c>
    </row>
    <row r="644" spans="1:25" x14ac:dyDescent="0.35">
      <c r="A644" t="s">
        <v>44</v>
      </c>
      <c r="B644" t="s">
        <v>2084</v>
      </c>
      <c r="C644" t="s">
        <v>4081</v>
      </c>
      <c r="D644" t="s">
        <v>870</v>
      </c>
      <c r="E644" t="s">
        <v>683</v>
      </c>
      <c r="F644" t="s">
        <v>2085</v>
      </c>
      <c r="G644">
        <v>76189</v>
      </c>
      <c r="H644" t="s">
        <v>2071</v>
      </c>
      <c r="I644" t="s">
        <v>2072</v>
      </c>
      <c r="J644" t="s">
        <v>2008</v>
      </c>
      <c r="K644">
        <v>36084</v>
      </c>
      <c r="L644" t="s">
        <v>33</v>
      </c>
      <c r="M644" t="s">
        <v>34</v>
      </c>
      <c r="N644" t="s">
        <v>33</v>
      </c>
      <c r="O644" t="s">
        <v>44</v>
      </c>
      <c r="P644" t="s">
        <v>87</v>
      </c>
      <c r="Q644" t="s">
        <v>33</v>
      </c>
      <c r="R644" t="s">
        <v>46</v>
      </c>
      <c r="S644">
        <v>0.53100000000000003</v>
      </c>
      <c r="T644" t="s">
        <v>47</v>
      </c>
      <c r="U644">
        <v>239</v>
      </c>
      <c r="V644">
        <v>239</v>
      </c>
      <c r="W644">
        <v>207.93</v>
      </c>
      <c r="X644">
        <v>40.69</v>
      </c>
      <c r="Y644">
        <v>104.380131826742</v>
      </c>
    </row>
    <row r="645" spans="1:25" x14ac:dyDescent="0.35">
      <c r="A645" t="s">
        <v>25</v>
      </c>
      <c r="B645" t="s">
        <v>2086</v>
      </c>
      <c r="C645" t="s">
        <v>4081</v>
      </c>
      <c r="D645" t="s">
        <v>27</v>
      </c>
      <c r="E645" t="s">
        <v>683</v>
      </c>
      <c r="F645" t="s">
        <v>2087</v>
      </c>
      <c r="G645">
        <v>71672</v>
      </c>
      <c r="H645" t="s">
        <v>2066</v>
      </c>
      <c r="I645" t="s">
        <v>2088</v>
      </c>
      <c r="J645" t="s">
        <v>2008</v>
      </c>
      <c r="K645">
        <v>45565</v>
      </c>
      <c r="L645" t="s">
        <v>60</v>
      </c>
      <c r="M645" t="s">
        <v>61</v>
      </c>
      <c r="N645" t="s">
        <v>60</v>
      </c>
      <c r="O645" t="s">
        <v>44</v>
      </c>
      <c r="P645" t="s">
        <v>62</v>
      </c>
      <c r="Q645" t="s">
        <v>63</v>
      </c>
      <c r="R645" t="s">
        <v>63</v>
      </c>
      <c r="S645">
        <v>0.33329999999999999</v>
      </c>
      <c r="T645" t="s">
        <v>2089</v>
      </c>
      <c r="U645">
        <v>310</v>
      </c>
      <c r="V645">
        <v>306.5</v>
      </c>
      <c r="W645">
        <v>260.52499999999998</v>
      </c>
      <c r="X645">
        <v>95.89</v>
      </c>
      <c r="Y645">
        <v>346.95859585958601</v>
      </c>
    </row>
    <row r="646" spans="1:25" x14ac:dyDescent="0.35">
      <c r="A646" t="s">
        <v>25</v>
      </c>
      <c r="B646" t="s">
        <v>2090</v>
      </c>
      <c r="C646" t="s">
        <v>4081</v>
      </c>
      <c r="D646" t="s">
        <v>27</v>
      </c>
      <c r="E646" t="s">
        <v>683</v>
      </c>
      <c r="F646" t="s">
        <v>2091</v>
      </c>
      <c r="G646">
        <v>73776</v>
      </c>
      <c r="H646" t="s">
        <v>2052</v>
      </c>
      <c r="I646" t="s">
        <v>2053</v>
      </c>
      <c r="J646" t="s">
        <v>2008</v>
      </c>
      <c r="K646">
        <v>35579</v>
      </c>
      <c r="L646" t="s">
        <v>92</v>
      </c>
      <c r="M646" t="s">
        <v>93</v>
      </c>
      <c r="N646" t="s">
        <v>92</v>
      </c>
      <c r="O646" t="s">
        <v>25</v>
      </c>
      <c r="P646" t="s">
        <v>82</v>
      </c>
      <c r="Q646" t="s">
        <v>92</v>
      </c>
      <c r="R646" t="s">
        <v>92</v>
      </c>
      <c r="S646">
        <v>0.44</v>
      </c>
      <c r="T646" t="s">
        <v>47</v>
      </c>
      <c r="U646">
        <v>354</v>
      </c>
      <c r="V646">
        <v>323</v>
      </c>
      <c r="W646">
        <v>258.40000000000003</v>
      </c>
      <c r="X646">
        <v>15.55</v>
      </c>
      <c r="Y646">
        <v>89.756704545454554</v>
      </c>
    </row>
    <row r="647" spans="1:25" x14ac:dyDescent="0.35">
      <c r="A647" t="s">
        <v>44</v>
      </c>
      <c r="B647" t="s">
        <v>2092</v>
      </c>
      <c r="C647" t="s">
        <v>4081</v>
      </c>
      <c r="D647" t="s">
        <v>870</v>
      </c>
      <c r="E647" t="s">
        <v>683</v>
      </c>
      <c r="F647" t="s">
        <v>2093</v>
      </c>
      <c r="G647">
        <v>73776</v>
      </c>
      <c r="H647" t="s">
        <v>2052</v>
      </c>
      <c r="I647" t="s">
        <v>2053</v>
      </c>
      <c r="J647" t="s">
        <v>2008</v>
      </c>
      <c r="K647">
        <v>31219</v>
      </c>
      <c r="L647" t="s">
        <v>92</v>
      </c>
      <c r="M647" t="s">
        <v>93</v>
      </c>
      <c r="N647" t="s">
        <v>92</v>
      </c>
      <c r="O647" t="s">
        <v>44</v>
      </c>
      <c r="P647" t="s">
        <v>82</v>
      </c>
      <c r="Q647" t="s">
        <v>92</v>
      </c>
      <c r="R647" t="s">
        <v>92</v>
      </c>
      <c r="S647">
        <v>0.45500000000000002</v>
      </c>
      <c r="T647" t="s">
        <v>47</v>
      </c>
      <c r="U647">
        <v>476</v>
      </c>
      <c r="V647">
        <v>433</v>
      </c>
      <c r="W647">
        <v>346.40000000000003</v>
      </c>
      <c r="X647">
        <v>15.55</v>
      </c>
      <c r="Y647">
        <v>86.840549450549446</v>
      </c>
    </row>
    <row r="648" spans="1:25" x14ac:dyDescent="0.35">
      <c r="A648" t="s">
        <v>44</v>
      </c>
      <c r="B648" t="s">
        <v>2094</v>
      </c>
      <c r="C648" t="s">
        <v>4081</v>
      </c>
      <c r="D648" t="s">
        <v>870</v>
      </c>
      <c r="E648" t="s">
        <v>683</v>
      </c>
      <c r="F648" t="s">
        <v>2095</v>
      </c>
      <c r="G648">
        <v>76189</v>
      </c>
      <c r="H648" t="s">
        <v>2071</v>
      </c>
      <c r="I648" t="s">
        <v>2072</v>
      </c>
      <c r="J648" t="s">
        <v>2008</v>
      </c>
      <c r="K648">
        <v>31219</v>
      </c>
      <c r="L648" t="s">
        <v>92</v>
      </c>
      <c r="M648" t="s">
        <v>93</v>
      </c>
      <c r="N648" t="s">
        <v>92</v>
      </c>
      <c r="O648" t="s">
        <v>25</v>
      </c>
      <c r="P648" t="s">
        <v>82</v>
      </c>
      <c r="Q648" t="s">
        <v>92</v>
      </c>
      <c r="R648" t="s">
        <v>92</v>
      </c>
      <c r="S648">
        <v>0.4375</v>
      </c>
      <c r="T648" t="s">
        <v>47</v>
      </c>
      <c r="U648">
        <v>536</v>
      </c>
      <c r="V648">
        <v>517</v>
      </c>
      <c r="W648">
        <v>413.6</v>
      </c>
      <c r="X648">
        <v>15.55</v>
      </c>
      <c r="Y648">
        <v>90.262171428571421</v>
      </c>
    </row>
    <row r="649" spans="1:25" x14ac:dyDescent="0.35">
      <c r="A649" t="s">
        <v>25</v>
      </c>
      <c r="B649" t="s">
        <v>2096</v>
      </c>
      <c r="C649" t="s">
        <v>4081</v>
      </c>
      <c r="D649" t="s">
        <v>27</v>
      </c>
      <c r="E649" t="s">
        <v>683</v>
      </c>
      <c r="F649" t="s">
        <v>2097</v>
      </c>
      <c r="G649">
        <v>74076</v>
      </c>
      <c r="H649" t="s">
        <v>2075</v>
      </c>
      <c r="I649" t="s">
        <v>2076</v>
      </c>
      <c r="J649" t="s">
        <v>2008</v>
      </c>
      <c r="K649">
        <v>31382</v>
      </c>
      <c r="L649" t="s">
        <v>92</v>
      </c>
      <c r="M649" t="s">
        <v>93</v>
      </c>
      <c r="N649" t="s">
        <v>92</v>
      </c>
      <c r="O649" t="s">
        <v>25</v>
      </c>
      <c r="P649" t="s">
        <v>82</v>
      </c>
      <c r="Q649" t="s">
        <v>92</v>
      </c>
      <c r="R649" t="s">
        <v>92</v>
      </c>
      <c r="S649">
        <v>0.44750000000000001</v>
      </c>
      <c r="T649" t="s">
        <v>47</v>
      </c>
      <c r="U649">
        <v>822</v>
      </c>
      <c r="V649">
        <v>778</v>
      </c>
      <c r="W649">
        <v>622.40000000000009</v>
      </c>
      <c r="X649">
        <v>15.55</v>
      </c>
      <c r="Y649">
        <v>88.274189944134079</v>
      </c>
    </row>
    <row r="650" spans="1:25" x14ac:dyDescent="0.35">
      <c r="A650" t="s">
        <v>25</v>
      </c>
      <c r="B650" t="s">
        <v>2098</v>
      </c>
      <c r="C650" t="s">
        <v>4081</v>
      </c>
      <c r="D650" t="s">
        <v>27</v>
      </c>
      <c r="E650" t="s">
        <v>683</v>
      </c>
      <c r="F650" t="s">
        <v>2099</v>
      </c>
      <c r="G650">
        <v>76189</v>
      </c>
      <c r="H650" t="s">
        <v>2071</v>
      </c>
      <c r="I650" t="s">
        <v>2072</v>
      </c>
      <c r="J650" t="s">
        <v>2008</v>
      </c>
      <c r="K650">
        <v>41821</v>
      </c>
      <c r="L650" t="s">
        <v>92</v>
      </c>
      <c r="M650" t="s">
        <v>93</v>
      </c>
      <c r="N650" t="s">
        <v>92</v>
      </c>
      <c r="O650" t="s">
        <v>25</v>
      </c>
      <c r="P650" t="s">
        <v>50</v>
      </c>
      <c r="Q650" t="s">
        <v>92</v>
      </c>
      <c r="R650" t="s">
        <v>92</v>
      </c>
      <c r="S650">
        <v>0.46</v>
      </c>
      <c r="T650" t="s">
        <v>47</v>
      </c>
      <c r="U650">
        <v>912</v>
      </c>
      <c r="V650">
        <v>834</v>
      </c>
      <c r="W650">
        <v>667.2</v>
      </c>
      <c r="X650">
        <v>15.55</v>
      </c>
      <c r="Y650">
        <v>85.910760869565209</v>
      </c>
    </row>
    <row r="651" spans="1:25" x14ac:dyDescent="0.35">
      <c r="A651" t="s">
        <v>25</v>
      </c>
      <c r="B651" t="s">
        <v>2100</v>
      </c>
      <c r="C651" t="str">
        <f>VLOOKUP(B651,Tabelle3!A:C,2,FALSE)</f>
        <v>Süd</v>
      </c>
      <c r="D651" t="s">
        <v>27</v>
      </c>
      <c r="E651" t="s">
        <v>2101</v>
      </c>
      <c r="F651" t="s">
        <v>2102</v>
      </c>
      <c r="G651">
        <v>68305</v>
      </c>
      <c r="H651" t="s">
        <v>2010</v>
      </c>
      <c r="I651" t="s">
        <v>2103</v>
      </c>
      <c r="J651" t="s">
        <v>2008</v>
      </c>
      <c r="K651">
        <v>41234</v>
      </c>
      <c r="L651" t="s">
        <v>33</v>
      </c>
      <c r="M651" t="s">
        <v>34</v>
      </c>
      <c r="N651" t="s">
        <v>33</v>
      </c>
      <c r="O651" t="s">
        <v>25</v>
      </c>
      <c r="P651" t="s">
        <v>50</v>
      </c>
      <c r="Q651" t="s">
        <v>33</v>
      </c>
      <c r="R651" t="s">
        <v>46</v>
      </c>
      <c r="S651">
        <v>0.38</v>
      </c>
      <c r="T651" t="s">
        <v>47</v>
      </c>
      <c r="U651">
        <v>17.04</v>
      </c>
      <c r="V651">
        <v>17.009</v>
      </c>
      <c r="W651">
        <v>14.797829999999999</v>
      </c>
      <c r="X651">
        <v>40.69</v>
      </c>
      <c r="Y651">
        <v>145.26144736842105</v>
      </c>
    </row>
    <row r="652" spans="1:25" x14ac:dyDescent="0.35">
      <c r="A652" t="s">
        <v>25</v>
      </c>
      <c r="B652" t="s">
        <v>2104</v>
      </c>
      <c r="C652" t="str">
        <f>VLOOKUP(B652,Tabelle3!A:C,2,FALSE)</f>
        <v>Süd</v>
      </c>
      <c r="D652" t="s">
        <v>27</v>
      </c>
      <c r="E652" t="s">
        <v>2101</v>
      </c>
      <c r="F652" t="s">
        <v>2105</v>
      </c>
      <c r="G652">
        <v>68305</v>
      </c>
      <c r="H652" t="s">
        <v>2010</v>
      </c>
      <c r="I652" t="s">
        <v>2103</v>
      </c>
      <c r="J652" t="s">
        <v>2008</v>
      </c>
      <c r="K652">
        <v>25528</v>
      </c>
      <c r="L652" t="s">
        <v>33</v>
      </c>
      <c r="M652" t="s">
        <v>34</v>
      </c>
      <c r="N652" t="s">
        <v>33</v>
      </c>
      <c r="O652" t="s">
        <v>25</v>
      </c>
      <c r="P652" t="s">
        <v>50</v>
      </c>
      <c r="Q652" t="s">
        <v>33</v>
      </c>
      <c r="R652" t="s">
        <v>46</v>
      </c>
      <c r="S652">
        <v>0.38</v>
      </c>
      <c r="T652" t="s">
        <v>47</v>
      </c>
      <c r="U652">
        <v>28.5</v>
      </c>
      <c r="V652">
        <v>28.448</v>
      </c>
      <c r="W652">
        <v>24.749760000000002</v>
      </c>
      <c r="X652">
        <v>40.69</v>
      </c>
      <c r="Y652">
        <v>145.26144736842105</v>
      </c>
    </row>
    <row r="653" spans="1:25" x14ac:dyDescent="0.35">
      <c r="A653" t="s">
        <v>25</v>
      </c>
      <c r="B653" t="s">
        <v>2106</v>
      </c>
      <c r="C653" t="str">
        <f>VLOOKUP(B653,Tabelle3!A:C,2,FALSE)</f>
        <v>Süd</v>
      </c>
      <c r="D653" t="s">
        <v>27</v>
      </c>
      <c r="E653" t="s">
        <v>2107</v>
      </c>
      <c r="F653" t="s">
        <v>2108</v>
      </c>
      <c r="G653">
        <v>89077</v>
      </c>
      <c r="H653" t="s">
        <v>2109</v>
      </c>
      <c r="I653" t="s">
        <v>2110</v>
      </c>
      <c r="J653" t="s">
        <v>2008</v>
      </c>
      <c r="K653">
        <v>33917</v>
      </c>
      <c r="L653" t="s">
        <v>33</v>
      </c>
      <c r="M653" t="s">
        <v>34</v>
      </c>
      <c r="N653" t="s">
        <v>33</v>
      </c>
      <c r="O653" t="s">
        <v>25</v>
      </c>
      <c r="P653" t="s">
        <v>50</v>
      </c>
      <c r="Q653" t="s">
        <v>33</v>
      </c>
      <c r="R653" t="s">
        <v>46</v>
      </c>
      <c r="S653">
        <v>0.48799999999999999</v>
      </c>
      <c r="T653" t="s">
        <v>2111</v>
      </c>
      <c r="U653">
        <v>15.6</v>
      </c>
      <c r="V653">
        <v>12.6</v>
      </c>
      <c r="W653">
        <v>10.962</v>
      </c>
      <c r="X653">
        <v>40.69</v>
      </c>
      <c r="Y653">
        <v>113.4453893442623</v>
      </c>
    </row>
    <row r="654" spans="1:25" x14ac:dyDescent="0.35">
      <c r="A654" t="s">
        <v>25</v>
      </c>
      <c r="B654" t="s">
        <v>2112</v>
      </c>
      <c r="C654" t="str">
        <f>VLOOKUP(B654,Tabelle3!A:C,2,FALSE)</f>
        <v>Süd</v>
      </c>
      <c r="D654" t="s">
        <v>27</v>
      </c>
      <c r="E654" t="s">
        <v>2107</v>
      </c>
      <c r="F654" t="s">
        <v>2113</v>
      </c>
      <c r="G654">
        <v>89077</v>
      </c>
      <c r="H654" t="s">
        <v>2109</v>
      </c>
      <c r="I654" t="s">
        <v>2110</v>
      </c>
      <c r="J654" t="s">
        <v>2008</v>
      </c>
      <c r="K654">
        <v>44904</v>
      </c>
      <c r="L654" t="s">
        <v>33</v>
      </c>
      <c r="M654" t="s">
        <v>34</v>
      </c>
      <c r="N654" t="s">
        <v>33</v>
      </c>
      <c r="O654" t="s">
        <v>25</v>
      </c>
      <c r="P654" t="s">
        <v>137</v>
      </c>
      <c r="Q654" t="s">
        <v>33</v>
      </c>
      <c r="R654" t="s">
        <v>46</v>
      </c>
      <c r="S654">
        <v>0.63</v>
      </c>
      <c r="T654" t="s">
        <v>37</v>
      </c>
      <c r="U654">
        <v>20.774000000000001</v>
      </c>
      <c r="V654">
        <v>20.542999999999999</v>
      </c>
      <c r="W654">
        <v>17.872409999999999</v>
      </c>
      <c r="X654">
        <v>40.69</v>
      </c>
      <c r="Y654">
        <v>88.213253968253966</v>
      </c>
    </row>
    <row r="655" spans="1:25" x14ac:dyDescent="0.35">
      <c r="A655" t="s">
        <v>25</v>
      </c>
      <c r="B655" t="s">
        <v>2114</v>
      </c>
      <c r="C655" t="str">
        <f>VLOOKUP(B655,Tabelle3!A:C,2,FALSE)</f>
        <v>Süd</v>
      </c>
      <c r="D655" t="s">
        <v>27</v>
      </c>
      <c r="E655" t="s">
        <v>2115</v>
      </c>
      <c r="F655" t="s">
        <v>2116</v>
      </c>
      <c r="G655">
        <v>71063</v>
      </c>
      <c r="H655" t="s">
        <v>2117</v>
      </c>
      <c r="I655" t="s">
        <v>2118</v>
      </c>
      <c r="J655" t="s">
        <v>2008</v>
      </c>
      <c r="K655">
        <v>23055</v>
      </c>
      <c r="L655" t="s">
        <v>33</v>
      </c>
      <c r="M655" t="s">
        <v>34</v>
      </c>
      <c r="N655" t="s">
        <v>33</v>
      </c>
      <c r="O655" t="s">
        <v>25</v>
      </c>
      <c r="P655" t="s">
        <v>82</v>
      </c>
      <c r="Q655" t="s">
        <v>33</v>
      </c>
      <c r="R655" t="s">
        <v>46</v>
      </c>
      <c r="S655">
        <v>0.39929999999999999</v>
      </c>
      <c r="T655" t="s">
        <v>47</v>
      </c>
      <c r="U655">
        <v>18.116</v>
      </c>
      <c r="V655">
        <v>17.21</v>
      </c>
      <c r="W655">
        <v>14.972700000000001</v>
      </c>
      <c r="X655">
        <v>40.69</v>
      </c>
      <c r="Y655">
        <v>138.31279739544203</v>
      </c>
    </row>
    <row r="656" spans="1:25" x14ac:dyDescent="0.35">
      <c r="A656" t="s">
        <v>25</v>
      </c>
      <c r="B656" t="s">
        <v>2119</v>
      </c>
      <c r="C656" t="str">
        <f>VLOOKUP(B656,Tabelle3!A:C,2,FALSE)</f>
        <v>Süd</v>
      </c>
      <c r="D656" t="s">
        <v>27</v>
      </c>
      <c r="E656" t="s">
        <v>2115</v>
      </c>
      <c r="F656" t="s">
        <v>2120</v>
      </c>
      <c r="G656">
        <v>71063</v>
      </c>
      <c r="H656" t="s">
        <v>2117</v>
      </c>
      <c r="I656" t="s">
        <v>2118</v>
      </c>
      <c r="J656" t="s">
        <v>2008</v>
      </c>
      <c r="K656">
        <v>29790</v>
      </c>
      <c r="L656" t="s">
        <v>33</v>
      </c>
      <c r="M656" t="s">
        <v>34</v>
      </c>
      <c r="N656" t="s">
        <v>33</v>
      </c>
      <c r="O656" t="s">
        <v>25</v>
      </c>
      <c r="P656" t="s">
        <v>50</v>
      </c>
      <c r="Q656" t="s">
        <v>33</v>
      </c>
      <c r="R656" t="s">
        <v>46</v>
      </c>
      <c r="S656">
        <v>0.39929999999999999</v>
      </c>
      <c r="T656" t="s">
        <v>47</v>
      </c>
      <c r="U656">
        <v>21.968</v>
      </c>
      <c r="V656">
        <v>19.771000000000001</v>
      </c>
      <c r="W656">
        <v>17.200770000000002</v>
      </c>
      <c r="X656">
        <v>40.69</v>
      </c>
      <c r="Y656">
        <v>138.31279739544203</v>
      </c>
    </row>
    <row r="657" spans="1:25" x14ac:dyDescent="0.35">
      <c r="A657" t="s">
        <v>25</v>
      </c>
      <c r="B657" t="s">
        <v>2121</v>
      </c>
      <c r="C657" t="str">
        <f>VLOOKUP(B657,Tabelle3!A:C,2,FALSE)</f>
        <v>Süd</v>
      </c>
      <c r="D657" t="s">
        <v>27</v>
      </c>
      <c r="E657" t="s">
        <v>2115</v>
      </c>
      <c r="F657" t="s">
        <v>2122</v>
      </c>
      <c r="G657">
        <v>71063</v>
      </c>
      <c r="H657" t="s">
        <v>2117</v>
      </c>
      <c r="I657" t="s">
        <v>2118</v>
      </c>
      <c r="J657" t="s">
        <v>2008</v>
      </c>
      <c r="K657">
        <v>26241</v>
      </c>
      <c r="L657" t="s">
        <v>33</v>
      </c>
      <c r="M657" t="s">
        <v>34</v>
      </c>
      <c r="N657" t="s">
        <v>33</v>
      </c>
      <c r="O657" t="s">
        <v>25</v>
      </c>
      <c r="P657" t="s">
        <v>50</v>
      </c>
      <c r="Q657" t="s">
        <v>33</v>
      </c>
      <c r="R657" t="s">
        <v>46</v>
      </c>
      <c r="S657">
        <v>0.39929999999999999</v>
      </c>
      <c r="T657" t="s">
        <v>47</v>
      </c>
      <c r="U657">
        <v>29.4</v>
      </c>
      <c r="V657">
        <v>27.93</v>
      </c>
      <c r="W657">
        <v>24.299099999999999</v>
      </c>
      <c r="X657">
        <v>40.69</v>
      </c>
      <c r="Y657">
        <v>138.31279739544203</v>
      </c>
    </row>
    <row r="658" spans="1:25" x14ac:dyDescent="0.35">
      <c r="A658" t="s">
        <v>25</v>
      </c>
      <c r="B658" t="s">
        <v>2123</v>
      </c>
      <c r="C658" t="str">
        <f>VLOOKUP(B658,Tabelle3!A:C,2,FALSE)</f>
        <v>Süd</v>
      </c>
      <c r="D658" t="s">
        <v>27</v>
      </c>
      <c r="E658" t="s">
        <v>2115</v>
      </c>
      <c r="F658" t="s">
        <v>2124</v>
      </c>
      <c r="G658">
        <v>71063</v>
      </c>
      <c r="H658" t="s">
        <v>2117</v>
      </c>
      <c r="I658" t="s">
        <v>2125</v>
      </c>
      <c r="J658" t="s">
        <v>2008</v>
      </c>
      <c r="K658">
        <v>41585</v>
      </c>
      <c r="L658" t="s">
        <v>33</v>
      </c>
      <c r="M658" t="s">
        <v>34</v>
      </c>
      <c r="N658" t="s">
        <v>33</v>
      </c>
      <c r="O658" t="s">
        <v>25</v>
      </c>
      <c r="P658" t="s">
        <v>87</v>
      </c>
      <c r="Q658" t="s">
        <v>33</v>
      </c>
      <c r="R658" t="s">
        <v>46</v>
      </c>
      <c r="S658">
        <v>0.39929999999999999</v>
      </c>
      <c r="T658" t="s">
        <v>47</v>
      </c>
      <c r="U658">
        <v>31.516999999999999</v>
      </c>
      <c r="V658">
        <v>29.940999999999999</v>
      </c>
      <c r="W658">
        <v>26.048669999999998</v>
      </c>
      <c r="X658">
        <v>40.69</v>
      </c>
      <c r="Y658">
        <v>138.31279739544203</v>
      </c>
    </row>
    <row r="659" spans="1:25" x14ac:dyDescent="0.35">
      <c r="A659" t="s">
        <v>25</v>
      </c>
      <c r="B659" t="s">
        <v>2126</v>
      </c>
      <c r="C659" t="s">
        <v>4081</v>
      </c>
      <c r="D659" t="s">
        <v>27</v>
      </c>
      <c r="E659" t="s">
        <v>2127</v>
      </c>
      <c r="F659" t="s">
        <v>2128</v>
      </c>
      <c r="G659">
        <v>68199</v>
      </c>
      <c r="H659" t="s">
        <v>2010</v>
      </c>
      <c r="I659" t="s">
        <v>2129</v>
      </c>
      <c r="J659" t="s">
        <v>2008</v>
      </c>
      <c r="K659">
        <v>38712</v>
      </c>
      <c r="L659" t="s">
        <v>92</v>
      </c>
      <c r="N659" t="s">
        <v>92</v>
      </c>
      <c r="O659" t="s">
        <v>25</v>
      </c>
      <c r="P659" t="s">
        <v>50</v>
      </c>
      <c r="Q659" t="s">
        <v>92</v>
      </c>
      <c r="R659" t="s">
        <v>92</v>
      </c>
      <c r="S659">
        <v>0.4375</v>
      </c>
      <c r="T659" t="s">
        <v>47</v>
      </c>
      <c r="U659">
        <v>280</v>
      </c>
      <c r="V659">
        <v>255</v>
      </c>
      <c r="W659">
        <v>204</v>
      </c>
      <c r="X659">
        <v>15.55</v>
      </c>
      <c r="Y659">
        <v>90.262171428571421</v>
      </c>
    </row>
    <row r="660" spans="1:25" x14ac:dyDescent="0.35">
      <c r="A660" t="s">
        <v>44</v>
      </c>
      <c r="B660" t="s">
        <v>2130</v>
      </c>
      <c r="C660" t="s">
        <v>4081</v>
      </c>
      <c r="D660" t="s">
        <v>870</v>
      </c>
      <c r="E660" t="s">
        <v>2127</v>
      </c>
      <c r="F660" t="s">
        <v>2131</v>
      </c>
      <c r="G660">
        <v>68199</v>
      </c>
      <c r="H660" t="s">
        <v>2010</v>
      </c>
      <c r="I660" t="s">
        <v>2129</v>
      </c>
      <c r="J660" t="s">
        <v>2008</v>
      </c>
      <c r="K660">
        <v>30256</v>
      </c>
      <c r="L660" t="s">
        <v>92</v>
      </c>
      <c r="N660" t="s">
        <v>92</v>
      </c>
      <c r="O660" t="s">
        <v>44</v>
      </c>
      <c r="P660" t="s">
        <v>45</v>
      </c>
      <c r="Q660" t="s">
        <v>92</v>
      </c>
      <c r="R660" t="s">
        <v>92</v>
      </c>
      <c r="S660">
        <v>0.41</v>
      </c>
      <c r="T660" t="s">
        <v>2132</v>
      </c>
      <c r="U660">
        <v>475</v>
      </c>
      <c r="V660">
        <v>425</v>
      </c>
      <c r="W660">
        <v>340</v>
      </c>
      <c r="X660">
        <v>15.55</v>
      </c>
      <c r="Y660">
        <v>96.229146341463419</v>
      </c>
    </row>
    <row r="661" spans="1:25" x14ac:dyDescent="0.35">
      <c r="A661" t="s">
        <v>44</v>
      </c>
      <c r="B661" t="s">
        <v>2133</v>
      </c>
      <c r="C661" t="s">
        <v>4081</v>
      </c>
      <c r="D661" t="s">
        <v>870</v>
      </c>
      <c r="E661" t="s">
        <v>2127</v>
      </c>
      <c r="F661" t="s">
        <v>2134</v>
      </c>
      <c r="G661">
        <v>68199</v>
      </c>
      <c r="H661" t="s">
        <v>2010</v>
      </c>
      <c r="I661" t="s">
        <v>2129</v>
      </c>
      <c r="J661" t="s">
        <v>2008</v>
      </c>
      <c r="K661">
        <v>34064</v>
      </c>
      <c r="L661" t="s">
        <v>92</v>
      </c>
      <c r="N661" t="s">
        <v>92</v>
      </c>
      <c r="O661" t="s">
        <v>44</v>
      </c>
      <c r="P661" t="s">
        <v>50</v>
      </c>
      <c r="Q661" t="s">
        <v>92</v>
      </c>
      <c r="R661" t="s">
        <v>92</v>
      </c>
      <c r="S661">
        <v>0.40749999999999997</v>
      </c>
      <c r="T661" t="s">
        <v>47</v>
      </c>
      <c r="U661">
        <v>480</v>
      </c>
      <c r="V661">
        <v>435</v>
      </c>
      <c r="W661">
        <v>348</v>
      </c>
      <c r="X661">
        <v>15.55</v>
      </c>
      <c r="Y661">
        <v>96.811533742331292</v>
      </c>
    </row>
    <row r="662" spans="1:25" x14ac:dyDescent="0.35">
      <c r="A662" t="s">
        <v>25</v>
      </c>
      <c r="B662" t="s">
        <v>2135</v>
      </c>
      <c r="C662" t="s">
        <v>4081</v>
      </c>
      <c r="D662" t="s">
        <v>27</v>
      </c>
      <c r="E662" t="s">
        <v>2127</v>
      </c>
      <c r="F662" t="s">
        <v>2136</v>
      </c>
      <c r="G662">
        <v>68199</v>
      </c>
      <c r="H662" t="s">
        <v>2010</v>
      </c>
      <c r="I662" t="s">
        <v>2129</v>
      </c>
      <c r="J662" t="s">
        <v>2008</v>
      </c>
      <c r="K662">
        <v>42126</v>
      </c>
      <c r="L662" t="s">
        <v>92</v>
      </c>
      <c r="M662" t="s">
        <v>93</v>
      </c>
      <c r="N662" t="s">
        <v>92</v>
      </c>
      <c r="O662" t="s">
        <v>25</v>
      </c>
      <c r="P662" t="s">
        <v>82</v>
      </c>
      <c r="Q662" t="s">
        <v>92</v>
      </c>
      <c r="R662" t="s">
        <v>92</v>
      </c>
      <c r="S662">
        <v>0.46400000000000002</v>
      </c>
      <c r="T662" t="s">
        <v>47</v>
      </c>
      <c r="U662">
        <v>911</v>
      </c>
      <c r="V662">
        <v>868</v>
      </c>
      <c r="W662">
        <v>694.40000000000009</v>
      </c>
      <c r="X662">
        <v>15.55</v>
      </c>
      <c r="Y662">
        <v>85.181357758620692</v>
      </c>
    </row>
    <row r="663" spans="1:25" x14ac:dyDescent="0.35">
      <c r="A663" t="s">
        <v>25</v>
      </c>
      <c r="B663" t="s">
        <v>2137</v>
      </c>
      <c r="C663" t="s">
        <v>4081</v>
      </c>
      <c r="D663" t="s">
        <v>27</v>
      </c>
      <c r="E663" t="s">
        <v>2138</v>
      </c>
      <c r="F663" t="s">
        <v>2139</v>
      </c>
      <c r="G663">
        <v>72359</v>
      </c>
      <c r="H663" t="s">
        <v>2140</v>
      </c>
      <c r="I663" t="s">
        <v>2141</v>
      </c>
      <c r="J663" t="s">
        <v>2008</v>
      </c>
      <c r="K663">
        <v>36526</v>
      </c>
      <c r="L663" t="s">
        <v>60</v>
      </c>
      <c r="M663" t="s">
        <v>644</v>
      </c>
      <c r="N663" t="s">
        <v>60</v>
      </c>
      <c r="O663" t="s">
        <v>44</v>
      </c>
      <c r="P663" t="s">
        <v>71</v>
      </c>
      <c r="Q663" t="s">
        <v>63</v>
      </c>
      <c r="R663" t="s">
        <v>63</v>
      </c>
      <c r="S663">
        <v>0.33</v>
      </c>
      <c r="T663" t="s">
        <v>108</v>
      </c>
      <c r="U663">
        <v>17</v>
      </c>
      <c r="V663">
        <v>15</v>
      </c>
      <c r="W663">
        <v>12.75</v>
      </c>
      <c r="X663">
        <v>95.89</v>
      </c>
      <c r="Y663">
        <v>350.41818181818178</v>
      </c>
    </row>
    <row r="664" spans="1:25" x14ac:dyDescent="0.35">
      <c r="A664" t="s">
        <v>25</v>
      </c>
      <c r="B664" t="s">
        <v>2142</v>
      </c>
      <c r="C664" t="s">
        <v>4081</v>
      </c>
      <c r="D664" t="s">
        <v>27</v>
      </c>
      <c r="E664" t="s">
        <v>2143</v>
      </c>
      <c r="F664" t="s">
        <v>1588</v>
      </c>
      <c r="G664">
        <v>76187</v>
      </c>
      <c r="H664" t="s">
        <v>2071</v>
      </c>
      <c r="I664" t="s">
        <v>2144</v>
      </c>
      <c r="J664" t="s">
        <v>2008</v>
      </c>
      <c r="K664">
        <v>24838</v>
      </c>
      <c r="L664" t="s">
        <v>69</v>
      </c>
      <c r="M664" t="s">
        <v>70</v>
      </c>
      <c r="N664" t="s">
        <v>69</v>
      </c>
      <c r="O664" t="s">
        <v>25</v>
      </c>
      <c r="P664" t="s">
        <v>82</v>
      </c>
      <c r="Q664" t="s">
        <v>71</v>
      </c>
      <c r="R664" t="s">
        <v>71</v>
      </c>
      <c r="S664">
        <v>0.38</v>
      </c>
      <c r="T664" t="s">
        <v>47</v>
      </c>
      <c r="U664">
        <v>20</v>
      </c>
      <c r="V664">
        <v>18</v>
      </c>
      <c r="W664">
        <v>15.299999999999999</v>
      </c>
      <c r="X664">
        <v>95.59</v>
      </c>
      <c r="Y664">
        <v>291.60763157894735</v>
      </c>
    </row>
    <row r="665" spans="1:25" x14ac:dyDescent="0.35">
      <c r="A665" t="s">
        <v>25</v>
      </c>
      <c r="B665" t="s">
        <v>2145</v>
      </c>
      <c r="C665" t="s">
        <v>4081</v>
      </c>
      <c r="D665" t="s">
        <v>27</v>
      </c>
      <c r="E665" t="s">
        <v>2143</v>
      </c>
      <c r="F665" t="s">
        <v>1591</v>
      </c>
      <c r="G665">
        <v>76187</v>
      </c>
      <c r="H665" t="s">
        <v>2071</v>
      </c>
      <c r="I665" t="s">
        <v>2146</v>
      </c>
      <c r="J665" t="s">
        <v>2008</v>
      </c>
      <c r="K665">
        <v>40478</v>
      </c>
      <c r="L665" t="s">
        <v>69</v>
      </c>
      <c r="M665" t="s">
        <v>70</v>
      </c>
      <c r="N665" t="s">
        <v>69</v>
      </c>
      <c r="O665" t="s">
        <v>25</v>
      </c>
      <c r="P665" t="s">
        <v>50</v>
      </c>
      <c r="Q665" t="s">
        <v>71</v>
      </c>
      <c r="R665" t="s">
        <v>71</v>
      </c>
      <c r="S665">
        <v>0.38</v>
      </c>
      <c r="T665" t="s">
        <v>47</v>
      </c>
      <c r="U665">
        <v>20</v>
      </c>
      <c r="V665">
        <v>19</v>
      </c>
      <c r="W665">
        <v>16.149999999999999</v>
      </c>
      <c r="X665">
        <v>95.59</v>
      </c>
      <c r="Y665">
        <v>291.60763157894735</v>
      </c>
    </row>
    <row r="666" spans="1:25" x14ac:dyDescent="0.35">
      <c r="A666" t="s">
        <v>25</v>
      </c>
      <c r="B666" t="s">
        <v>2147</v>
      </c>
      <c r="C666" t="s">
        <v>4081</v>
      </c>
      <c r="D666" t="s">
        <v>27</v>
      </c>
      <c r="E666" t="s">
        <v>2143</v>
      </c>
      <c r="F666" t="s">
        <v>1506</v>
      </c>
      <c r="G666">
        <v>76187</v>
      </c>
      <c r="H666" t="s">
        <v>2071</v>
      </c>
      <c r="I666" t="s">
        <v>2144</v>
      </c>
      <c r="J666" t="s">
        <v>2008</v>
      </c>
      <c r="K666">
        <v>44063</v>
      </c>
      <c r="L666" t="s">
        <v>69</v>
      </c>
      <c r="M666" t="s">
        <v>70</v>
      </c>
      <c r="N666" t="s">
        <v>69</v>
      </c>
      <c r="O666" t="s">
        <v>25</v>
      </c>
      <c r="P666" t="s">
        <v>82</v>
      </c>
      <c r="Q666" t="s">
        <v>71</v>
      </c>
      <c r="R666" t="s">
        <v>71</v>
      </c>
      <c r="S666">
        <v>0.38</v>
      </c>
      <c r="T666" t="s">
        <v>47</v>
      </c>
      <c r="U666">
        <v>57.3</v>
      </c>
      <c r="V666">
        <v>54</v>
      </c>
      <c r="W666">
        <v>45.9</v>
      </c>
      <c r="X666">
        <v>95.59</v>
      </c>
      <c r="Y666">
        <v>291.60763157894735</v>
      </c>
    </row>
    <row r="667" spans="1:25" x14ac:dyDescent="0.35">
      <c r="A667" t="s">
        <v>25</v>
      </c>
      <c r="B667" t="s">
        <v>2148</v>
      </c>
      <c r="C667" t="s">
        <v>4081</v>
      </c>
      <c r="D667" t="s">
        <v>27</v>
      </c>
      <c r="E667" t="s">
        <v>2149</v>
      </c>
      <c r="F667" t="s">
        <v>2150</v>
      </c>
      <c r="G667">
        <v>76187</v>
      </c>
      <c r="H667" t="s">
        <v>2071</v>
      </c>
      <c r="I667" t="s">
        <v>2151</v>
      </c>
      <c r="J667" t="s">
        <v>2008</v>
      </c>
      <c r="K667">
        <v>34867</v>
      </c>
      <c r="L667" t="s">
        <v>60</v>
      </c>
      <c r="M667" t="s">
        <v>1152</v>
      </c>
      <c r="N667" t="s">
        <v>60</v>
      </c>
      <c r="O667" t="s">
        <v>25</v>
      </c>
      <c r="P667" t="s">
        <v>82</v>
      </c>
      <c r="Q667" t="s">
        <v>63</v>
      </c>
      <c r="R667" t="s">
        <v>63</v>
      </c>
      <c r="S667">
        <v>0.3795</v>
      </c>
      <c r="T667" t="s">
        <v>47</v>
      </c>
      <c r="U667">
        <v>12.5</v>
      </c>
      <c r="V667">
        <v>11.3</v>
      </c>
      <c r="W667">
        <v>9.6050000000000004</v>
      </c>
      <c r="X667">
        <v>95.89</v>
      </c>
      <c r="Y667">
        <v>304.84189723320162</v>
      </c>
    </row>
    <row r="668" spans="1:25" x14ac:dyDescent="0.35">
      <c r="A668" t="s">
        <v>25</v>
      </c>
      <c r="B668" t="s">
        <v>2152</v>
      </c>
      <c r="C668" t="s">
        <v>4081</v>
      </c>
      <c r="D668" t="s">
        <v>27</v>
      </c>
      <c r="E668" t="s">
        <v>2149</v>
      </c>
      <c r="F668" t="s">
        <v>2153</v>
      </c>
      <c r="G668">
        <v>76187</v>
      </c>
      <c r="H668" t="s">
        <v>2071</v>
      </c>
      <c r="I668" t="s">
        <v>2151</v>
      </c>
      <c r="J668" t="s">
        <v>2008</v>
      </c>
      <c r="K668">
        <v>34867</v>
      </c>
      <c r="L668" t="s">
        <v>60</v>
      </c>
      <c r="M668" t="s">
        <v>1152</v>
      </c>
      <c r="N668" t="s">
        <v>60</v>
      </c>
      <c r="O668" t="s">
        <v>25</v>
      </c>
      <c r="P668" t="s">
        <v>82</v>
      </c>
      <c r="Q668" t="s">
        <v>63</v>
      </c>
      <c r="R668" t="s">
        <v>63</v>
      </c>
      <c r="S668">
        <v>0.3795</v>
      </c>
      <c r="T668" t="s">
        <v>47</v>
      </c>
      <c r="U668">
        <v>12.5</v>
      </c>
      <c r="V668">
        <v>11.3</v>
      </c>
      <c r="W668">
        <v>9.6050000000000004</v>
      </c>
      <c r="X668">
        <v>95.89</v>
      </c>
      <c r="Y668">
        <v>304.84189723320162</v>
      </c>
    </row>
    <row r="669" spans="1:25" x14ac:dyDescent="0.35">
      <c r="A669" t="s">
        <v>25</v>
      </c>
      <c r="B669" t="s">
        <v>2154</v>
      </c>
      <c r="C669" t="s">
        <v>4081</v>
      </c>
      <c r="D669" t="s">
        <v>27</v>
      </c>
      <c r="E669" t="s">
        <v>2149</v>
      </c>
      <c r="F669" t="s">
        <v>2155</v>
      </c>
      <c r="G669">
        <v>76187</v>
      </c>
      <c r="H669" t="s">
        <v>2071</v>
      </c>
      <c r="I669" t="s">
        <v>2151</v>
      </c>
      <c r="J669" t="s">
        <v>2008</v>
      </c>
      <c r="K669">
        <v>34867</v>
      </c>
      <c r="L669" t="s">
        <v>60</v>
      </c>
      <c r="M669" t="s">
        <v>1152</v>
      </c>
      <c r="N669" t="s">
        <v>60</v>
      </c>
      <c r="O669" t="s">
        <v>25</v>
      </c>
      <c r="P669" t="s">
        <v>82</v>
      </c>
      <c r="Q669" t="s">
        <v>63</v>
      </c>
      <c r="R669" t="s">
        <v>63</v>
      </c>
      <c r="S669">
        <v>0.3795</v>
      </c>
      <c r="T669" t="s">
        <v>47</v>
      </c>
      <c r="U669">
        <v>14</v>
      </c>
      <c r="V669">
        <v>12.7</v>
      </c>
      <c r="W669">
        <v>10.795</v>
      </c>
      <c r="X669">
        <v>95.89</v>
      </c>
      <c r="Y669">
        <v>304.84189723320162</v>
      </c>
    </row>
    <row r="670" spans="1:25" x14ac:dyDescent="0.35">
      <c r="A670" t="s">
        <v>25</v>
      </c>
      <c r="B670" t="s">
        <v>2156</v>
      </c>
      <c r="C670" t="s">
        <v>4081</v>
      </c>
      <c r="D670" t="s">
        <v>27</v>
      </c>
      <c r="E670" t="s">
        <v>2149</v>
      </c>
      <c r="F670" t="s">
        <v>2157</v>
      </c>
      <c r="G670">
        <v>76187</v>
      </c>
      <c r="H670" t="s">
        <v>2071</v>
      </c>
      <c r="I670" t="s">
        <v>2151</v>
      </c>
      <c r="J670" t="s">
        <v>2008</v>
      </c>
      <c r="K670">
        <v>34867</v>
      </c>
      <c r="L670" t="s">
        <v>60</v>
      </c>
      <c r="M670" t="s">
        <v>1152</v>
      </c>
      <c r="N670" t="s">
        <v>60</v>
      </c>
      <c r="O670" t="s">
        <v>25</v>
      </c>
      <c r="P670" t="s">
        <v>82</v>
      </c>
      <c r="Q670" t="s">
        <v>63</v>
      </c>
      <c r="R670" t="s">
        <v>63</v>
      </c>
      <c r="S670">
        <v>0.3795</v>
      </c>
      <c r="T670" t="s">
        <v>47</v>
      </c>
      <c r="U670">
        <v>14</v>
      </c>
      <c r="V670">
        <v>12.7</v>
      </c>
      <c r="W670">
        <v>10.795</v>
      </c>
      <c r="X670">
        <v>95.89</v>
      </c>
      <c r="Y670">
        <v>304.84189723320162</v>
      </c>
    </row>
    <row r="671" spans="1:25" x14ac:dyDescent="0.35">
      <c r="A671" t="s">
        <v>25</v>
      </c>
      <c r="B671" t="s">
        <v>2158</v>
      </c>
      <c r="C671" t="s">
        <v>4081</v>
      </c>
      <c r="D671" t="s">
        <v>27</v>
      </c>
      <c r="E671" t="s">
        <v>2149</v>
      </c>
      <c r="F671" t="s">
        <v>2159</v>
      </c>
      <c r="G671">
        <v>76187</v>
      </c>
      <c r="H671" t="s">
        <v>2071</v>
      </c>
      <c r="I671" t="s">
        <v>2151</v>
      </c>
      <c r="J671" t="s">
        <v>2008</v>
      </c>
      <c r="K671">
        <v>34867</v>
      </c>
      <c r="L671" t="s">
        <v>60</v>
      </c>
      <c r="M671" t="s">
        <v>1152</v>
      </c>
      <c r="N671" t="s">
        <v>60</v>
      </c>
      <c r="O671" t="s">
        <v>25</v>
      </c>
      <c r="P671" t="s">
        <v>50</v>
      </c>
      <c r="Q671" t="s">
        <v>63</v>
      </c>
      <c r="R671" t="s">
        <v>63</v>
      </c>
      <c r="S671">
        <v>0.3795</v>
      </c>
      <c r="T671" t="s">
        <v>47</v>
      </c>
      <c r="U671">
        <v>15</v>
      </c>
      <c r="V671">
        <v>13.5</v>
      </c>
      <c r="W671">
        <v>11.475</v>
      </c>
      <c r="X671">
        <v>95.89</v>
      </c>
      <c r="Y671">
        <v>304.84189723320162</v>
      </c>
    </row>
    <row r="672" spans="1:25" x14ac:dyDescent="0.35">
      <c r="A672" t="s">
        <v>25</v>
      </c>
      <c r="B672" t="s">
        <v>2160</v>
      </c>
      <c r="C672" t="s">
        <v>4081</v>
      </c>
      <c r="D672" t="s">
        <v>27</v>
      </c>
      <c r="E672" t="s">
        <v>2149</v>
      </c>
      <c r="F672" t="s">
        <v>2161</v>
      </c>
      <c r="G672">
        <v>76187</v>
      </c>
      <c r="H672" t="s">
        <v>2071</v>
      </c>
      <c r="I672" t="s">
        <v>2151</v>
      </c>
      <c r="J672" t="s">
        <v>2008</v>
      </c>
      <c r="K672">
        <v>34867</v>
      </c>
      <c r="L672" t="s">
        <v>60</v>
      </c>
      <c r="M672" t="s">
        <v>644</v>
      </c>
      <c r="N672" t="s">
        <v>60</v>
      </c>
      <c r="O672" t="s">
        <v>44</v>
      </c>
      <c r="P672" t="s">
        <v>71</v>
      </c>
      <c r="Q672" t="s">
        <v>63</v>
      </c>
      <c r="R672" t="s">
        <v>63</v>
      </c>
      <c r="S672">
        <v>0.3795</v>
      </c>
      <c r="T672" t="s">
        <v>47</v>
      </c>
      <c r="U672">
        <v>19</v>
      </c>
      <c r="V672">
        <v>18.899999999999999</v>
      </c>
      <c r="W672">
        <v>16.064999999999998</v>
      </c>
      <c r="X672">
        <v>95.89</v>
      </c>
      <c r="Y672">
        <v>304.84189723320162</v>
      </c>
    </row>
    <row r="673" spans="1:25" x14ac:dyDescent="0.35">
      <c r="A673" t="s">
        <v>25</v>
      </c>
      <c r="B673" t="s">
        <v>2162</v>
      </c>
      <c r="C673" t="str">
        <f>VLOOKUP(B673,Tabelle3!A:C,2,FALSE)</f>
        <v>Süd</v>
      </c>
      <c r="D673" t="s">
        <v>27</v>
      </c>
      <c r="E673" t="s">
        <v>395</v>
      </c>
      <c r="F673" t="s">
        <v>2163</v>
      </c>
      <c r="G673">
        <v>68169</v>
      </c>
      <c r="H673" t="s">
        <v>2010</v>
      </c>
      <c r="I673" t="s">
        <v>2011</v>
      </c>
      <c r="J673" t="s">
        <v>2008</v>
      </c>
      <c r="K673">
        <v>40185</v>
      </c>
      <c r="L673" t="s">
        <v>171</v>
      </c>
      <c r="M673" t="s">
        <v>172</v>
      </c>
      <c r="N673" t="s">
        <v>173</v>
      </c>
      <c r="O673" t="s">
        <v>25</v>
      </c>
      <c r="P673" t="s">
        <v>82</v>
      </c>
      <c r="Q673" t="s">
        <v>173</v>
      </c>
      <c r="R673" t="s">
        <v>173</v>
      </c>
      <c r="S673">
        <v>0.33</v>
      </c>
      <c r="T673" t="s">
        <v>47</v>
      </c>
      <c r="U673">
        <v>27.6</v>
      </c>
      <c r="V673">
        <v>25.6</v>
      </c>
      <c r="W673">
        <v>21.76</v>
      </c>
      <c r="X673">
        <v>0</v>
      </c>
      <c r="Y673">
        <v>1</v>
      </c>
    </row>
    <row r="674" spans="1:25" x14ac:dyDescent="0.35">
      <c r="A674" t="s">
        <v>25</v>
      </c>
      <c r="B674" t="s">
        <v>2164</v>
      </c>
      <c r="C674" t="str">
        <f>VLOOKUP(B674,Tabelle3!A:C,2,FALSE)</f>
        <v>Süd</v>
      </c>
      <c r="D674" t="s">
        <v>27</v>
      </c>
      <c r="E674" t="s">
        <v>1059</v>
      </c>
      <c r="F674" t="s">
        <v>2165</v>
      </c>
      <c r="G674">
        <v>73432</v>
      </c>
      <c r="H674" t="s">
        <v>2166</v>
      </c>
      <c r="I674" t="s">
        <v>2167</v>
      </c>
      <c r="J674" t="s">
        <v>2008</v>
      </c>
      <c r="K674">
        <v>44503</v>
      </c>
      <c r="L674" t="s">
        <v>33</v>
      </c>
      <c r="M674" t="s">
        <v>34</v>
      </c>
      <c r="N674" t="s">
        <v>33</v>
      </c>
      <c r="O674" t="s">
        <v>25</v>
      </c>
      <c r="P674" t="s">
        <v>35</v>
      </c>
      <c r="Q674" t="s">
        <v>33</v>
      </c>
      <c r="R674" t="s">
        <v>36</v>
      </c>
      <c r="S674">
        <v>0.47</v>
      </c>
      <c r="T674" t="s">
        <v>37</v>
      </c>
      <c r="U674">
        <v>79.19</v>
      </c>
      <c r="V674">
        <v>78.302000000000007</v>
      </c>
      <c r="W674">
        <v>68.122740000000007</v>
      </c>
      <c r="X674">
        <v>40.69</v>
      </c>
      <c r="Y674">
        <v>117.2326595744681</v>
      </c>
    </row>
    <row r="675" spans="1:25" x14ac:dyDescent="0.35">
      <c r="A675" t="s">
        <v>25</v>
      </c>
      <c r="B675" t="s">
        <v>2168</v>
      </c>
      <c r="C675" t="str">
        <f>VLOOKUP(B675,Tabelle3!A:C,2,FALSE)</f>
        <v>Süd</v>
      </c>
      <c r="D675" t="s">
        <v>27</v>
      </c>
      <c r="E675" t="s">
        <v>2169</v>
      </c>
      <c r="F675" t="s">
        <v>2170</v>
      </c>
      <c r="G675">
        <v>76189</v>
      </c>
      <c r="H675" t="s">
        <v>2071</v>
      </c>
      <c r="I675" t="s">
        <v>2171</v>
      </c>
      <c r="J675" t="s">
        <v>2008</v>
      </c>
      <c r="K675">
        <v>30713</v>
      </c>
      <c r="L675" t="s">
        <v>33</v>
      </c>
      <c r="M675" t="s">
        <v>34</v>
      </c>
      <c r="N675" t="s">
        <v>33</v>
      </c>
      <c r="O675" t="s">
        <v>25</v>
      </c>
      <c r="P675" t="s">
        <v>50</v>
      </c>
      <c r="Q675" t="s">
        <v>33</v>
      </c>
      <c r="R675" t="s">
        <v>46</v>
      </c>
      <c r="S675">
        <v>0.3674</v>
      </c>
      <c r="T675" t="s">
        <v>47</v>
      </c>
      <c r="U675">
        <v>42</v>
      </c>
      <c r="V675">
        <v>33</v>
      </c>
      <c r="W675">
        <v>28.71</v>
      </c>
      <c r="X675">
        <v>40.69</v>
      </c>
      <c r="Y675">
        <v>150.19175285792051</v>
      </c>
    </row>
    <row r="676" spans="1:25" x14ac:dyDescent="0.35">
      <c r="A676" t="s">
        <v>25</v>
      </c>
      <c r="B676" t="s">
        <v>2172</v>
      </c>
      <c r="C676" t="str">
        <f>VLOOKUP(B676,Tabelle3!A:C,2,FALSE)</f>
        <v>Süd</v>
      </c>
      <c r="D676" t="s">
        <v>27</v>
      </c>
      <c r="E676" t="s">
        <v>2173</v>
      </c>
      <c r="F676" t="s">
        <v>2174</v>
      </c>
      <c r="G676">
        <v>75175</v>
      </c>
      <c r="H676" t="s">
        <v>2175</v>
      </c>
      <c r="I676" t="s">
        <v>2176</v>
      </c>
      <c r="J676" t="s">
        <v>2008</v>
      </c>
      <c r="K676">
        <v>44362</v>
      </c>
      <c r="L676" t="s">
        <v>33</v>
      </c>
      <c r="M676" t="s">
        <v>34</v>
      </c>
      <c r="N676" t="s">
        <v>33</v>
      </c>
      <c r="O676" t="s">
        <v>25</v>
      </c>
      <c r="P676" t="s">
        <v>137</v>
      </c>
      <c r="Q676" t="s">
        <v>33</v>
      </c>
      <c r="R676" t="s">
        <v>46</v>
      </c>
      <c r="S676">
        <v>0.45</v>
      </c>
      <c r="T676" t="s">
        <v>2177</v>
      </c>
      <c r="U676">
        <v>10.387</v>
      </c>
      <c r="V676">
        <v>10.285</v>
      </c>
      <c r="W676">
        <v>8.9479500000000005</v>
      </c>
      <c r="X676">
        <v>40.69</v>
      </c>
      <c r="Y676">
        <v>122.89855555555555</v>
      </c>
    </row>
    <row r="677" spans="1:25" x14ac:dyDescent="0.35">
      <c r="A677" t="s">
        <v>25</v>
      </c>
      <c r="B677" t="s">
        <v>2178</v>
      </c>
      <c r="C677" t="str">
        <f>VLOOKUP(B677,Tabelle3!A:C,2,FALSE)</f>
        <v>Süd</v>
      </c>
      <c r="D677" t="s">
        <v>27</v>
      </c>
      <c r="E677" t="s">
        <v>2173</v>
      </c>
      <c r="F677" t="s">
        <v>2179</v>
      </c>
      <c r="G677">
        <v>75175</v>
      </c>
      <c r="H677" t="s">
        <v>2175</v>
      </c>
      <c r="I677" t="s">
        <v>2176</v>
      </c>
      <c r="J677" t="s">
        <v>2008</v>
      </c>
      <c r="K677">
        <v>44362</v>
      </c>
      <c r="L677" t="s">
        <v>33</v>
      </c>
      <c r="M677" t="s">
        <v>34</v>
      </c>
      <c r="N677" t="s">
        <v>33</v>
      </c>
      <c r="O677" t="s">
        <v>25</v>
      </c>
      <c r="P677" t="s">
        <v>137</v>
      </c>
      <c r="Q677" t="s">
        <v>33</v>
      </c>
      <c r="R677" t="s">
        <v>46</v>
      </c>
      <c r="S677">
        <v>0.45</v>
      </c>
      <c r="T677" t="s">
        <v>2177</v>
      </c>
      <c r="U677">
        <v>10.387</v>
      </c>
      <c r="V677">
        <v>10.285</v>
      </c>
      <c r="W677">
        <v>8.9479500000000005</v>
      </c>
      <c r="X677">
        <v>40.69</v>
      </c>
      <c r="Y677">
        <v>122.89855555555555</v>
      </c>
    </row>
    <row r="678" spans="1:25" x14ac:dyDescent="0.35">
      <c r="A678" t="s">
        <v>25</v>
      </c>
      <c r="B678" t="s">
        <v>2180</v>
      </c>
      <c r="C678" t="str">
        <f>VLOOKUP(B678,Tabelle3!A:C,2,FALSE)</f>
        <v>Süd</v>
      </c>
      <c r="D678" t="s">
        <v>27</v>
      </c>
      <c r="E678" t="s">
        <v>2173</v>
      </c>
      <c r="F678" t="s">
        <v>2181</v>
      </c>
      <c r="G678">
        <v>75175</v>
      </c>
      <c r="H678" t="s">
        <v>2175</v>
      </c>
      <c r="I678" t="s">
        <v>2176</v>
      </c>
      <c r="J678" t="s">
        <v>2008</v>
      </c>
      <c r="K678">
        <v>44362</v>
      </c>
      <c r="L678" t="s">
        <v>33</v>
      </c>
      <c r="M678" t="s">
        <v>34</v>
      </c>
      <c r="N678" t="s">
        <v>33</v>
      </c>
      <c r="O678" t="s">
        <v>25</v>
      </c>
      <c r="P678" t="s">
        <v>137</v>
      </c>
      <c r="Q678" t="s">
        <v>33</v>
      </c>
      <c r="R678" t="s">
        <v>46</v>
      </c>
      <c r="S678">
        <v>0.45</v>
      </c>
      <c r="T678" t="s">
        <v>2177</v>
      </c>
      <c r="U678">
        <v>10.387</v>
      </c>
      <c r="V678">
        <v>10.285</v>
      </c>
      <c r="W678">
        <v>8.9479500000000005</v>
      </c>
      <c r="X678">
        <v>40.69</v>
      </c>
      <c r="Y678">
        <v>122.89855555555555</v>
      </c>
    </row>
    <row r="679" spans="1:25" x14ac:dyDescent="0.35">
      <c r="A679" t="s">
        <v>25</v>
      </c>
      <c r="B679" t="s">
        <v>2182</v>
      </c>
      <c r="C679" t="str">
        <f>VLOOKUP(B679,Tabelle3!A:C,2,FALSE)</f>
        <v>Süd</v>
      </c>
      <c r="D679" t="s">
        <v>27</v>
      </c>
      <c r="E679" t="s">
        <v>2173</v>
      </c>
      <c r="F679" t="s">
        <v>2183</v>
      </c>
      <c r="G679">
        <v>75175</v>
      </c>
      <c r="H679" t="s">
        <v>2175</v>
      </c>
      <c r="I679" t="s">
        <v>2176</v>
      </c>
      <c r="J679" t="s">
        <v>2008</v>
      </c>
      <c r="K679">
        <v>44362</v>
      </c>
      <c r="L679" t="s">
        <v>33</v>
      </c>
      <c r="M679" t="s">
        <v>34</v>
      </c>
      <c r="N679" t="s">
        <v>33</v>
      </c>
      <c r="O679" t="s">
        <v>25</v>
      </c>
      <c r="P679" t="s">
        <v>137</v>
      </c>
      <c r="Q679" t="s">
        <v>33</v>
      </c>
      <c r="R679" t="s">
        <v>46</v>
      </c>
      <c r="S679">
        <v>0.45</v>
      </c>
      <c r="T679" t="s">
        <v>2177</v>
      </c>
      <c r="U679">
        <v>10.387</v>
      </c>
      <c r="V679">
        <v>10.285</v>
      </c>
      <c r="W679">
        <v>8.9479500000000005</v>
      </c>
      <c r="X679">
        <v>40.69</v>
      </c>
      <c r="Y679">
        <v>122.89855555555555</v>
      </c>
    </row>
    <row r="680" spans="1:25" x14ac:dyDescent="0.35">
      <c r="A680" t="s">
        <v>25</v>
      </c>
      <c r="B680" t="s">
        <v>2184</v>
      </c>
      <c r="C680" t="str">
        <f>VLOOKUP(B680,Tabelle3!A:C,2,FALSE)</f>
        <v>Süd</v>
      </c>
      <c r="D680" t="s">
        <v>27</v>
      </c>
      <c r="E680" t="s">
        <v>2173</v>
      </c>
      <c r="F680" t="s">
        <v>2185</v>
      </c>
      <c r="G680">
        <v>75175</v>
      </c>
      <c r="H680" t="s">
        <v>2175</v>
      </c>
      <c r="I680" t="s">
        <v>2176</v>
      </c>
      <c r="J680" t="s">
        <v>2008</v>
      </c>
      <c r="K680">
        <v>44362</v>
      </c>
      <c r="L680" t="s">
        <v>33</v>
      </c>
      <c r="M680" t="s">
        <v>34</v>
      </c>
      <c r="N680" t="s">
        <v>33</v>
      </c>
      <c r="O680" t="s">
        <v>25</v>
      </c>
      <c r="P680" t="s">
        <v>137</v>
      </c>
      <c r="Q680" t="s">
        <v>33</v>
      </c>
      <c r="R680" t="s">
        <v>46</v>
      </c>
      <c r="S680">
        <v>0.45</v>
      </c>
      <c r="T680" t="s">
        <v>2177</v>
      </c>
      <c r="U680">
        <v>10.387</v>
      </c>
      <c r="V680">
        <v>10.285</v>
      </c>
      <c r="W680">
        <v>8.9479500000000005</v>
      </c>
      <c r="X680">
        <v>40.69</v>
      </c>
      <c r="Y680">
        <v>122.89855555555555</v>
      </c>
    </row>
    <row r="681" spans="1:25" x14ac:dyDescent="0.35">
      <c r="A681" t="s">
        <v>25</v>
      </c>
      <c r="B681" t="s">
        <v>2186</v>
      </c>
      <c r="C681" t="str">
        <f>VLOOKUP(B681,Tabelle3!A:C,2,FALSE)</f>
        <v>Süd</v>
      </c>
      <c r="D681" t="s">
        <v>27</v>
      </c>
      <c r="E681" t="s">
        <v>2187</v>
      </c>
      <c r="F681" t="s">
        <v>2188</v>
      </c>
      <c r="G681">
        <v>70569</v>
      </c>
      <c r="H681" t="s">
        <v>2044</v>
      </c>
      <c r="I681" t="s">
        <v>2189</v>
      </c>
      <c r="J681" t="s">
        <v>2008</v>
      </c>
      <c r="K681">
        <v>25204</v>
      </c>
      <c r="L681" t="s">
        <v>33</v>
      </c>
      <c r="M681" t="s">
        <v>34</v>
      </c>
      <c r="N681" t="s">
        <v>33</v>
      </c>
      <c r="O681" t="s">
        <v>25</v>
      </c>
      <c r="P681" t="s">
        <v>50</v>
      </c>
      <c r="Q681" t="s">
        <v>33</v>
      </c>
      <c r="R681" t="s">
        <v>46</v>
      </c>
      <c r="S681">
        <v>0.35089999999999999</v>
      </c>
      <c r="T681" t="s">
        <v>47</v>
      </c>
      <c r="U681">
        <v>12.1</v>
      </c>
      <c r="V681">
        <v>11.3</v>
      </c>
      <c r="W681">
        <v>9.8310000000000013</v>
      </c>
      <c r="X681">
        <v>40.69</v>
      </c>
      <c r="Y681">
        <v>157.18352807067541</v>
      </c>
    </row>
    <row r="682" spans="1:25" x14ac:dyDescent="0.35">
      <c r="A682" t="s">
        <v>25</v>
      </c>
      <c r="B682" t="s">
        <v>2190</v>
      </c>
      <c r="C682" t="str">
        <f>VLOOKUP(B682,Tabelle3!A:C,2,FALSE)</f>
        <v>Süd</v>
      </c>
      <c r="D682" t="s">
        <v>27</v>
      </c>
      <c r="E682" t="s">
        <v>2187</v>
      </c>
      <c r="F682" t="s">
        <v>2191</v>
      </c>
      <c r="G682">
        <v>70569</v>
      </c>
      <c r="H682" t="s">
        <v>2044</v>
      </c>
      <c r="I682" t="s">
        <v>2189</v>
      </c>
      <c r="J682" t="s">
        <v>2008</v>
      </c>
      <c r="K682">
        <v>24838</v>
      </c>
      <c r="L682" t="s">
        <v>33</v>
      </c>
      <c r="M682" t="s">
        <v>34</v>
      </c>
      <c r="N682" t="s">
        <v>33</v>
      </c>
      <c r="O682" t="s">
        <v>25</v>
      </c>
      <c r="P682" t="s">
        <v>50</v>
      </c>
      <c r="Q682" t="s">
        <v>33</v>
      </c>
      <c r="R682" t="s">
        <v>46</v>
      </c>
      <c r="S682">
        <v>0.3498</v>
      </c>
      <c r="T682" t="s">
        <v>47</v>
      </c>
      <c r="U682">
        <v>12.4</v>
      </c>
      <c r="V682">
        <v>11.6</v>
      </c>
      <c r="W682">
        <v>10.092000000000001</v>
      </c>
      <c r="X682">
        <v>40.69</v>
      </c>
      <c r="Y682">
        <v>157.67309891366494</v>
      </c>
    </row>
    <row r="683" spans="1:25" x14ac:dyDescent="0.35">
      <c r="A683" t="s">
        <v>25</v>
      </c>
      <c r="B683" t="s">
        <v>2192</v>
      </c>
      <c r="C683" t="str">
        <f>VLOOKUP(B683,Tabelle3!A:C,2,FALSE)</f>
        <v>Süd</v>
      </c>
      <c r="D683" t="s">
        <v>27</v>
      </c>
      <c r="E683" t="s">
        <v>2193</v>
      </c>
      <c r="F683" t="s">
        <v>2194</v>
      </c>
      <c r="G683">
        <v>69120</v>
      </c>
      <c r="H683" t="s">
        <v>2195</v>
      </c>
      <c r="I683" t="s">
        <v>2196</v>
      </c>
      <c r="J683" t="s">
        <v>2008</v>
      </c>
      <c r="K683">
        <v>37246</v>
      </c>
      <c r="L683" t="s">
        <v>33</v>
      </c>
      <c r="M683" t="s">
        <v>34</v>
      </c>
      <c r="N683" t="s">
        <v>33</v>
      </c>
      <c r="O683" t="s">
        <v>25</v>
      </c>
      <c r="P683" t="s">
        <v>87</v>
      </c>
      <c r="Q683" t="s">
        <v>33</v>
      </c>
      <c r="R683" t="s">
        <v>46</v>
      </c>
      <c r="S683">
        <v>0.3861</v>
      </c>
      <c r="T683" t="s">
        <v>47</v>
      </c>
      <c r="U683">
        <v>15</v>
      </c>
      <c r="V683">
        <v>13.288</v>
      </c>
      <c r="W683">
        <v>11.560560000000001</v>
      </c>
      <c r="X683">
        <v>40.69</v>
      </c>
      <c r="Y683">
        <v>142.99015799015797</v>
      </c>
    </row>
    <row r="684" spans="1:25" x14ac:dyDescent="0.35">
      <c r="A684" t="s">
        <v>25</v>
      </c>
      <c r="B684" t="s">
        <v>2197</v>
      </c>
      <c r="C684" t="str">
        <f>VLOOKUP(B684,Tabelle3!A:C,2,FALSE)</f>
        <v>Süd</v>
      </c>
      <c r="D684" t="s">
        <v>27</v>
      </c>
      <c r="E684" t="s">
        <v>2198</v>
      </c>
      <c r="F684" t="s">
        <v>2199</v>
      </c>
      <c r="G684">
        <v>79106</v>
      </c>
      <c r="H684" t="s">
        <v>2015</v>
      </c>
      <c r="I684" t="s">
        <v>2200</v>
      </c>
      <c r="J684" t="s">
        <v>2008</v>
      </c>
      <c r="K684">
        <v>41244</v>
      </c>
      <c r="L684" t="s">
        <v>33</v>
      </c>
      <c r="M684" t="s">
        <v>34</v>
      </c>
      <c r="N684" t="s">
        <v>33</v>
      </c>
      <c r="O684" t="s">
        <v>25</v>
      </c>
      <c r="P684" t="s">
        <v>50</v>
      </c>
      <c r="Q684" t="s">
        <v>33</v>
      </c>
      <c r="R684" t="s">
        <v>46</v>
      </c>
      <c r="S684">
        <v>0.3861</v>
      </c>
      <c r="T684" t="s">
        <v>47</v>
      </c>
      <c r="U684">
        <v>12.988</v>
      </c>
      <c r="V684">
        <v>12.8</v>
      </c>
      <c r="W684">
        <v>11.136000000000001</v>
      </c>
      <c r="X684">
        <v>40.69</v>
      </c>
      <c r="Y684">
        <v>142.99015799015797</v>
      </c>
    </row>
    <row r="685" spans="1:25" x14ac:dyDescent="0.35">
      <c r="A685" t="s">
        <v>25</v>
      </c>
      <c r="B685" t="s">
        <v>2201</v>
      </c>
      <c r="C685" t="str">
        <f>VLOOKUP(B685,Tabelle3!A:C,2,FALSE)</f>
        <v>Süd</v>
      </c>
      <c r="D685" t="s">
        <v>27</v>
      </c>
      <c r="E685" t="s">
        <v>2202</v>
      </c>
      <c r="F685" t="s">
        <v>2203</v>
      </c>
      <c r="G685">
        <v>71032</v>
      </c>
      <c r="H685" t="s">
        <v>2204</v>
      </c>
      <c r="I685" t="s">
        <v>2205</v>
      </c>
      <c r="J685" t="s">
        <v>2008</v>
      </c>
      <c r="K685">
        <v>36281</v>
      </c>
      <c r="L685" t="s">
        <v>69</v>
      </c>
      <c r="M685" t="s">
        <v>70</v>
      </c>
      <c r="N685" t="s">
        <v>69</v>
      </c>
      <c r="O685" t="s">
        <v>25</v>
      </c>
      <c r="P685" t="s">
        <v>82</v>
      </c>
      <c r="Q685" t="s">
        <v>71</v>
      </c>
      <c r="R685" t="s">
        <v>71</v>
      </c>
      <c r="S685">
        <v>0.33</v>
      </c>
      <c r="T685" t="s">
        <v>47</v>
      </c>
      <c r="U685">
        <v>13</v>
      </c>
      <c r="V685">
        <v>12.6</v>
      </c>
      <c r="W685">
        <v>10.709999999999999</v>
      </c>
      <c r="X685">
        <v>95.59</v>
      </c>
      <c r="Y685">
        <v>335.6390909090909</v>
      </c>
    </row>
    <row r="686" spans="1:25" x14ac:dyDescent="0.35">
      <c r="A686" t="s">
        <v>25</v>
      </c>
      <c r="B686" t="s">
        <v>2206</v>
      </c>
      <c r="C686" t="s">
        <v>4081</v>
      </c>
      <c r="D686" t="s">
        <v>27</v>
      </c>
      <c r="E686" t="s">
        <v>2207</v>
      </c>
      <c r="F686" t="s">
        <v>2208</v>
      </c>
      <c r="G686">
        <v>79400</v>
      </c>
      <c r="H686" t="s">
        <v>2209</v>
      </c>
      <c r="I686" t="s">
        <v>2210</v>
      </c>
      <c r="J686" t="s">
        <v>2008</v>
      </c>
      <c r="K686">
        <v>43089</v>
      </c>
      <c r="L686" t="s">
        <v>593</v>
      </c>
      <c r="M686" t="s">
        <v>1056</v>
      </c>
      <c r="N686" t="s">
        <v>595</v>
      </c>
      <c r="O686" t="s">
        <v>44</v>
      </c>
      <c r="P686" t="s">
        <v>137</v>
      </c>
      <c r="Q686" t="s">
        <v>71</v>
      </c>
      <c r="R686" t="s">
        <v>71</v>
      </c>
      <c r="S686">
        <v>0.33</v>
      </c>
      <c r="T686" t="s">
        <v>47</v>
      </c>
      <c r="U686">
        <v>23</v>
      </c>
      <c r="V686">
        <v>23</v>
      </c>
      <c r="W686">
        <v>19.55</v>
      </c>
      <c r="X686">
        <v>95.59</v>
      </c>
      <c r="Y686">
        <v>335.6390909090909</v>
      </c>
    </row>
  </sheetData>
  <sortState xmlns:xlrd2="http://schemas.microsoft.com/office/spreadsheetml/2017/richdata2" ref="A2:Y686">
    <sortCondition ref="C1:C686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D2B8-D579-4AC3-BFDF-462B4F7B7A77}">
  <sheetPr filterMode="1"/>
  <dimension ref="A1:R1129"/>
  <sheetViews>
    <sheetView zoomScale="55" zoomScaleNormal="55" workbookViewId="0">
      <selection activeCell="B15" sqref="A1:R1129"/>
    </sheetView>
  </sheetViews>
  <sheetFormatPr baseColWidth="10" defaultColWidth="11.453125" defaultRowHeight="14.5" x14ac:dyDescent="0.35"/>
  <cols>
    <col min="1" max="1" width="19.7265625" style="3" bestFit="1" customWidth="1"/>
    <col min="2" max="2" width="11.7265625" style="3" bestFit="1" customWidth="1"/>
    <col min="3" max="3" width="63.7265625" style="3" bestFit="1" customWidth="1"/>
    <col min="4" max="4" width="89" style="3" bestFit="1" customWidth="1"/>
    <col min="5" max="5" width="64.7265625" style="3" bestFit="1" customWidth="1"/>
    <col min="6" max="6" width="18.26953125" style="3" bestFit="1" customWidth="1"/>
    <col min="7" max="7" width="19.26953125" style="3" bestFit="1" customWidth="1"/>
    <col min="8" max="8" width="8.453125" style="3" customWidth="1"/>
    <col min="9" max="9" width="8.453125" style="3" bestFit="1" customWidth="1"/>
    <col min="10" max="10" width="24.453125" style="3" bestFit="1" customWidth="1"/>
    <col min="11" max="11" width="25.453125" style="3" bestFit="1" customWidth="1"/>
    <col min="12" max="12" width="19" style="3" bestFit="1" customWidth="1"/>
    <col min="13" max="13" width="13" style="3" bestFit="1" customWidth="1"/>
    <col min="14" max="15" width="24.54296875" style="3" bestFit="1" customWidth="1"/>
    <col min="16" max="16" width="23.453125" style="3" bestFit="1" customWidth="1"/>
    <col min="17" max="17" width="24.54296875" style="3" bestFit="1" customWidth="1"/>
    <col min="18" max="18" width="23.453125" style="3" bestFit="1" customWidth="1"/>
  </cols>
  <sheetData>
    <row r="1" spans="1:18" s="3" customFormat="1" x14ac:dyDescent="0.35">
      <c r="A1" s="1" t="s">
        <v>2211</v>
      </c>
      <c r="B1" s="1" t="s">
        <v>2</v>
      </c>
      <c r="C1" s="1" t="s">
        <v>2212</v>
      </c>
      <c r="D1" s="1" t="s">
        <v>2213</v>
      </c>
      <c r="E1" s="1" t="s">
        <v>2214</v>
      </c>
      <c r="F1" s="1" t="s">
        <v>11</v>
      </c>
      <c r="G1" s="1" t="s">
        <v>2215</v>
      </c>
      <c r="H1" s="1" t="s">
        <v>2216</v>
      </c>
      <c r="I1" s="2" t="s">
        <v>2217</v>
      </c>
      <c r="J1" s="1" t="s">
        <v>2218</v>
      </c>
      <c r="K1" s="1" t="s">
        <v>2219</v>
      </c>
      <c r="L1" s="1" t="s">
        <v>2220</v>
      </c>
      <c r="M1" s="1" t="s">
        <v>2221</v>
      </c>
      <c r="N1" s="1" t="s">
        <v>2222</v>
      </c>
      <c r="O1" s="1" t="s">
        <v>2223</v>
      </c>
      <c r="P1" s="1" t="s">
        <v>2224</v>
      </c>
      <c r="Q1" s="1" t="s">
        <v>2225</v>
      </c>
      <c r="R1" s="1" t="s">
        <v>2226</v>
      </c>
    </row>
    <row r="2" spans="1:18" hidden="1" x14ac:dyDescent="0.35">
      <c r="A2" s="4" t="s">
        <v>2227</v>
      </c>
      <c r="B2" s="4" t="s">
        <v>4081</v>
      </c>
      <c r="C2" s="4" t="s">
        <v>2228</v>
      </c>
      <c r="D2" s="4" t="s">
        <v>2229</v>
      </c>
      <c r="E2" s="4" t="s">
        <v>2230</v>
      </c>
      <c r="F2" s="4" t="s">
        <v>33</v>
      </c>
      <c r="G2" s="4" t="s">
        <v>46</v>
      </c>
      <c r="H2" s="4" t="s">
        <v>2231</v>
      </c>
      <c r="I2" s="5">
        <v>73776</v>
      </c>
      <c r="J2" s="4" t="s">
        <v>2052</v>
      </c>
      <c r="K2" s="4" t="s">
        <v>2232</v>
      </c>
      <c r="L2" s="4">
        <v>2026</v>
      </c>
      <c r="M2" s="4" t="s">
        <v>2233</v>
      </c>
      <c r="N2" s="4">
        <v>710</v>
      </c>
      <c r="O2" s="4">
        <v>710</v>
      </c>
      <c r="P2" s="4" t="s">
        <v>2234</v>
      </c>
      <c r="Q2" s="4">
        <v>710</v>
      </c>
      <c r="R2" s="4" t="s">
        <v>2235</v>
      </c>
    </row>
    <row r="3" spans="1:18" hidden="1" x14ac:dyDescent="0.35">
      <c r="A3" s="4" t="s">
        <v>126</v>
      </c>
      <c r="B3" s="4" t="s">
        <v>4080</v>
      </c>
      <c r="C3" s="4" t="s">
        <v>2236</v>
      </c>
      <c r="D3" s="4" t="s">
        <v>128</v>
      </c>
      <c r="E3" s="4" t="s">
        <v>128</v>
      </c>
      <c r="F3" s="4" t="s">
        <v>33</v>
      </c>
      <c r="G3" s="4" t="s">
        <v>36</v>
      </c>
      <c r="H3" s="4" t="s">
        <v>2231</v>
      </c>
      <c r="I3" s="5" t="s">
        <v>129</v>
      </c>
      <c r="J3" s="4" t="s">
        <v>2237</v>
      </c>
      <c r="K3" s="4" t="s">
        <v>132</v>
      </c>
      <c r="L3" s="4">
        <v>2018</v>
      </c>
      <c r="M3" s="4" t="s">
        <v>27</v>
      </c>
      <c r="N3" s="4">
        <v>11.5</v>
      </c>
      <c r="O3" s="4">
        <v>11.5</v>
      </c>
      <c r="P3" s="4" t="s">
        <v>2234</v>
      </c>
      <c r="Q3" s="4">
        <v>11.5</v>
      </c>
      <c r="R3" s="4" t="s">
        <v>2235</v>
      </c>
    </row>
    <row r="4" spans="1:18" hidden="1" x14ac:dyDescent="0.35">
      <c r="A4" s="4" t="s">
        <v>152</v>
      </c>
      <c r="B4" s="4" t="s">
        <v>4080</v>
      </c>
      <c r="C4" s="4" t="s">
        <v>2236</v>
      </c>
      <c r="D4" s="4" t="s">
        <v>2238</v>
      </c>
      <c r="E4" s="4" t="s">
        <v>54</v>
      </c>
      <c r="F4" s="4" t="s">
        <v>33</v>
      </c>
      <c r="G4" s="4" t="s">
        <v>46</v>
      </c>
      <c r="H4" s="4" t="s">
        <v>2231</v>
      </c>
      <c r="I4" s="5" t="s">
        <v>2239</v>
      </c>
      <c r="J4" s="4" t="s">
        <v>2237</v>
      </c>
      <c r="K4" s="4" t="s">
        <v>132</v>
      </c>
      <c r="L4" s="4">
        <v>1995</v>
      </c>
      <c r="M4" s="4" t="s">
        <v>27</v>
      </c>
      <c r="N4" s="4">
        <v>62</v>
      </c>
      <c r="O4" s="4">
        <v>62</v>
      </c>
      <c r="P4" s="4" t="s">
        <v>2234</v>
      </c>
      <c r="Q4" s="4">
        <v>62</v>
      </c>
      <c r="R4" s="4" t="s">
        <v>2235</v>
      </c>
    </row>
    <row r="5" spans="1:18" hidden="1" x14ac:dyDescent="0.35">
      <c r="A5" s="4" t="s">
        <v>155</v>
      </c>
      <c r="B5" s="4" t="s">
        <v>4080</v>
      </c>
      <c r="C5" s="4" t="s">
        <v>2236</v>
      </c>
      <c r="D5" s="4" t="s">
        <v>2238</v>
      </c>
      <c r="E5" s="4" t="s">
        <v>52</v>
      </c>
      <c r="F5" s="4" t="s">
        <v>33</v>
      </c>
      <c r="G5" s="4" t="s">
        <v>46</v>
      </c>
      <c r="H5" s="4" t="s">
        <v>2231</v>
      </c>
      <c r="I5" s="5" t="s">
        <v>2239</v>
      </c>
      <c r="J5" s="4" t="s">
        <v>2237</v>
      </c>
      <c r="K5" s="4" t="s">
        <v>132</v>
      </c>
      <c r="L5" s="4">
        <v>1995</v>
      </c>
      <c r="M5" s="4" t="s">
        <v>27</v>
      </c>
      <c r="N5" s="4">
        <v>62</v>
      </c>
      <c r="O5" s="4">
        <v>62</v>
      </c>
      <c r="P5" s="4" t="s">
        <v>2234</v>
      </c>
      <c r="Q5" s="4">
        <v>62</v>
      </c>
      <c r="R5" s="4" t="s">
        <v>2235</v>
      </c>
    </row>
    <row r="6" spans="1:18" hidden="1" x14ac:dyDescent="0.35">
      <c r="A6" s="4" t="s">
        <v>156</v>
      </c>
      <c r="B6" s="4" t="s">
        <v>4080</v>
      </c>
      <c r="C6" s="4" t="s">
        <v>2236</v>
      </c>
      <c r="D6" s="4" t="s">
        <v>2238</v>
      </c>
      <c r="E6" s="4" t="s">
        <v>157</v>
      </c>
      <c r="F6" s="4" t="s">
        <v>33</v>
      </c>
      <c r="G6" s="4" t="s">
        <v>46</v>
      </c>
      <c r="H6" s="4" t="s">
        <v>2231</v>
      </c>
      <c r="I6" s="5" t="s">
        <v>2239</v>
      </c>
      <c r="J6" s="4" t="s">
        <v>2237</v>
      </c>
      <c r="K6" s="4" t="s">
        <v>132</v>
      </c>
      <c r="L6" s="4">
        <v>1995</v>
      </c>
      <c r="M6" s="4" t="s">
        <v>27</v>
      </c>
      <c r="N6" s="4">
        <v>62</v>
      </c>
      <c r="O6" s="4">
        <v>62</v>
      </c>
      <c r="P6" s="4" t="s">
        <v>2234</v>
      </c>
      <c r="Q6" s="4">
        <v>62</v>
      </c>
      <c r="R6" s="4" t="s">
        <v>2235</v>
      </c>
    </row>
    <row r="7" spans="1:18" hidden="1" x14ac:dyDescent="0.35">
      <c r="A7" s="4" t="s">
        <v>158</v>
      </c>
      <c r="B7" s="4" t="s">
        <v>4080</v>
      </c>
      <c r="C7" s="4" t="s">
        <v>2236</v>
      </c>
      <c r="D7" s="4" t="s">
        <v>2238</v>
      </c>
      <c r="E7" s="4" t="s">
        <v>159</v>
      </c>
      <c r="F7" s="4" t="s">
        <v>33</v>
      </c>
      <c r="G7" s="4" t="s">
        <v>46</v>
      </c>
      <c r="H7" s="4" t="s">
        <v>2231</v>
      </c>
      <c r="I7" s="5" t="s">
        <v>2239</v>
      </c>
      <c r="J7" s="4" t="s">
        <v>2237</v>
      </c>
      <c r="K7" s="4" t="s">
        <v>132</v>
      </c>
      <c r="L7" s="4">
        <v>1995</v>
      </c>
      <c r="M7" s="4" t="s">
        <v>27</v>
      </c>
      <c r="N7" s="4">
        <v>74</v>
      </c>
      <c r="O7" s="4">
        <v>74</v>
      </c>
      <c r="P7" s="4" t="s">
        <v>2234</v>
      </c>
      <c r="Q7" s="4">
        <v>74</v>
      </c>
      <c r="R7" s="4" t="s">
        <v>2235</v>
      </c>
    </row>
    <row r="8" spans="1:18" hidden="1" x14ac:dyDescent="0.35">
      <c r="A8" s="4" t="s">
        <v>133</v>
      </c>
      <c r="B8" s="4" t="s">
        <v>4080</v>
      </c>
      <c r="C8" s="4" t="s">
        <v>127</v>
      </c>
      <c r="D8" s="4" t="s">
        <v>2240</v>
      </c>
      <c r="E8" s="4" t="s">
        <v>2241</v>
      </c>
      <c r="F8" s="4" t="s">
        <v>33</v>
      </c>
      <c r="G8" s="4" t="s">
        <v>137</v>
      </c>
      <c r="H8" s="4" t="s">
        <v>2231</v>
      </c>
      <c r="I8" s="5" t="s">
        <v>2242</v>
      </c>
      <c r="J8" s="4" t="s">
        <v>130</v>
      </c>
      <c r="K8" s="4" t="s">
        <v>132</v>
      </c>
      <c r="L8" s="4">
        <v>2022</v>
      </c>
      <c r="M8" s="4" t="s">
        <v>27</v>
      </c>
      <c r="N8" s="4">
        <v>11.5</v>
      </c>
      <c r="O8" s="4">
        <v>11.5</v>
      </c>
      <c r="P8" s="4" t="s">
        <v>2234</v>
      </c>
      <c r="Q8" s="4">
        <v>11.5</v>
      </c>
      <c r="R8" s="4" t="s">
        <v>2235</v>
      </c>
    </row>
    <row r="9" spans="1:18" hidden="1" x14ac:dyDescent="0.35">
      <c r="A9" s="4" t="s">
        <v>138</v>
      </c>
      <c r="B9" s="4" t="s">
        <v>4080</v>
      </c>
      <c r="C9" s="4" t="s">
        <v>127</v>
      </c>
      <c r="D9" s="4" t="s">
        <v>2240</v>
      </c>
      <c r="E9" s="4" t="s">
        <v>2243</v>
      </c>
      <c r="F9" s="4" t="s">
        <v>33</v>
      </c>
      <c r="G9" s="4" t="s">
        <v>137</v>
      </c>
      <c r="H9" s="4" t="s">
        <v>2231</v>
      </c>
      <c r="I9" s="5" t="s">
        <v>2242</v>
      </c>
      <c r="J9" s="4" t="s">
        <v>130</v>
      </c>
      <c r="K9" s="4" t="s">
        <v>132</v>
      </c>
      <c r="L9" s="4">
        <v>2022</v>
      </c>
      <c r="M9" s="4" t="s">
        <v>27</v>
      </c>
      <c r="N9" s="4">
        <v>11.5</v>
      </c>
      <c r="O9" s="4">
        <v>11.5</v>
      </c>
      <c r="P9" s="4" t="s">
        <v>2234</v>
      </c>
      <c r="Q9" s="4">
        <v>11.5</v>
      </c>
      <c r="R9" s="4" t="s">
        <v>2235</v>
      </c>
    </row>
    <row r="10" spans="1:18" hidden="1" x14ac:dyDescent="0.35">
      <c r="A10" s="4" t="s">
        <v>140</v>
      </c>
      <c r="B10" s="4" t="s">
        <v>4080</v>
      </c>
      <c r="C10" s="4" t="s">
        <v>127</v>
      </c>
      <c r="D10" s="4" t="s">
        <v>2240</v>
      </c>
      <c r="E10" s="4" t="s">
        <v>2244</v>
      </c>
      <c r="F10" s="4" t="s">
        <v>33</v>
      </c>
      <c r="G10" s="4" t="s">
        <v>137</v>
      </c>
      <c r="H10" s="4" t="s">
        <v>2231</v>
      </c>
      <c r="I10" s="5" t="s">
        <v>2242</v>
      </c>
      <c r="J10" s="4" t="s">
        <v>130</v>
      </c>
      <c r="K10" s="4" t="s">
        <v>132</v>
      </c>
      <c r="L10" s="4">
        <v>2022</v>
      </c>
      <c r="M10" s="4" t="s">
        <v>27</v>
      </c>
      <c r="N10" s="4">
        <v>11.5</v>
      </c>
      <c r="O10" s="4">
        <v>11.5</v>
      </c>
      <c r="P10" s="4" t="s">
        <v>2234</v>
      </c>
      <c r="Q10" s="4">
        <v>11.5</v>
      </c>
      <c r="R10" s="4" t="s">
        <v>2235</v>
      </c>
    </row>
    <row r="11" spans="1:18" hidden="1" x14ac:dyDescent="0.35">
      <c r="A11" s="4" t="s">
        <v>142</v>
      </c>
      <c r="B11" s="4" t="s">
        <v>4080</v>
      </c>
      <c r="C11" s="4" t="s">
        <v>127</v>
      </c>
      <c r="D11" s="4" t="s">
        <v>2240</v>
      </c>
      <c r="E11" s="4" t="s">
        <v>2245</v>
      </c>
      <c r="F11" s="4" t="s">
        <v>33</v>
      </c>
      <c r="G11" s="4" t="s">
        <v>137</v>
      </c>
      <c r="H11" s="4" t="s">
        <v>2231</v>
      </c>
      <c r="I11" s="5" t="s">
        <v>2242</v>
      </c>
      <c r="J11" s="4" t="s">
        <v>130</v>
      </c>
      <c r="K11" s="4" t="s">
        <v>132</v>
      </c>
      <c r="L11" s="4">
        <v>2022</v>
      </c>
      <c r="M11" s="4" t="s">
        <v>27</v>
      </c>
      <c r="N11" s="4">
        <v>11.5</v>
      </c>
      <c r="O11" s="4">
        <v>11.5</v>
      </c>
      <c r="P11" s="4" t="s">
        <v>2234</v>
      </c>
      <c r="Q11" s="4">
        <v>11.5</v>
      </c>
      <c r="R11" s="4" t="s">
        <v>2235</v>
      </c>
    </row>
    <row r="12" spans="1:18" hidden="1" x14ac:dyDescent="0.35">
      <c r="A12" s="4" t="s">
        <v>1853</v>
      </c>
      <c r="B12" s="4" t="s">
        <v>4081</v>
      </c>
      <c r="C12" s="4" t="s">
        <v>2246</v>
      </c>
      <c r="D12" s="4" t="s">
        <v>2247</v>
      </c>
      <c r="E12" s="4" t="s">
        <v>2248</v>
      </c>
      <c r="F12" s="4" t="s">
        <v>33</v>
      </c>
      <c r="G12" s="4" t="s">
        <v>409</v>
      </c>
      <c r="H12" s="4" t="s">
        <v>2249</v>
      </c>
      <c r="I12" s="5">
        <v>90449</v>
      </c>
      <c r="J12" s="4" t="s">
        <v>2250</v>
      </c>
      <c r="K12" s="4" t="s">
        <v>701</v>
      </c>
      <c r="L12" s="4">
        <v>1973</v>
      </c>
      <c r="M12" s="4" t="s">
        <v>27</v>
      </c>
      <c r="N12" s="4">
        <v>383</v>
      </c>
      <c r="O12" s="4">
        <v>383</v>
      </c>
      <c r="P12" s="4" t="s">
        <v>2234</v>
      </c>
      <c r="Q12" s="4">
        <v>383</v>
      </c>
      <c r="R12" s="4" t="s">
        <v>2235</v>
      </c>
    </row>
    <row r="13" spans="1:18" hidden="1" x14ac:dyDescent="0.35">
      <c r="A13" s="4" t="s">
        <v>1858</v>
      </c>
      <c r="B13" s="4" t="s">
        <v>4081</v>
      </c>
      <c r="C13" s="4" t="s">
        <v>2246</v>
      </c>
      <c r="D13" s="4" t="s">
        <v>2251</v>
      </c>
      <c r="E13" s="4">
        <v>4</v>
      </c>
      <c r="F13" s="4" t="s">
        <v>33</v>
      </c>
      <c r="G13" s="4" t="s">
        <v>46</v>
      </c>
      <c r="H13" s="4" t="s">
        <v>2249</v>
      </c>
      <c r="I13" s="5">
        <v>85088</v>
      </c>
      <c r="J13" s="4" t="s">
        <v>1536</v>
      </c>
      <c r="K13" s="4" t="s">
        <v>701</v>
      </c>
      <c r="L13" s="4">
        <v>2011</v>
      </c>
      <c r="M13" s="4" t="s">
        <v>27</v>
      </c>
      <c r="N13" s="4">
        <v>561</v>
      </c>
      <c r="O13" s="4">
        <v>561</v>
      </c>
      <c r="P13" s="4" t="s">
        <v>2234</v>
      </c>
      <c r="Q13" s="4">
        <v>561</v>
      </c>
      <c r="R13" s="4" t="s">
        <v>2235</v>
      </c>
    </row>
    <row r="14" spans="1:18" x14ac:dyDescent="0.35">
      <c r="A14" s="4" t="s">
        <v>2252</v>
      </c>
      <c r="B14" s="4" t="s">
        <v>4080</v>
      </c>
      <c r="C14" s="4" t="s">
        <v>2246</v>
      </c>
      <c r="D14" s="4" t="s">
        <v>2253</v>
      </c>
      <c r="E14" s="4" t="s">
        <v>2254</v>
      </c>
      <c r="F14" s="4" t="s">
        <v>2255</v>
      </c>
      <c r="G14" s="4" t="s">
        <v>2256</v>
      </c>
      <c r="H14" s="4" t="s">
        <v>2249</v>
      </c>
      <c r="I14" s="5">
        <v>34549</v>
      </c>
      <c r="J14" s="4" t="s">
        <v>2257</v>
      </c>
      <c r="K14" s="4" t="s">
        <v>865</v>
      </c>
      <c r="L14" s="4">
        <v>1974</v>
      </c>
      <c r="M14" s="4" t="s">
        <v>27</v>
      </c>
      <c r="N14" s="4">
        <v>240</v>
      </c>
      <c r="O14" s="4">
        <v>240</v>
      </c>
      <c r="P14" s="4" t="s">
        <v>2255</v>
      </c>
      <c r="Q14" s="4">
        <v>240</v>
      </c>
      <c r="R14" s="4" t="s">
        <v>2255</v>
      </c>
    </row>
    <row r="15" spans="1:18" x14ac:dyDescent="0.35">
      <c r="A15" s="4" t="s">
        <v>2258</v>
      </c>
      <c r="B15" s="4" t="s">
        <v>4080</v>
      </c>
      <c r="C15" s="4" t="s">
        <v>2246</v>
      </c>
      <c r="D15" s="4" t="s">
        <v>2253</v>
      </c>
      <c r="E15" s="4" t="s">
        <v>2259</v>
      </c>
      <c r="F15" s="4" t="s">
        <v>2255</v>
      </c>
      <c r="G15" s="4" t="s">
        <v>2256</v>
      </c>
      <c r="H15" s="4" t="s">
        <v>2249</v>
      </c>
      <c r="I15" s="5">
        <v>34549</v>
      </c>
      <c r="J15" s="4" t="s">
        <v>2257</v>
      </c>
      <c r="K15" s="4" t="s">
        <v>865</v>
      </c>
      <c r="L15" s="4">
        <v>1974</v>
      </c>
      <c r="M15" s="4" t="s">
        <v>27</v>
      </c>
      <c r="N15" s="4">
        <v>240</v>
      </c>
      <c r="O15" s="4">
        <v>240</v>
      </c>
      <c r="P15" s="4" t="s">
        <v>2255</v>
      </c>
      <c r="Q15" s="4">
        <v>240</v>
      </c>
      <c r="R15" s="4" t="s">
        <v>2255</v>
      </c>
    </row>
    <row r="16" spans="1:18" x14ac:dyDescent="0.35">
      <c r="A16" s="4" t="s">
        <v>1849</v>
      </c>
      <c r="B16" s="4" t="s">
        <v>4080</v>
      </c>
      <c r="C16" s="4" t="s">
        <v>2246</v>
      </c>
      <c r="D16" s="4" t="s">
        <v>2260</v>
      </c>
      <c r="E16" s="4" t="s">
        <v>2227</v>
      </c>
      <c r="F16" s="4" t="s">
        <v>33</v>
      </c>
      <c r="G16" s="4" t="s">
        <v>36</v>
      </c>
      <c r="H16" s="4" t="s">
        <v>2249</v>
      </c>
      <c r="I16" s="5">
        <v>26931</v>
      </c>
      <c r="J16" s="4" t="s">
        <v>1851</v>
      </c>
      <c r="K16" s="4" t="s">
        <v>765</v>
      </c>
      <c r="L16" s="4">
        <v>1978</v>
      </c>
      <c r="M16" s="4" t="s">
        <v>27</v>
      </c>
      <c r="N16" s="4">
        <v>321</v>
      </c>
      <c r="O16" s="4">
        <v>321</v>
      </c>
      <c r="P16" s="4" t="s">
        <v>2234</v>
      </c>
      <c r="Q16" s="4">
        <v>321</v>
      </c>
      <c r="R16" s="4" t="s">
        <v>2235</v>
      </c>
    </row>
    <row r="17" spans="1:18" hidden="1" x14ac:dyDescent="0.35">
      <c r="A17" s="4" t="s">
        <v>144</v>
      </c>
      <c r="B17" s="4" t="s">
        <v>4080</v>
      </c>
      <c r="C17" s="4" t="s">
        <v>127</v>
      </c>
      <c r="D17" s="4" t="s">
        <v>2240</v>
      </c>
      <c r="E17" s="4" t="s">
        <v>2261</v>
      </c>
      <c r="F17" s="4" t="s">
        <v>33</v>
      </c>
      <c r="G17" s="4" t="s">
        <v>137</v>
      </c>
      <c r="H17" s="4" t="s">
        <v>2231</v>
      </c>
      <c r="I17" s="5" t="s">
        <v>2242</v>
      </c>
      <c r="J17" s="4" t="s">
        <v>130</v>
      </c>
      <c r="K17" s="4" t="s">
        <v>132</v>
      </c>
      <c r="L17" s="4">
        <v>2022</v>
      </c>
      <c r="M17" s="4" t="s">
        <v>27</v>
      </c>
      <c r="N17" s="4">
        <v>11.5</v>
      </c>
      <c r="O17" s="4">
        <v>11.5</v>
      </c>
      <c r="P17" s="4" t="s">
        <v>2234</v>
      </c>
      <c r="Q17" s="4">
        <v>11.5</v>
      </c>
      <c r="R17" s="4" t="s">
        <v>2235</v>
      </c>
    </row>
    <row r="18" spans="1:18" hidden="1" x14ac:dyDescent="0.35">
      <c r="A18" s="4" t="s">
        <v>146</v>
      </c>
      <c r="B18" s="4" t="s">
        <v>4080</v>
      </c>
      <c r="C18" s="4" t="s">
        <v>127</v>
      </c>
      <c r="D18" s="4" t="s">
        <v>2240</v>
      </c>
      <c r="E18" s="4" t="s">
        <v>2262</v>
      </c>
      <c r="F18" s="4" t="s">
        <v>33</v>
      </c>
      <c r="G18" s="4" t="s">
        <v>137</v>
      </c>
      <c r="H18" s="4" t="s">
        <v>2231</v>
      </c>
      <c r="I18" s="5" t="s">
        <v>2242</v>
      </c>
      <c r="J18" s="4" t="s">
        <v>130</v>
      </c>
      <c r="K18" s="4" t="s">
        <v>132</v>
      </c>
      <c r="L18" s="4">
        <v>2022</v>
      </c>
      <c r="M18" s="4" t="s">
        <v>27</v>
      </c>
      <c r="N18" s="4">
        <v>11.5</v>
      </c>
      <c r="O18" s="4">
        <v>11.5</v>
      </c>
      <c r="P18" s="4" t="s">
        <v>2234</v>
      </c>
      <c r="Q18" s="4">
        <v>11.5</v>
      </c>
      <c r="R18" s="4" t="s">
        <v>2235</v>
      </c>
    </row>
    <row r="19" spans="1:18" hidden="1" x14ac:dyDescent="0.35">
      <c r="A19" s="4" t="s">
        <v>148</v>
      </c>
      <c r="B19" s="4" t="s">
        <v>4080</v>
      </c>
      <c r="C19" s="4" t="s">
        <v>127</v>
      </c>
      <c r="D19" s="4" t="s">
        <v>2240</v>
      </c>
      <c r="E19" s="4" t="s">
        <v>2263</v>
      </c>
      <c r="F19" s="4" t="s">
        <v>33</v>
      </c>
      <c r="G19" s="4" t="s">
        <v>137</v>
      </c>
      <c r="H19" s="4" t="s">
        <v>2231</v>
      </c>
      <c r="I19" s="5" t="s">
        <v>2242</v>
      </c>
      <c r="J19" s="4" t="s">
        <v>130</v>
      </c>
      <c r="K19" s="4" t="s">
        <v>132</v>
      </c>
      <c r="L19" s="4">
        <v>2022</v>
      </c>
      <c r="M19" s="4" t="s">
        <v>27</v>
      </c>
      <c r="N19" s="4">
        <v>11.5</v>
      </c>
      <c r="O19" s="4">
        <v>11.5</v>
      </c>
      <c r="P19" s="4" t="s">
        <v>2234</v>
      </c>
      <c r="Q19" s="4">
        <v>11.5</v>
      </c>
      <c r="R19" s="4" t="s">
        <v>2235</v>
      </c>
    </row>
    <row r="20" spans="1:18" hidden="1" x14ac:dyDescent="0.35">
      <c r="A20" s="4" t="s">
        <v>150</v>
      </c>
      <c r="B20" s="4" t="s">
        <v>4080</v>
      </c>
      <c r="C20" s="4" t="s">
        <v>127</v>
      </c>
      <c r="D20" s="4" t="s">
        <v>2240</v>
      </c>
      <c r="E20" s="4" t="s">
        <v>2264</v>
      </c>
      <c r="F20" s="4" t="s">
        <v>33</v>
      </c>
      <c r="G20" s="4" t="s">
        <v>137</v>
      </c>
      <c r="H20" s="4" t="s">
        <v>2231</v>
      </c>
      <c r="I20" s="5" t="s">
        <v>2242</v>
      </c>
      <c r="J20" s="4" t="s">
        <v>130</v>
      </c>
      <c r="K20" s="4" t="s">
        <v>132</v>
      </c>
      <c r="L20" s="4">
        <v>2022</v>
      </c>
      <c r="M20" s="4" t="s">
        <v>27</v>
      </c>
      <c r="N20" s="4">
        <v>11.5</v>
      </c>
      <c r="O20" s="4">
        <v>11.5</v>
      </c>
      <c r="P20" s="4" t="s">
        <v>2234</v>
      </c>
      <c r="Q20" s="4">
        <v>11.5</v>
      </c>
      <c r="R20" s="4" t="s">
        <v>2235</v>
      </c>
    </row>
    <row r="21" spans="1:18" hidden="1" x14ac:dyDescent="0.35">
      <c r="A21" s="4" t="s">
        <v>436</v>
      </c>
      <c r="B21" s="4" t="s">
        <v>4080</v>
      </c>
      <c r="C21" s="4" t="s">
        <v>431</v>
      </c>
      <c r="D21" s="4" t="s">
        <v>2265</v>
      </c>
      <c r="E21" s="4" t="s">
        <v>525</v>
      </c>
      <c r="F21" s="4" t="s">
        <v>33</v>
      </c>
      <c r="G21" s="4" t="s">
        <v>46</v>
      </c>
      <c r="H21" s="4" t="s">
        <v>2231</v>
      </c>
      <c r="I21" s="5" t="s">
        <v>433</v>
      </c>
      <c r="J21" s="4" t="s">
        <v>434</v>
      </c>
      <c r="K21" s="4" t="s">
        <v>132</v>
      </c>
      <c r="L21" s="4">
        <v>2014</v>
      </c>
      <c r="M21" s="4" t="s">
        <v>27</v>
      </c>
      <c r="N21" s="4">
        <v>14.89</v>
      </c>
      <c r="O21" s="4">
        <v>14.89</v>
      </c>
      <c r="P21" s="4" t="s">
        <v>2234</v>
      </c>
      <c r="Q21" s="4">
        <v>14.89</v>
      </c>
      <c r="R21" s="4" t="s">
        <v>2235</v>
      </c>
    </row>
    <row r="22" spans="1:18" hidden="1" x14ac:dyDescent="0.35">
      <c r="A22" s="4" t="s">
        <v>1557</v>
      </c>
      <c r="B22" s="4" t="s">
        <v>4081</v>
      </c>
      <c r="C22" s="4" t="s">
        <v>1558</v>
      </c>
      <c r="D22" s="4" t="s">
        <v>2266</v>
      </c>
      <c r="E22" s="4" t="s">
        <v>2227</v>
      </c>
      <c r="F22" s="4" t="s">
        <v>33</v>
      </c>
      <c r="G22" s="4" t="s">
        <v>46</v>
      </c>
      <c r="H22" s="4" t="s">
        <v>2231</v>
      </c>
      <c r="I22" s="5">
        <v>84508</v>
      </c>
      <c r="J22" s="4" t="s">
        <v>1560</v>
      </c>
      <c r="K22" s="4" t="s">
        <v>701</v>
      </c>
      <c r="L22" s="4">
        <v>2002</v>
      </c>
      <c r="M22" s="4" t="s">
        <v>27</v>
      </c>
      <c r="N22" s="4">
        <v>73.099999999999994</v>
      </c>
      <c r="O22" s="4">
        <v>73.099999999999994</v>
      </c>
      <c r="P22" s="4" t="s">
        <v>2234</v>
      </c>
      <c r="Q22" s="4">
        <v>73.099999999999994</v>
      </c>
      <c r="R22" s="4" t="s">
        <v>2235</v>
      </c>
    </row>
    <row r="23" spans="1:18" x14ac:dyDescent="0.35">
      <c r="A23" s="4" t="s">
        <v>1747</v>
      </c>
      <c r="B23" s="4" t="s">
        <v>4080</v>
      </c>
      <c r="C23" s="4" t="s">
        <v>2267</v>
      </c>
      <c r="D23" s="4" t="s">
        <v>2268</v>
      </c>
      <c r="E23" s="4" t="s">
        <v>1748</v>
      </c>
      <c r="F23" s="4" t="s">
        <v>33</v>
      </c>
      <c r="G23" s="4" t="s">
        <v>46</v>
      </c>
      <c r="H23" s="4" t="s">
        <v>2231</v>
      </c>
      <c r="I23" s="5">
        <v>24939</v>
      </c>
      <c r="J23" s="4" t="s">
        <v>1742</v>
      </c>
      <c r="K23" s="4" t="s">
        <v>276</v>
      </c>
      <c r="L23" s="4">
        <v>2016</v>
      </c>
      <c r="M23" s="4" t="s">
        <v>27</v>
      </c>
      <c r="N23" s="4">
        <v>50.1</v>
      </c>
      <c r="O23" s="4">
        <v>50.1</v>
      </c>
      <c r="P23" s="4" t="s">
        <v>2234</v>
      </c>
      <c r="Q23" s="4">
        <v>50.1</v>
      </c>
      <c r="R23" s="4" t="s">
        <v>2235</v>
      </c>
    </row>
    <row r="24" spans="1:18" hidden="1" x14ac:dyDescent="0.35">
      <c r="A24" s="4" t="s">
        <v>2269</v>
      </c>
      <c r="B24" s="4" t="s">
        <v>4081</v>
      </c>
      <c r="C24" s="4" t="s">
        <v>2270</v>
      </c>
      <c r="D24" s="4" t="s">
        <v>2271</v>
      </c>
      <c r="E24" s="4" t="s">
        <v>2272</v>
      </c>
      <c r="F24" s="4" t="s">
        <v>2255</v>
      </c>
      <c r="G24" s="4" t="s">
        <v>2256</v>
      </c>
      <c r="H24" s="4" t="s">
        <v>2249</v>
      </c>
      <c r="I24" s="5">
        <v>97737</v>
      </c>
      <c r="J24" s="4" t="s">
        <v>2273</v>
      </c>
      <c r="K24" s="4" t="s">
        <v>701</v>
      </c>
      <c r="L24" s="4">
        <v>1974</v>
      </c>
      <c r="M24" s="4" t="s">
        <v>27</v>
      </c>
      <c r="N24" s="4">
        <v>82</v>
      </c>
      <c r="O24" s="4">
        <v>82</v>
      </c>
      <c r="P24" s="4" t="s">
        <v>2255</v>
      </c>
      <c r="Q24" s="4">
        <v>82</v>
      </c>
      <c r="R24" s="4" t="s">
        <v>2255</v>
      </c>
    </row>
    <row r="25" spans="1:18" hidden="1" x14ac:dyDescent="0.35">
      <c r="A25" s="4" t="s">
        <v>2274</v>
      </c>
      <c r="B25" s="4" t="s">
        <v>4081</v>
      </c>
      <c r="C25" s="4" t="s">
        <v>2270</v>
      </c>
      <c r="D25" s="4" t="s">
        <v>2271</v>
      </c>
      <c r="E25" s="4" t="s">
        <v>2275</v>
      </c>
      <c r="F25" s="4" t="s">
        <v>2255</v>
      </c>
      <c r="G25" s="4" t="s">
        <v>2256</v>
      </c>
      <c r="H25" s="4" t="s">
        <v>2249</v>
      </c>
      <c r="I25" s="5">
        <v>97737</v>
      </c>
      <c r="J25" s="4" t="s">
        <v>2273</v>
      </c>
      <c r="K25" s="4" t="s">
        <v>701</v>
      </c>
      <c r="L25" s="4">
        <v>1974</v>
      </c>
      <c r="M25" s="4" t="s">
        <v>27</v>
      </c>
      <c r="N25" s="4">
        <v>82</v>
      </c>
      <c r="O25" s="4">
        <v>82</v>
      </c>
      <c r="P25" s="4" t="s">
        <v>2255</v>
      </c>
      <c r="Q25" s="4">
        <v>82</v>
      </c>
      <c r="R25" s="4" t="s">
        <v>2255</v>
      </c>
    </row>
    <row r="26" spans="1:18" hidden="1" x14ac:dyDescent="0.35">
      <c r="A26" s="4" t="s">
        <v>2276</v>
      </c>
      <c r="B26" s="4" t="s">
        <v>4081</v>
      </c>
      <c r="C26" s="4" t="s">
        <v>2277</v>
      </c>
      <c r="D26" s="4" t="s">
        <v>2278</v>
      </c>
      <c r="E26" s="4">
        <v>1</v>
      </c>
      <c r="F26" s="4" t="s">
        <v>2255</v>
      </c>
      <c r="G26" s="4" t="s">
        <v>2256</v>
      </c>
      <c r="H26" s="4" t="s">
        <v>2249</v>
      </c>
      <c r="I26" s="5">
        <v>83620</v>
      </c>
      <c r="J26" s="4" t="s">
        <v>2279</v>
      </c>
      <c r="K26" s="4" t="s">
        <v>701</v>
      </c>
      <c r="L26" s="4">
        <v>1983</v>
      </c>
      <c r="M26" s="4" t="s">
        <v>27</v>
      </c>
      <c r="N26" s="4">
        <v>48</v>
      </c>
      <c r="O26" s="4">
        <v>48</v>
      </c>
      <c r="P26" s="4" t="s">
        <v>2255</v>
      </c>
      <c r="Q26" s="4">
        <v>48</v>
      </c>
      <c r="R26" s="4" t="s">
        <v>2255</v>
      </c>
    </row>
    <row r="27" spans="1:18" hidden="1" x14ac:dyDescent="0.35">
      <c r="A27" s="4" t="s">
        <v>2280</v>
      </c>
      <c r="B27" s="4" t="s">
        <v>4081</v>
      </c>
      <c r="C27" s="4" t="s">
        <v>2277</v>
      </c>
      <c r="D27" s="4" t="s">
        <v>2281</v>
      </c>
      <c r="E27" s="4" t="s">
        <v>2282</v>
      </c>
      <c r="F27" s="4" t="s">
        <v>2255</v>
      </c>
      <c r="G27" s="4" t="s">
        <v>2256</v>
      </c>
      <c r="H27" s="4" t="s">
        <v>2249</v>
      </c>
      <c r="I27" s="5">
        <v>83620</v>
      </c>
      <c r="J27" s="4" t="s">
        <v>2279</v>
      </c>
      <c r="K27" s="4" t="s">
        <v>701</v>
      </c>
      <c r="L27" s="4">
        <v>1960</v>
      </c>
      <c r="M27" s="4" t="s">
        <v>27</v>
      </c>
      <c r="N27" s="4">
        <v>22</v>
      </c>
      <c r="O27" s="4">
        <v>22</v>
      </c>
      <c r="P27" s="4" t="s">
        <v>2255</v>
      </c>
      <c r="Q27" s="4">
        <v>22</v>
      </c>
      <c r="R27" s="4" t="s">
        <v>2255</v>
      </c>
    </row>
    <row r="28" spans="1:18" hidden="1" x14ac:dyDescent="0.35">
      <c r="A28" s="4" t="s">
        <v>2283</v>
      </c>
      <c r="B28" s="4" t="s">
        <v>4081</v>
      </c>
      <c r="C28" s="4" t="s">
        <v>2277</v>
      </c>
      <c r="D28" s="4" t="s">
        <v>2281</v>
      </c>
      <c r="E28" s="4">
        <v>2</v>
      </c>
      <c r="F28" s="4" t="s">
        <v>2255</v>
      </c>
      <c r="G28" s="4" t="s">
        <v>2256</v>
      </c>
      <c r="H28" s="4" t="s">
        <v>2249</v>
      </c>
      <c r="I28" s="5">
        <v>83620</v>
      </c>
      <c r="J28" s="4" t="s">
        <v>2279</v>
      </c>
      <c r="K28" s="4" t="s">
        <v>701</v>
      </c>
      <c r="L28" s="4">
        <v>1960</v>
      </c>
      <c r="M28" s="4" t="s">
        <v>27</v>
      </c>
      <c r="N28" s="4">
        <v>22</v>
      </c>
      <c r="O28" s="4">
        <v>22</v>
      </c>
      <c r="P28" s="4" t="s">
        <v>2255</v>
      </c>
      <c r="Q28" s="4">
        <v>22</v>
      </c>
      <c r="R28" s="4" t="s">
        <v>2255</v>
      </c>
    </row>
    <row r="29" spans="1:18" x14ac:dyDescent="0.35">
      <c r="A29" s="4" t="s">
        <v>1580</v>
      </c>
      <c r="B29" s="4" t="s">
        <v>4080</v>
      </c>
      <c r="C29" s="4" t="s">
        <v>315</v>
      </c>
      <c r="D29" s="4" t="s">
        <v>2284</v>
      </c>
      <c r="E29" s="4" t="s">
        <v>1581</v>
      </c>
      <c r="F29" s="4" t="s">
        <v>33</v>
      </c>
      <c r="G29" s="4" t="s">
        <v>409</v>
      </c>
      <c r="H29" s="4" t="s">
        <v>2231</v>
      </c>
      <c r="I29" s="5">
        <v>36266</v>
      </c>
      <c r="J29" s="4" t="s">
        <v>1564</v>
      </c>
      <c r="K29" s="4" t="s">
        <v>865</v>
      </c>
      <c r="L29" s="4">
        <v>2009</v>
      </c>
      <c r="M29" s="4" t="s">
        <v>27</v>
      </c>
      <c r="N29" s="4">
        <v>52.7</v>
      </c>
      <c r="O29" s="4">
        <v>52.7</v>
      </c>
      <c r="P29" s="4" t="s">
        <v>2234</v>
      </c>
      <c r="Q29" s="4">
        <v>52.7</v>
      </c>
      <c r="R29" s="4" t="s">
        <v>2235</v>
      </c>
    </row>
    <row r="30" spans="1:18" x14ac:dyDescent="0.35">
      <c r="A30" s="4" t="s">
        <v>1542</v>
      </c>
      <c r="B30" s="4" t="s">
        <v>4080</v>
      </c>
      <c r="C30" s="4" t="s">
        <v>2285</v>
      </c>
      <c r="D30" s="4" t="s">
        <v>2286</v>
      </c>
      <c r="E30" s="4" t="s">
        <v>2227</v>
      </c>
      <c r="F30" s="4" t="s">
        <v>33</v>
      </c>
      <c r="G30" s="4" t="s">
        <v>36</v>
      </c>
      <c r="H30" s="4" t="s">
        <v>2231</v>
      </c>
      <c r="I30" s="5">
        <v>37075</v>
      </c>
      <c r="J30" s="4" t="s">
        <v>1545</v>
      </c>
      <c r="K30" s="4" t="s">
        <v>765</v>
      </c>
      <c r="L30" s="4">
        <v>1998</v>
      </c>
      <c r="M30" s="4" t="s">
        <v>27</v>
      </c>
      <c r="N30" s="4">
        <v>18.8</v>
      </c>
      <c r="O30" s="4">
        <v>18.8</v>
      </c>
      <c r="P30" s="4" t="s">
        <v>2234</v>
      </c>
      <c r="Q30" s="4">
        <v>18.8</v>
      </c>
      <c r="R30" s="4" t="s">
        <v>2235</v>
      </c>
    </row>
    <row r="31" spans="1:18" hidden="1" x14ac:dyDescent="0.35">
      <c r="A31" s="4" t="s">
        <v>1511</v>
      </c>
      <c r="B31" s="4" t="s">
        <v>4081</v>
      </c>
      <c r="C31" s="4" t="s">
        <v>1512</v>
      </c>
      <c r="D31" s="4" t="s">
        <v>2287</v>
      </c>
      <c r="E31" s="4" t="s">
        <v>2288</v>
      </c>
      <c r="F31" s="4" t="s">
        <v>33</v>
      </c>
      <c r="G31" s="4" t="s">
        <v>46</v>
      </c>
      <c r="H31" s="4" t="s">
        <v>2231</v>
      </c>
      <c r="I31" s="5">
        <v>91052</v>
      </c>
      <c r="J31" s="4" t="s">
        <v>1514</v>
      </c>
      <c r="K31" s="4" t="s">
        <v>701</v>
      </c>
      <c r="L31" s="4">
        <v>2005</v>
      </c>
      <c r="M31" s="4" t="s">
        <v>27</v>
      </c>
      <c r="N31" s="4">
        <v>21.6</v>
      </c>
      <c r="O31" s="4">
        <v>21.6</v>
      </c>
      <c r="P31" s="4" t="s">
        <v>2234</v>
      </c>
      <c r="Q31" s="4">
        <v>21.6</v>
      </c>
      <c r="R31" s="4" t="s">
        <v>2235</v>
      </c>
    </row>
    <row r="32" spans="1:18" hidden="1" x14ac:dyDescent="0.35">
      <c r="A32" s="4" t="s">
        <v>430</v>
      </c>
      <c r="B32" s="4" t="s">
        <v>4080</v>
      </c>
      <c r="C32" s="4" t="s">
        <v>431</v>
      </c>
      <c r="D32" s="4" t="s">
        <v>2265</v>
      </c>
      <c r="E32" s="4" t="s">
        <v>527</v>
      </c>
      <c r="F32" s="4" t="s">
        <v>33</v>
      </c>
      <c r="G32" s="4" t="s">
        <v>46</v>
      </c>
      <c r="H32" s="4" t="s">
        <v>2231</v>
      </c>
      <c r="I32" s="5" t="s">
        <v>433</v>
      </c>
      <c r="J32" s="4" t="s">
        <v>434</v>
      </c>
      <c r="K32" s="4" t="s">
        <v>132</v>
      </c>
      <c r="L32" s="4">
        <v>2014</v>
      </c>
      <c r="M32" s="4" t="s">
        <v>27</v>
      </c>
      <c r="N32" s="4">
        <v>14.89</v>
      </c>
      <c r="O32" s="4">
        <v>14.89</v>
      </c>
      <c r="P32" s="4" t="s">
        <v>2234</v>
      </c>
      <c r="Q32" s="4">
        <v>14.89</v>
      </c>
      <c r="R32" s="4" t="s">
        <v>2235</v>
      </c>
    </row>
    <row r="33" spans="1:18" hidden="1" x14ac:dyDescent="0.35">
      <c r="A33" s="4" t="s">
        <v>2289</v>
      </c>
      <c r="B33" s="4" t="s">
        <v>4080</v>
      </c>
      <c r="C33" s="4" t="s">
        <v>431</v>
      </c>
      <c r="D33" s="4" t="s">
        <v>2265</v>
      </c>
      <c r="E33" s="4" t="s">
        <v>159</v>
      </c>
      <c r="F33" s="4" t="s">
        <v>33</v>
      </c>
      <c r="G33" s="4" t="s">
        <v>46</v>
      </c>
      <c r="H33" s="4" t="s">
        <v>2231</v>
      </c>
      <c r="I33" s="5" t="s">
        <v>433</v>
      </c>
      <c r="J33" s="4" t="s">
        <v>434</v>
      </c>
      <c r="K33" s="4" t="s">
        <v>132</v>
      </c>
      <c r="L33" s="4">
        <v>2014</v>
      </c>
      <c r="M33" s="4" t="s">
        <v>27</v>
      </c>
      <c r="N33" s="4">
        <v>5.9</v>
      </c>
      <c r="O33" s="4">
        <v>5.9</v>
      </c>
      <c r="P33" s="4" t="s">
        <v>2234</v>
      </c>
      <c r="Q33" s="4">
        <v>5.9</v>
      </c>
      <c r="R33" s="4" t="s">
        <v>2235</v>
      </c>
    </row>
    <row r="34" spans="1:18" hidden="1" x14ac:dyDescent="0.35">
      <c r="A34" s="4" t="s">
        <v>2290</v>
      </c>
      <c r="B34" s="4" t="s">
        <v>4080</v>
      </c>
      <c r="C34" s="4" t="s">
        <v>2291</v>
      </c>
      <c r="D34" s="4" t="s">
        <v>2292</v>
      </c>
      <c r="E34" s="4" t="s">
        <v>1672</v>
      </c>
      <c r="F34" s="4" t="s">
        <v>33</v>
      </c>
      <c r="G34" s="4" t="s">
        <v>137</v>
      </c>
      <c r="H34" s="4" t="s">
        <v>2231</v>
      </c>
      <c r="I34" s="5" t="s">
        <v>2293</v>
      </c>
      <c r="J34" s="4" t="s">
        <v>2294</v>
      </c>
      <c r="K34" s="4" t="s">
        <v>132</v>
      </c>
      <c r="L34" s="4">
        <v>1998</v>
      </c>
      <c r="M34" s="4" t="s">
        <v>27</v>
      </c>
      <c r="N34" s="4">
        <v>3.9</v>
      </c>
      <c r="O34" s="4">
        <v>3.9</v>
      </c>
      <c r="P34" s="4" t="s">
        <v>2234</v>
      </c>
      <c r="Q34" s="4">
        <v>3.9</v>
      </c>
      <c r="R34" s="4" t="s">
        <v>2235</v>
      </c>
    </row>
    <row r="35" spans="1:18" hidden="1" x14ac:dyDescent="0.35">
      <c r="A35" s="4" t="s">
        <v>2295</v>
      </c>
      <c r="B35" s="4" t="s">
        <v>4080</v>
      </c>
      <c r="C35" s="4" t="s">
        <v>2291</v>
      </c>
      <c r="D35" s="4" t="s">
        <v>2292</v>
      </c>
      <c r="E35" s="4" t="s">
        <v>1094</v>
      </c>
      <c r="F35" s="4" t="s">
        <v>33</v>
      </c>
      <c r="G35" s="4" t="s">
        <v>137</v>
      </c>
      <c r="H35" s="4" t="s">
        <v>2231</v>
      </c>
      <c r="I35" s="5" t="s">
        <v>2293</v>
      </c>
      <c r="J35" s="4" t="s">
        <v>2294</v>
      </c>
      <c r="K35" s="4" t="s">
        <v>132</v>
      </c>
      <c r="L35" s="4">
        <v>1998</v>
      </c>
      <c r="M35" s="4" t="s">
        <v>27</v>
      </c>
      <c r="N35" s="4">
        <v>3.9</v>
      </c>
      <c r="O35" s="4">
        <v>3.9</v>
      </c>
      <c r="P35" s="4" t="s">
        <v>2234</v>
      </c>
      <c r="Q35" s="4">
        <v>3.9</v>
      </c>
      <c r="R35" s="4" t="s">
        <v>2235</v>
      </c>
    </row>
    <row r="36" spans="1:18" hidden="1" x14ac:dyDescent="0.35">
      <c r="A36" s="4" t="s">
        <v>2296</v>
      </c>
      <c r="B36" s="4" t="s">
        <v>4080</v>
      </c>
      <c r="C36" s="4" t="s">
        <v>2291</v>
      </c>
      <c r="D36" s="4" t="s">
        <v>2292</v>
      </c>
      <c r="E36" s="4" t="s">
        <v>986</v>
      </c>
      <c r="F36" s="4" t="s">
        <v>33</v>
      </c>
      <c r="G36" s="4" t="s">
        <v>137</v>
      </c>
      <c r="H36" s="4" t="s">
        <v>2231</v>
      </c>
      <c r="I36" s="5" t="s">
        <v>2293</v>
      </c>
      <c r="J36" s="4" t="s">
        <v>2294</v>
      </c>
      <c r="K36" s="4" t="s">
        <v>132</v>
      </c>
      <c r="L36" s="4">
        <v>1998</v>
      </c>
      <c r="M36" s="4" t="s">
        <v>27</v>
      </c>
      <c r="N36" s="4">
        <v>3.9</v>
      </c>
      <c r="O36" s="4">
        <v>3.9</v>
      </c>
      <c r="P36" s="4" t="s">
        <v>2234</v>
      </c>
      <c r="Q36" s="4">
        <v>3.9</v>
      </c>
      <c r="R36" s="4" t="s">
        <v>2235</v>
      </c>
    </row>
    <row r="37" spans="1:18" hidden="1" x14ac:dyDescent="0.35">
      <c r="A37" s="4" t="s">
        <v>2297</v>
      </c>
      <c r="B37" s="4" t="s">
        <v>4080</v>
      </c>
      <c r="C37" s="4" t="s">
        <v>2291</v>
      </c>
      <c r="D37" s="4" t="s">
        <v>2292</v>
      </c>
      <c r="E37" s="4" t="s">
        <v>990</v>
      </c>
      <c r="F37" s="4" t="s">
        <v>33</v>
      </c>
      <c r="G37" s="4" t="s">
        <v>137</v>
      </c>
      <c r="H37" s="4" t="s">
        <v>2231</v>
      </c>
      <c r="I37" s="5" t="s">
        <v>2293</v>
      </c>
      <c r="J37" s="4" t="s">
        <v>2294</v>
      </c>
      <c r="K37" s="4" t="s">
        <v>132</v>
      </c>
      <c r="L37" s="4">
        <v>1998</v>
      </c>
      <c r="M37" s="4" t="s">
        <v>27</v>
      </c>
      <c r="N37" s="4">
        <v>3.9</v>
      </c>
      <c r="O37" s="4">
        <v>3.9</v>
      </c>
      <c r="P37" s="4" t="s">
        <v>2234</v>
      </c>
      <c r="Q37" s="4">
        <v>3.9</v>
      </c>
      <c r="R37" s="4" t="s">
        <v>2235</v>
      </c>
    </row>
    <row r="38" spans="1:18" hidden="1" x14ac:dyDescent="0.35">
      <c r="A38" s="4" t="s">
        <v>2298</v>
      </c>
      <c r="B38" s="4" t="s">
        <v>4080</v>
      </c>
      <c r="C38" s="4" t="s">
        <v>2291</v>
      </c>
      <c r="D38" s="4" t="s">
        <v>2292</v>
      </c>
      <c r="E38" s="4" t="s">
        <v>2299</v>
      </c>
      <c r="F38" s="4" t="s">
        <v>33</v>
      </c>
      <c r="G38" s="4" t="s">
        <v>137</v>
      </c>
      <c r="H38" s="4" t="s">
        <v>2231</v>
      </c>
      <c r="I38" s="5" t="s">
        <v>2293</v>
      </c>
      <c r="J38" s="4" t="s">
        <v>2294</v>
      </c>
      <c r="K38" s="4" t="s">
        <v>132</v>
      </c>
      <c r="L38" s="4">
        <v>1998</v>
      </c>
      <c r="M38" s="4" t="s">
        <v>27</v>
      </c>
      <c r="N38" s="4">
        <v>3.9</v>
      </c>
      <c r="O38" s="4">
        <v>3.9</v>
      </c>
      <c r="P38" s="4" t="s">
        <v>2234</v>
      </c>
      <c r="Q38" s="4">
        <v>3.9</v>
      </c>
      <c r="R38" s="4" t="s">
        <v>2235</v>
      </c>
    </row>
    <row r="39" spans="1:18" hidden="1" x14ac:dyDescent="0.35">
      <c r="A39" s="4" t="s">
        <v>2300</v>
      </c>
      <c r="B39" s="4" t="s">
        <v>4080</v>
      </c>
      <c r="C39" s="4" t="s">
        <v>2291</v>
      </c>
      <c r="D39" s="4" t="s">
        <v>2292</v>
      </c>
      <c r="E39" s="4" t="s">
        <v>992</v>
      </c>
      <c r="F39" s="4" t="s">
        <v>33</v>
      </c>
      <c r="G39" s="4" t="s">
        <v>137</v>
      </c>
      <c r="H39" s="4" t="s">
        <v>2231</v>
      </c>
      <c r="I39" s="5" t="s">
        <v>2293</v>
      </c>
      <c r="J39" s="4" t="s">
        <v>2294</v>
      </c>
      <c r="K39" s="4" t="s">
        <v>132</v>
      </c>
      <c r="L39" s="4">
        <v>1998</v>
      </c>
      <c r="M39" s="4" t="s">
        <v>27</v>
      </c>
      <c r="N39" s="4">
        <v>3.9</v>
      </c>
      <c r="O39" s="4">
        <v>3.9</v>
      </c>
      <c r="P39" s="4" t="s">
        <v>2234</v>
      </c>
      <c r="Q39" s="4">
        <v>3.9</v>
      </c>
      <c r="R39" s="4" t="s">
        <v>2235</v>
      </c>
    </row>
    <row r="40" spans="1:18" hidden="1" x14ac:dyDescent="0.35">
      <c r="A40" s="4" t="s">
        <v>1762</v>
      </c>
      <c r="B40" s="4" t="s">
        <v>4081</v>
      </c>
      <c r="C40" s="4" t="s">
        <v>1757</v>
      </c>
      <c r="D40" s="4" t="s">
        <v>2301</v>
      </c>
      <c r="E40" s="4" t="s">
        <v>2302</v>
      </c>
      <c r="F40" s="4" t="s">
        <v>33</v>
      </c>
      <c r="G40" s="4" t="s">
        <v>46</v>
      </c>
      <c r="H40" s="4" t="s">
        <v>2231</v>
      </c>
      <c r="I40" s="5">
        <v>97080</v>
      </c>
      <c r="J40" s="4" t="s">
        <v>2303</v>
      </c>
      <c r="K40" s="4" t="s">
        <v>701</v>
      </c>
      <c r="L40" s="4">
        <v>1971</v>
      </c>
      <c r="M40" s="4" t="s">
        <v>27</v>
      </c>
      <c r="N40" s="4">
        <v>23</v>
      </c>
      <c r="O40" s="4">
        <v>23</v>
      </c>
      <c r="P40" s="4" t="s">
        <v>2234</v>
      </c>
      <c r="Q40" s="4">
        <v>23</v>
      </c>
      <c r="R40" s="4" t="s">
        <v>2235</v>
      </c>
    </row>
    <row r="41" spans="1:18" hidden="1" x14ac:dyDescent="0.35">
      <c r="A41" s="4" t="s">
        <v>1764</v>
      </c>
      <c r="B41" s="4" t="s">
        <v>4081</v>
      </c>
      <c r="C41" s="4" t="s">
        <v>1757</v>
      </c>
      <c r="D41" s="4" t="s">
        <v>2301</v>
      </c>
      <c r="E41" s="4" t="s">
        <v>2304</v>
      </c>
      <c r="F41" s="4" t="s">
        <v>33</v>
      </c>
      <c r="G41" s="4" t="s">
        <v>46</v>
      </c>
      <c r="H41" s="4" t="s">
        <v>2231</v>
      </c>
      <c r="I41" s="5">
        <v>97080</v>
      </c>
      <c r="J41" s="4" t="s">
        <v>2303</v>
      </c>
      <c r="K41" s="4" t="s">
        <v>701</v>
      </c>
      <c r="L41" s="4">
        <v>1993</v>
      </c>
      <c r="M41" s="4" t="s">
        <v>27</v>
      </c>
      <c r="N41" s="4">
        <v>25</v>
      </c>
      <c r="O41" s="4">
        <v>25</v>
      </c>
      <c r="P41" s="4" t="s">
        <v>2234</v>
      </c>
      <c r="Q41" s="4">
        <v>25</v>
      </c>
      <c r="R41" s="4" t="s">
        <v>2235</v>
      </c>
    </row>
    <row r="42" spans="1:18" hidden="1" x14ac:dyDescent="0.35">
      <c r="A42" s="4" t="s">
        <v>1766</v>
      </c>
      <c r="B42" s="4" t="s">
        <v>4081</v>
      </c>
      <c r="C42" s="4" t="s">
        <v>1757</v>
      </c>
      <c r="D42" s="4" t="s">
        <v>2301</v>
      </c>
      <c r="E42" s="4" t="s">
        <v>2305</v>
      </c>
      <c r="F42" s="4" t="s">
        <v>33</v>
      </c>
      <c r="G42" s="4" t="s">
        <v>46</v>
      </c>
      <c r="H42" s="4" t="s">
        <v>2231</v>
      </c>
      <c r="I42" s="5">
        <v>97080</v>
      </c>
      <c r="J42" s="4" t="s">
        <v>2303</v>
      </c>
      <c r="K42" s="4" t="s">
        <v>701</v>
      </c>
      <c r="L42" s="4">
        <v>2009</v>
      </c>
      <c r="M42" s="4" t="s">
        <v>27</v>
      </c>
      <c r="N42" s="4">
        <v>30</v>
      </c>
      <c r="O42" s="4">
        <v>30</v>
      </c>
      <c r="P42" s="4" t="s">
        <v>2234</v>
      </c>
      <c r="Q42" s="4">
        <v>30</v>
      </c>
      <c r="R42" s="4" t="s">
        <v>2235</v>
      </c>
    </row>
    <row r="43" spans="1:18" hidden="1" x14ac:dyDescent="0.35">
      <c r="A43" s="4" t="s">
        <v>1768</v>
      </c>
      <c r="B43" s="4" t="s">
        <v>4081</v>
      </c>
      <c r="C43" s="4" t="s">
        <v>1757</v>
      </c>
      <c r="D43" s="4" t="s">
        <v>2301</v>
      </c>
      <c r="E43" s="4" t="s">
        <v>2306</v>
      </c>
      <c r="F43" s="4" t="s">
        <v>33</v>
      </c>
      <c r="G43" s="4" t="s">
        <v>46</v>
      </c>
      <c r="H43" s="4" t="s">
        <v>2231</v>
      </c>
      <c r="I43" s="5">
        <v>97080</v>
      </c>
      <c r="J43" s="4" t="s">
        <v>2303</v>
      </c>
      <c r="K43" s="4" t="s">
        <v>701</v>
      </c>
      <c r="L43" s="4">
        <v>2005</v>
      </c>
      <c r="M43" s="4" t="s">
        <v>27</v>
      </c>
      <c r="N43" s="4">
        <v>51</v>
      </c>
      <c r="O43" s="4">
        <v>51</v>
      </c>
      <c r="P43" s="4" t="s">
        <v>2234</v>
      </c>
      <c r="Q43" s="4">
        <v>51</v>
      </c>
      <c r="R43" s="4" t="s">
        <v>2235</v>
      </c>
    </row>
    <row r="44" spans="1:18" hidden="1" x14ac:dyDescent="0.35">
      <c r="A44" s="4" t="s">
        <v>2307</v>
      </c>
      <c r="B44" s="4" t="s">
        <v>4081</v>
      </c>
      <c r="C44" s="4" t="s">
        <v>1752</v>
      </c>
      <c r="D44" s="4" t="s">
        <v>2308</v>
      </c>
      <c r="E44" s="4" t="s">
        <v>2309</v>
      </c>
      <c r="F44" s="4" t="s">
        <v>33</v>
      </c>
      <c r="G44" s="4" t="s">
        <v>137</v>
      </c>
      <c r="H44" s="4" t="s">
        <v>2231</v>
      </c>
      <c r="I44" s="5">
        <v>83022</v>
      </c>
      <c r="J44" s="4" t="s">
        <v>1754</v>
      </c>
      <c r="K44" s="4" t="s">
        <v>701</v>
      </c>
      <c r="L44" s="4">
        <v>2011</v>
      </c>
      <c r="M44" s="4" t="s">
        <v>27</v>
      </c>
      <c r="N44" s="4">
        <v>3.28</v>
      </c>
      <c r="O44" s="4">
        <v>3.28</v>
      </c>
      <c r="P44" s="4" t="s">
        <v>2234</v>
      </c>
      <c r="Q44" s="4">
        <v>3.28</v>
      </c>
      <c r="R44" s="4" t="s">
        <v>2235</v>
      </c>
    </row>
    <row r="45" spans="1:18" hidden="1" x14ac:dyDescent="0.35">
      <c r="A45" s="4" t="s">
        <v>2310</v>
      </c>
      <c r="B45" s="4" t="s">
        <v>4081</v>
      </c>
      <c r="C45" s="4" t="s">
        <v>1752</v>
      </c>
      <c r="D45" s="4" t="s">
        <v>2308</v>
      </c>
      <c r="E45" s="4" t="s">
        <v>2311</v>
      </c>
      <c r="F45" s="4" t="s">
        <v>33</v>
      </c>
      <c r="G45" s="4" t="s">
        <v>137</v>
      </c>
      <c r="H45" s="4" t="s">
        <v>2231</v>
      </c>
      <c r="I45" s="5">
        <v>83022</v>
      </c>
      <c r="J45" s="4" t="s">
        <v>1754</v>
      </c>
      <c r="K45" s="4" t="s">
        <v>701</v>
      </c>
      <c r="L45" s="4">
        <v>2011</v>
      </c>
      <c r="M45" s="4" t="s">
        <v>27</v>
      </c>
      <c r="N45" s="4">
        <v>3.28</v>
      </c>
      <c r="O45" s="4">
        <v>3.28</v>
      </c>
      <c r="P45" s="4" t="s">
        <v>2234</v>
      </c>
      <c r="Q45" s="4">
        <v>3.28</v>
      </c>
      <c r="R45" s="4" t="s">
        <v>2235</v>
      </c>
    </row>
    <row r="46" spans="1:18" x14ac:dyDescent="0.35">
      <c r="A46" s="4" t="s">
        <v>2312</v>
      </c>
      <c r="B46" s="4" t="s">
        <v>4080</v>
      </c>
      <c r="C46" s="4" t="s">
        <v>1725</v>
      </c>
      <c r="D46" s="4" t="s">
        <v>2313</v>
      </c>
      <c r="E46" s="4" t="s">
        <v>159</v>
      </c>
      <c r="F46" s="4" t="s">
        <v>33</v>
      </c>
      <c r="G46" s="4" t="s">
        <v>46</v>
      </c>
      <c r="H46" s="4" t="s">
        <v>2231</v>
      </c>
      <c r="I46" s="5">
        <v>34134</v>
      </c>
      <c r="J46" s="4" t="s">
        <v>1644</v>
      </c>
      <c r="K46" s="4" t="s">
        <v>865</v>
      </c>
      <c r="L46" s="4">
        <v>1988</v>
      </c>
      <c r="M46" s="4" t="s">
        <v>27</v>
      </c>
      <c r="N46" s="4">
        <v>9.76</v>
      </c>
      <c r="O46" s="4">
        <v>9.76</v>
      </c>
      <c r="P46" s="4" t="s">
        <v>2234</v>
      </c>
      <c r="Q46" s="4">
        <v>9.76</v>
      </c>
      <c r="R46" s="4" t="s">
        <v>2235</v>
      </c>
    </row>
    <row r="47" spans="1:18" hidden="1" x14ac:dyDescent="0.35">
      <c r="A47" s="4" t="s">
        <v>1594</v>
      </c>
      <c r="B47" s="4" t="s">
        <v>4081</v>
      </c>
      <c r="C47" s="4" t="s">
        <v>2314</v>
      </c>
      <c r="D47" s="4" t="s">
        <v>1596</v>
      </c>
      <c r="E47" s="4" t="s">
        <v>2227</v>
      </c>
      <c r="F47" s="4" t="s">
        <v>33</v>
      </c>
      <c r="G47" s="4" t="s">
        <v>46</v>
      </c>
      <c r="H47" s="4" t="s">
        <v>2231</v>
      </c>
      <c r="I47" s="5">
        <v>63784</v>
      </c>
      <c r="J47" s="4" t="s">
        <v>2315</v>
      </c>
      <c r="K47" s="4" t="s">
        <v>701</v>
      </c>
      <c r="L47" s="4">
        <v>1956</v>
      </c>
      <c r="M47" s="4" t="s">
        <v>27</v>
      </c>
      <c r="N47" s="4">
        <v>112</v>
      </c>
      <c r="O47" s="4">
        <v>112</v>
      </c>
      <c r="P47" s="4" t="s">
        <v>2234</v>
      </c>
      <c r="Q47" s="4">
        <v>112</v>
      </c>
      <c r="R47" s="4" t="s">
        <v>2235</v>
      </c>
    </row>
    <row r="48" spans="1:18" x14ac:dyDescent="0.35">
      <c r="A48" s="4" t="s">
        <v>1792</v>
      </c>
      <c r="B48" s="4" t="s">
        <v>4080</v>
      </c>
      <c r="C48" s="4" t="s">
        <v>2316</v>
      </c>
      <c r="D48" s="4" t="s">
        <v>2317</v>
      </c>
      <c r="E48" s="4" t="s">
        <v>2318</v>
      </c>
      <c r="F48" s="4" t="s">
        <v>173</v>
      </c>
      <c r="G48" s="4" t="s">
        <v>409</v>
      </c>
      <c r="H48" s="4" t="s">
        <v>2231</v>
      </c>
      <c r="I48" s="5">
        <v>28219</v>
      </c>
      <c r="J48" s="4" t="s">
        <v>1531</v>
      </c>
      <c r="K48" s="4" t="s">
        <v>1531</v>
      </c>
      <c r="L48" s="4">
        <v>2012</v>
      </c>
      <c r="M48" s="4" t="s">
        <v>27</v>
      </c>
      <c r="N48" s="4">
        <v>49.2</v>
      </c>
      <c r="O48" s="4">
        <v>49.2</v>
      </c>
      <c r="P48" s="4" t="s">
        <v>173</v>
      </c>
      <c r="Q48" s="4">
        <v>49.2</v>
      </c>
      <c r="R48" s="4" t="s">
        <v>173</v>
      </c>
    </row>
    <row r="49" spans="1:18" x14ac:dyDescent="0.35">
      <c r="A49" s="4" t="s">
        <v>1785</v>
      </c>
      <c r="B49" s="4" t="s">
        <v>4080</v>
      </c>
      <c r="C49" s="4" t="s">
        <v>2316</v>
      </c>
      <c r="D49" s="4" t="s">
        <v>2317</v>
      </c>
      <c r="E49" s="4" t="s">
        <v>2319</v>
      </c>
      <c r="F49" s="4" t="s">
        <v>173</v>
      </c>
      <c r="G49" s="4" t="s">
        <v>409</v>
      </c>
      <c r="H49" s="4" t="s">
        <v>2231</v>
      </c>
      <c r="I49" s="5">
        <v>28219</v>
      </c>
      <c r="J49" s="4" t="s">
        <v>1531</v>
      </c>
      <c r="K49" s="4" t="s">
        <v>1531</v>
      </c>
      <c r="L49" s="4">
        <v>2012</v>
      </c>
      <c r="M49" s="4" t="s">
        <v>27</v>
      </c>
      <c r="N49" s="4">
        <v>13.3</v>
      </c>
      <c r="O49" s="4">
        <v>13.3</v>
      </c>
      <c r="P49" s="4" t="s">
        <v>173</v>
      </c>
      <c r="Q49" s="4">
        <v>13.3</v>
      </c>
      <c r="R49" s="4" t="s">
        <v>173</v>
      </c>
    </row>
    <row r="50" spans="1:18" x14ac:dyDescent="0.35">
      <c r="A50" s="4" t="s">
        <v>2320</v>
      </c>
      <c r="B50" s="4" t="s">
        <v>4080</v>
      </c>
      <c r="C50" s="4" t="s">
        <v>2316</v>
      </c>
      <c r="D50" s="4" t="s">
        <v>2317</v>
      </c>
      <c r="E50" s="4" t="s">
        <v>2321</v>
      </c>
      <c r="F50" s="4" t="s">
        <v>173</v>
      </c>
      <c r="G50" s="4" t="s">
        <v>409</v>
      </c>
      <c r="H50" s="4" t="s">
        <v>2231</v>
      </c>
      <c r="I50" s="5">
        <v>28219</v>
      </c>
      <c r="J50" s="4" t="s">
        <v>1531</v>
      </c>
      <c r="K50" s="4" t="s">
        <v>1531</v>
      </c>
      <c r="L50" s="4">
        <v>2012</v>
      </c>
      <c r="M50" s="4" t="s">
        <v>27</v>
      </c>
      <c r="N50" s="4">
        <v>2.6</v>
      </c>
      <c r="O50" s="4">
        <v>2.6</v>
      </c>
      <c r="P50" s="4" t="s">
        <v>173</v>
      </c>
      <c r="Q50" s="4">
        <v>2.6</v>
      </c>
      <c r="R50" s="4" t="s">
        <v>173</v>
      </c>
    </row>
    <row r="51" spans="1:18" x14ac:dyDescent="0.35">
      <c r="A51" s="4" t="s">
        <v>2322</v>
      </c>
      <c r="B51" s="4" t="s">
        <v>4080</v>
      </c>
      <c r="C51" s="4" t="s">
        <v>2323</v>
      </c>
      <c r="D51" s="4" t="s">
        <v>2324</v>
      </c>
      <c r="E51" s="4" t="s">
        <v>2227</v>
      </c>
      <c r="F51" s="4" t="s">
        <v>173</v>
      </c>
      <c r="G51" s="4" t="s">
        <v>409</v>
      </c>
      <c r="H51" s="4" t="s">
        <v>2231</v>
      </c>
      <c r="I51" s="5">
        <v>27570</v>
      </c>
      <c r="J51" s="4" t="s">
        <v>2325</v>
      </c>
      <c r="K51" s="4" t="s">
        <v>1531</v>
      </c>
      <c r="L51" s="4">
        <v>1977</v>
      </c>
      <c r="M51" s="4" t="s">
        <v>27</v>
      </c>
      <c r="N51" s="4">
        <v>14</v>
      </c>
      <c r="O51" s="4">
        <v>14</v>
      </c>
      <c r="P51" s="4" t="s">
        <v>173</v>
      </c>
      <c r="Q51" s="4">
        <v>14</v>
      </c>
      <c r="R51" s="4" t="s">
        <v>173</v>
      </c>
    </row>
    <row r="52" spans="1:18" hidden="1" x14ac:dyDescent="0.35">
      <c r="A52" s="4" t="s">
        <v>1898</v>
      </c>
      <c r="B52" s="4" t="s">
        <v>4081</v>
      </c>
      <c r="C52" s="4" t="s">
        <v>2326</v>
      </c>
      <c r="D52" s="4" t="s">
        <v>2327</v>
      </c>
      <c r="E52" s="4" t="s">
        <v>2227</v>
      </c>
      <c r="F52" s="4" t="s">
        <v>173</v>
      </c>
      <c r="G52" s="4" t="s">
        <v>409</v>
      </c>
      <c r="H52" s="4" t="s">
        <v>2231</v>
      </c>
      <c r="I52" s="5">
        <v>84508</v>
      </c>
      <c r="J52" s="4" t="s">
        <v>1560</v>
      </c>
      <c r="K52" s="4" t="s">
        <v>701</v>
      </c>
      <c r="L52" s="4">
        <v>1994</v>
      </c>
      <c r="M52" s="4" t="s">
        <v>27</v>
      </c>
      <c r="N52" s="4">
        <v>12.8</v>
      </c>
      <c r="O52" s="4">
        <v>12.8</v>
      </c>
      <c r="P52" s="4" t="s">
        <v>173</v>
      </c>
      <c r="Q52" s="4">
        <v>12.8</v>
      </c>
      <c r="R52" s="4" t="s">
        <v>173</v>
      </c>
    </row>
    <row r="53" spans="1:18" x14ac:dyDescent="0.35">
      <c r="A53" s="4" t="s">
        <v>1641</v>
      </c>
      <c r="B53" s="4" t="s">
        <v>4080</v>
      </c>
      <c r="C53" s="4" t="s">
        <v>2328</v>
      </c>
      <c r="D53" s="4" t="s">
        <v>2329</v>
      </c>
      <c r="E53" s="4" t="s">
        <v>2330</v>
      </c>
      <c r="F53" s="4" t="s">
        <v>173</v>
      </c>
      <c r="G53" s="4" t="s">
        <v>409</v>
      </c>
      <c r="H53" s="4" t="s">
        <v>2231</v>
      </c>
      <c r="I53" s="5">
        <v>34123</v>
      </c>
      <c r="J53" s="4" t="s">
        <v>1644</v>
      </c>
      <c r="K53" s="4" t="s">
        <v>865</v>
      </c>
      <c r="L53" s="4">
        <v>1985</v>
      </c>
      <c r="M53" s="4" t="s">
        <v>27</v>
      </c>
      <c r="N53" s="4">
        <v>14.7</v>
      </c>
      <c r="O53" s="4">
        <v>14.7</v>
      </c>
      <c r="P53" s="4" t="s">
        <v>173</v>
      </c>
      <c r="Q53" s="4">
        <v>14.7</v>
      </c>
      <c r="R53" s="4" t="s">
        <v>173</v>
      </c>
    </row>
    <row r="54" spans="1:18" x14ac:dyDescent="0.35">
      <c r="A54" s="4" t="s">
        <v>1715</v>
      </c>
      <c r="B54" s="4" t="s">
        <v>4080</v>
      </c>
      <c r="C54" s="4" t="s">
        <v>2331</v>
      </c>
      <c r="D54" s="4" t="s">
        <v>2332</v>
      </c>
      <c r="E54" s="4" t="s">
        <v>2333</v>
      </c>
      <c r="F54" s="4" t="s">
        <v>33</v>
      </c>
      <c r="G54" s="4" t="s">
        <v>409</v>
      </c>
      <c r="H54" s="4" t="s">
        <v>2231</v>
      </c>
      <c r="I54" s="5">
        <v>31061</v>
      </c>
      <c r="J54" s="4" t="s">
        <v>1717</v>
      </c>
      <c r="K54" s="4" t="s">
        <v>765</v>
      </c>
      <c r="L54" s="4">
        <v>1947</v>
      </c>
      <c r="M54" s="4" t="s">
        <v>27</v>
      </c>
      <c r="N54" s="4">
        <v>11</v>
      </c>
      <c r="O54" s="4">
        <v>11</v>
      </c>
      <c r="P54" s="4" t="s">
        <v>2234</v>
      </c>
      <c r="Q54" s="4">
        <v>11</v>
      </c>
      <c r="R54" s="4" t="s">
        <v>2235</v>
      </c>
    </row>
    <row r="55" spans="1:18" x14ac:dyDescent="0.35">
      <c r="A55" s="4" t="s">
        <v>2334</v>
      </c>
      <c r="B55" s="4" t="s">
        <v>4080</v>
      </c>
      <c r="C55" s="4" t="s">
        <v>2335</v>
      </c>
      <c r="D55" s="4" t="s">
        <v>2336</v>
      </c>
      <c r="E55" s="4" t="s">
        <v>2337</v>
      </c>
      <c r="F55" s="4" t="s">
        <v>33</v>
      </c>
      <c r="G55" s="4" t="s">
        <v>46</v>
      </c>
      <c r="H55" s="4" t="s">
        <v>2231</v>
      </c>
      <c r="I55" s="5">
        <v>27318</v>
      </c>
      <c r="J55" s="4" t="s">
        <v>2338</v>
      </c>
      <c r="K55" s="4" t="s">
        <v>765</v>
      </c>
      <c r="L55" s="4">
        <v>1996</v>
      </c>
      <c r="M55" s="4" t="s">
        <v>27</v>
      </c>
      <c r="N55" s="4">
        <v>4.3</v>
      </c>
      <c r="O55" s="4">
        <v>4.3</v>
      </c>
      <c r="P55" s="4" t="s">
        <v>2234</v>
      </c>
      <c r="Q55" s="4">
        <v>4.3</v>
      </c>
      <c r="R55" s="4" t="s">
        <v>2235</v>
      </c>
    </row>
    <row r="56" spans="1:18" x14ac:dyDescent="0.35">
      <c r="A56" s="4" t="s">
        <v>2339</v>
      </c>
      <c r="B56" s="4" t="s">
        <v>4080</v>
      </c>
      <c r="C56" s="4" t="s">
        <v>2340</v>
      </c>
      <c r="D56" s="4" t="s">
        <v>2341</v>
      </c>
      <c r="E56" s="4" t="s">
        <v>2342</v>
      </c>
      <c r="F56" s="4" t="s">
        <v>33</v>
      </c>
      <c r="G56" s="4" t="s">
        <v>46</v>
      </c>
      <c r="H56" s="4" t="s">
        <v>2231</v>
      </c>
      <c r="I56" s="5">
        <v>31515</v>
      </c>
      <c r="J56" s="4" t="s">
        <v>2343</v>
      </c>
      <c r="K56" s="4" t="s">
        <v>765</v>
      </c>
      <c r="L56" s="4">
        <v>1974</v>
      </c>
      <c r="M56" s="4" t="s">
        <v>27</v>
      </c>
      <c r="N56" s="4">
        <v>5.5</v>
      </c>
      <c r="O56" s="4">
        <v>5.5</v>
      </c>
      <c r="P56" s="4" t="s">
        <v>2234</v>
      </c>
      <c r="Q56" s="4">
        <v>5.5</v>
      </c>
      <c r="R56" s="4" t="s">
        <v>2235</v>
      </c>
    </row>
    <row r="57" spans="1:18" x14ac:dyDescent="0.35">
      <c r="A57" s="4" t="s">
        <v>2344</v>
      </c>
      <c r="B57" s="4" t="s">
        <v>4080</v>
      </c>
      <c r="C57" s="4" t="s">
        <v>2340</v>
      </c>
      <c r="D57" s="4" t="s">
        <v>2341</v>
      </c>
      <c r="E57" s="4" t="s">
        <v>2345</v>
      </c>
      <c r="F57" s="4" t="s">
        <v>33</v>
      </c>
      <c r="G57" s="4" t="s">
        <v>46</v>
      </c>
      <c r="H57" s="4" t="s">
        <v>2231</v>
      </c>
      <c r="I57" s="5">
        <v>31515</v>
      </c>
      <c r="J57" s="4" t="s">
        <v>2343</v>
      </c>
      <c r="K57" s="4" t="s">
        <v>765</v>
      </c>
      <c r="L57" s="4">
        <v>1974</v>
      </c>
      <c r="M57" s="4" t="s">
        <v>27</v>
      </c>
      <c r="N57" s="4">
        <v>9.3000000000000007</v>
      </c>
      <c r="O57" s="4">
        <v>9.3000000000000007</v>
      </c>
      <c r="P57" s="4" t="s">
        <v>2234</v>
      </c>
      <c r="Q57" s="4">
        <v>9.3000000000000007</v>
      </c>
      <c r="R57" s="4" t="s">
        <v>2235</v>
      </c>
    </row>
    <row r="58" spans="1:18" x14ac:dyDescent="0.35">
      <c r="A58" s="4" t="s">
        <v>2346</v>
      </c>
      <c r="B58" s="4" t="s">
        <v>4080</v>
      </c>
      <c r="C58" s="4" t="s">
        <v>2340</v>
      </c>
      <c r="D58" s="4" t="s">
        <v>2341</v>
      </c>
      <c r="E58" s="4" t="s">
        <v>2347</v>
      </c>
      <c r="F58" s="4" t="s">
        <v>33</v>
      </c>
      <c r="G58" s="4" t="s">
        <v>46</v>
      </c>
      <c r="H58" s="4" t="s">
        <v>2231</v>
      </c>
      <c r="I58" s="5">
        <v>31515</v>
      </c>
      <c r="J58" s="4" t="s">
        <v>2343</v>
      </c>
      <c r="K58" s="4" t="s">
        <v>765</v>
      </c>
      <c r="L58" s="4">
        <v>1974</v>
      </c>
      <c r="M58" s="4" t="s">
        <v>27</v>
      </c>
      <c r="N58" s="4">
        <v>7.5</v>
      </c>
      <c r="O58" s="4">
        <v>7.5</v>
      </c>
      <c r="P58" s="4" t="s">
        <v>2234</v>
      </c>
      <c r="Q58" s="4">
        <v>7.5</v>
      </c>
      <c r="R58" s="4" t="s">
        <v>2235</v>
      </c>
    </row>
    <row r="59" spans="1:18" hidden="1" x14ac:dyDescent="0.35">
      <c r="A59" s="4" t="s">
        <v>2348</v>
      </c>
      <c r="B59" s="4" t="s">
        <v>4081</v>
      </c>
      <c r="C59" s="4" t="s">
        <v>1583</v>
      </c>
      <c r="D59" s="4" t="s">
        <v>1591</v>
      </c>
      <c r="E59" s="4" t="s">
        <v>2227</v>
      </c>
      <c r="F59" s="4" t="s">
        <v>33</v>
      </c>
      <c r="G59" s="4" t="s">
        <v>409</v>
      </c>
      <c r="H59" s="4" t="s">
        <v>2231</v>
      </c>
      <c r="I59" s="5">
        <v>93309</v>
      </c>
      <c r="J59" s="4" t="s">
        <v>1585</v>
      </c>
      <c r="K59" s="4" t="s">
        <v>701</v>
      </c>
      <c r="L59" s="4">
        <v>1952</v>
      </c>
      <c r="M59" s="4" t="s">
        <v>27</v>
      </c>
      <c r="N59" s="4">
        <v>5.33</v>
      </c>
      <c r="O59" s="4">
        <v>5.33</v>
      </c>
      <c r="P59" s="4" t="s">
        <v>2234</v>
      </c>
      <c r="Q59" s="4">
        <v>5.33</v>
      </c>
      <c r="R59" s="4" t="s">
        <v>2235</v>
      </c>
    </row>
    <row r="60" spans="1:18" x14ac:dyDescent="0.35">
      <c r="A60" s="4" t="s">
        <v>1734</v>
      </c>
      <c r="B60" s="4" t="s">
        <v>4080</v>
      </c>
      <c r="C60" s="4" t="s">
        <v>1731</v>
      </c>
      <c r="D60" s="4" t="s">
        <v>2349</v>
      </c>
      <c r="E60" s="4" t="s">
        <v>1010</v>
      </c>
      <c r="F60" s="4" t="s">
        <v>33</v>
      </c>
      <c r="G60" s="4" t="s">
        <v>46</v>
      </c>
      <c r="H60" s="4" t="s">
        <v>2231</v>
      </c>
      <c r="I60" s="5">
        <v>33611</v>
      </c>
      <c r="J60" s="4" t="s">
        <v>1636</v>
      </c>
      <c r="K60" s="4" t="s">
        <v>693</v>
      </c>
      <c r="L60" s="4">
        <v>1978</v>
      </c>
      <c r="M60" s="4" t="s">
        <v>27</v>
      </c>
      <c r="N60" s="4">
        <v>23.5</v>
      </c>
      <c r="O60" s="4">
        <v>23.5</v>
      </c>
      <c r="P60" s="4" t="s">
        <v>2234</v>
      </c>
      <c r="Q60" s="4">
        <v>23.5</v>
      </c>
      <c r="R60" s="4" t="s">
        <v>2235</v>
      </c>
    </row>
    <row r="61" spans="1:18" x14ac:dyDescent="0.35">
      <c r="A61" s="4" t="s">
        <v>1459</v>
      </c>
      <c r="B61" s="4" t="s">
        <v>4080</v>
      </c>
      <c r="C61" s="4" t="s">
        <v>1451</v>
      </c>
      <c r="D61" s="4" t="s">
        <v>2350</v>
      </c>
      <c r="E61" s="4" t="s">
        <v>46</v>
      </c>
      <c r="F61" s="4" t="s">
        <v>33</v>
      </c>
      <c r="G61" s="4" t="s">
        <v>46</v>
      </c>
      <c r="H61" s="4" t="s">
        <v>2231</v>
      </c>
      <c r="I61" s="5">
        <v>38106</v>
      </c>
      <c r="J61" s="4" t="s">
        <v>1453</v>
      </c>
      <c r="K61" s="4" t="s">
        <v>765</v>
      </c>
      <c r="L61" s="4">
        <v>2010</v>
      </c>
      <c r="M61" s="4" t="s">
        <v>27</v>
      </c>
      <c r="N61" s="4">
        <v>74</v>
      </c>
      <c r="O61" s="4">
        <v>74</v>
      </c>
      <c r="P61" s="4" t="s">
        <v>2234</v>
      </c>
      <c r="Q61" s="4">
        <v>74</v>
      </c>
      <c r="R61" s="4" t="s">
        <v>2235</v>
      </c>
    </row>
    <row r="62" spans="1:18" x14ac:dyDescent="0.35">
      <c r="A62" s="4" t="s">
        <v>1450</v>
      </c>
      <c r="B62" s="4" t="s">
        <v>4080</v>
      </c>
      <c r="C62" s="4" t="s">
        <v>1451</v>
      </c>
      <c r="D62" s="4" t="s">
        <v>2351</v>
      </c>
      <c r="E62" s="4" t="s">
        <v>1010</v>
      </c>
      <c r="F62" s="4" t="s">
        <v>33</v>
      </c>
      <c r="G62" s="4" t="s">
        <v>36</v>
      </c>
      <c r="H62" s="4" t="s">
        <v>2231</v>
      </c>
      <c r="I62" s="5">
        <v>38112</v>
      </c>
      <c r="J62" s="4" t="s">
        <v>1453</v>
      </c>
      <c r="K62" s="4" t="s">
        <v>765</v>
      </c>
      <c r="L62" s="4">
        <v>1965</v>
      </c>
      <c r="M62" s="4" t="s">
        <v>27</v>
      </c>
      <c r="N62" s="4">
        <v>25</v>
      </c>
      <c r="O62" s="4">
        <v>25</v>
      </c>
      <c r="P62" s="4" t="s">
        <v>2234</v>
      </c>
      <c r="Q62" s="4">
        <v>25</v>
      </c>
      <c r="R62" s="4" t="s">
        <v>2235</v>
      </c>
    </row>
    <row r="63" spans="1:18" hidden="1" x14ac:dyDescent="0.35">
      <c r="A63" s="4" t="s">
        <v>1896</v>
      </c>
      <c r="B63" s="4" t="s">
        <v>4081</v>
      </c>
      <c r="C63" s="4" t="s">
        <v>2352</v>
      </c>
      <c r="D63" s="4" t="s">
        <v>2353</v>
      </c>
      <c r="E63" s="4" t="s">
        <v>1897</v>
      </c>
      <c r="F63" s="4" t="s">
        <v>33</v>
      </c>
      <c r="G63" s="4" t="s">
        <v>46</v>
      </c>
      <c r="H63" s="4" t="s">
        <v>2231</v>
      </c>
      <c r="I63" s="5">
        <v>84489</v>
      </c>
      <c r="J63" s="4" t="s">
        <v>1890</v>
      </c>
      <c r="K63" s="4" t="s">
        <v>701</v>
      </c>
      <c r="L63" s="4">
        <v>2001</v>
      </c>
      <c r="M63" s="4" t="s">
        <v>27</v>
      </c>
      <c r="N63" s="4">
        <v>137</v>
      </c>
      <c r="O63" s="4">
        <v>137</v>
      </c>
      <c r="P63" s="4" t="s">
        <v>2234</v>
      </c>
      <c r="Q63" s="4">
        <v>137</v>
      </c>
      <c r="R63" s="4" t="s">
        <v>2235</v>
      </c>
    </row>
    <row r="64" spans="1:18" x14ac:dyDescent="0.35">
      <c r="A64" s="4" t="s">
        <v>1622</v>
      </c>
      <c r="B64" s="4" t="s">
        <v>4080</v>
      </c>
      <c r="C64" s="4" t="s">
        <v>1612</v>
      </c>
      <c r="D64" s="4" t="s">
        <v>2354</v>
      </c>
      <c r="E64" s="4" t="s">
        <v>2355</v>
      </c>
      <c r="F64" s="4" t="s">
        <v>33</v>
      </c>
      <c r="G64" s="4" t="s">
        <v>36</v>
      </c>
      <c r="H64" s="4" t="s">
        <v>2231</v>
      </c>
      <c r="I64" s="5">
        <v>60627</v>
      </c>
      <c r="J64" s="4" t="s">
        <v>2356</v>
      </c>
      <c r="K64" s="4" t="s">
        <v>865</v>
      </c>
      <c r="L64" s="4">
        <v>1994</v>
      </c>
      <c r="M64" s="4" t="s">
        <v>27</v>
      </c>
      <c r="N64" s="4">
        <v>110.76</v>
      </c>
      <c r="O64" s="4">
        <v>110.76</v>
      </c>
      <c r="P64" s="4" t="s">
        <v>2234</v>
      </c>
      <c r="Q64" s="4">
        <v>110.76</v>
      </c>
      <c r="R64" s="4" t="s">
        <v>2235</v>
      </c>
    </row>
    <row r="65" spans="1:18" hidden="1" x14ac:dyDescent="0.35">
      <c r="A65" s="4" t="s">
        <v>2357</v>
      </c>
      <c r="B65" s="4" t="s">
        <v>4080</v>
      </c>
      <c r="C65" s="4" t="s">
        <v>2291</v>
      </c>
      <c r="D65" s="4" t="s">
        <v>2292</v>
      </c>
      <c r="E65" s="4" t="s">
        <v>994</v>
      </c>
      <c r="F65" s="4" t="s">
        <v>33</v>
      </c>
      <c r="G65" s="4" t="s">
        <v>137</v>
      </c>
      <c r="H65" s="4" t="s">
        <v>2231</v>
      </c>
      <c r="I65" s="5" t="s">
        <v>2293</v>
      </c>
      <c r="J65" s="4" t="s">
        <v>2294</v>
      </c>
      <c r="K65" s="4" t="s">
        <v>132</v>
      </c>
      <c r="L65" s="4">
        <v>1998</v>
      </c>
      <c r="M65" s="4" t="s">
        <v>27</v>
      </c>
      <c r="N65" s="4">
        <v>3.9</v>
      </c>
      <c r="O65" s="4">
        <v>3.9</v>
      </c>
      <c r="P65" s="4" t="s">
        <v>2234</v>
      </c>
      <c r="Q65" s="4">
        <v>3.9</v>
      </c>
      <c r="R65" s="4" t="s">
        <v>2235</v>
      </c>
    </row>
    <row r="66" spans="1:18" x14ac:dyDescent="0.35">
      <c r="A66" s="4" t="s">
        <v>2358</v>
      </c>
      <c r="B66" s="4" t="s">
        <v>4080</v>
      </c>
      <c r="C66" s="4" t="s">
        <v>2359</v>
      </c>
      <c r="D66" s="4" t="s">
        <v>2360</v>
      </c>
      <c r="E66" s="4" t="s">
        <v>2227</v>
      </c>
      <c r="F66" s="4" t="s">
        <v>33</v>
      </c>
      <c r="G66" s="4" t="s">
        <v>36</v>
      </c>
      <c r="H66" s="4" t="s">
        <v>2231</v>
      </c>
      <c r="I66" s="5">
        <v>32657</v>
      </c>
      <c r="J66" s="4" t="s">
        <v>2361</v>
      </c>
      <c r="K66" s="4" t="s">
        <v>693</v>
      </c>
      <c r="L66" s="4">
        <v>1988</v>
      </c>
      <c r="M66" s="4" t="s">
        <v>27</v>
      </c>
      <c r="N66" s="4">
        <v>5.0999999999999996</v>
      </c>
      <c r="O66" s="4">
        <v>5.0999999999999996</v>
      </c>
      <c r="P66" s="4" t="s">
        <v>2234</v>
      </c>
      <c r="Q66" s="4">
        <v>5.0999999999999996</v>
      </c>
      <c r="R66" s="4" t="s">
        <v>2235</v>
      </c>
    </row>
    <row r="67" spans="1:18" x14ac:dyDescent="0.35">
      <c r="A67" s="4" t="s">
        <v>1528</v>
      </c>
      <c r="B67" s="4" t="s">
        <v>4080</v>
      </c>
      <c r="C67" s="4" t="s">
        <v>2362</v>
      </c>
      <c r="D67" s="4" t="s">
        <v>2363</v>
      </c>
      <c r="E67" s="4" t="s">
        <v>2364</v>
      </c>
      <c r="F67" s="4" t="s">
        <v>33</v>
      </c>
      <c r="G67" s="4" t="s">
        <v>46</v>
      </c>
      <c r="H67" s="4" t="s">
        <v>2249</v>
      </c>
      <c r="I67" s="5">
        <v>28237</v>
      </c>
      <c r="J67" s="4" t="s">
        <v>1531</v>
      </c>
      <c r="K67" s="4" t="s">
        <v>1531</v>
      </c>
      <c r="L67" s="4">
        <v>2016</v>
      </c>
      <c r="M67" s="4" t="s">
        <v>27</v>
      </c>
      <c r="N67" s="4">
        <v>444.5</v>
      </c>
      <c r="O67" s="4">
        <v>444.5</v>
      </c>
      <c r="P67" s="4" t="s">
        <v>2234</v>
      </c>
      <c r="Q67" s="4">
        <v>444.5</v>
      </c>
      <c r="R67" s="4" t="s">
        <v>2235</v>
      </c>
    </row>
    <row r="68" spans="1:18" hidden="1" x14ac:dyDescent="0.35">
      <c r="A68" s="4" t="s">
        <v>1699</v>
      </c>
      <c r="B68" s="4" t="s">
        <v>4081</v>
      </c>
      <c r="C68" s="4" t="s">
        <v>1059</v>
      </c>
      <c r="D68" s="4" t="s">
        <v>1700</v>
      </c>
      <c r="E68" s="4" t="s">
        <v>1700</v>
      </c>
      <c r="F68" s="4" t="s">
        <v>33</v>
      </c>
      <c r="G68" s="4" t="s">
        <v>46</v>
      </c>
      <c r="H68" s="4" t="s">
        <v>2231</v>
      </c>
      <c r="I68" s="5">
        <v>97483</v>
      </c>
      <c r="J68" s="4" t="s">
        <v>1701</v>
      </c>
      <c r="K68" s="4" t="s">
        <v>701</v>
      </c>
      <c r="L68" s="4">
        <v>2021</v>
      </c>
      <c r="M68" s="4" t="s">
        <v>27</v>
      </c>
      <c r="N68" s="4">
        <v>62.8</v>
      </c>
      <c r="O68" s="4">
        <v>62.8</v>
      </c>
      <c r="P68" s="4" t="s">
        <v>2234</v>
      </c>
      <c r="Q68" s="4">
        <v>62.8</v>
      </c>
      <c r="R68" s="4" t="s">
        <v>2235</v>
      </c>
    </row>
    <row r="69" spans="1:18" x14ac:dyDescent="0.35">
      <c r="A69" s="4" t="s">
        <v>1467</v>
      </c>
      <c r="B69" s="4" t="s">
        <v>4080</v>
      </c>
      <c r="C69" s="4" t="s">
        <v>1462</v>
      </c>
      <c r="D69" s="4" t="s">
        <v>2365</v>
      </c>
      <c r="E69" s="4" t="s">
        <v>1468</v>
      </c>
      <c r="F69" s="4" t="s">
        <v>33</v>
      </c>
      <c r="G69" s="4" t="s">
        <v>46</v>
      </c>
      <c r="H69" s="4" t="s">
        <v>2231</v>
      </c>
      <c r="I69" s="5">
        <v>21683</v>
      </c>
      <c r="J69" s="4" t="s">
        <v>1440</v>
      </c>
      <c r="K69" s="4" t="s">
        <v>765</v>
      </c>
      <c r="L69" s="4">
        <v>2014</v>
      </c>
      <c r="M69" s="4" t="s">
        <v>27</v>
      </c>
      <c r="N69" s="4">
        <v>44.98</v>
      </c>
      <c r="O69" s="4">
        <v>44.98</v>
      </c>
      <c r="P69" s="4" t="s">
        <v>2234</v>
      </c>
      <c r="Q69" s="4">
        <v>44.98</v>
      </c>
      <c r="R69" s="4" t="s">
        <v>2235</v>
      </c>
    </row>
    <row r="70" spans="1:18" x14ac:dyDescent="0.35">
      <c r="A70" s="4" t="s">
        <v>1469</v>
      </c>
      <c r="B70" s="4" t="s">
        <v>4080</v>
      </c>
      <c r="C70" s="4" t="s">
        <v>1462</v>
      </c>
      <c r="D70" s="4" t="s">
        <v>2365</v>
      </c>
      <c r="E70" s="4" t="s">
        <v>1470</v>
      </c>
      <c r="F70" s="4" t="s">
        <v>33</v>
      </c>
      <c r="G70" s="4" t="s">
        <v>46</v>
      </c>
      <c r="H70" s="4" t="s">
        <v>2231</v>
      </c>
      <c r="I70" s="5">
        <v>21683</v>
      </c>
      <c r="J70" s="4" t="s">
        <v>1440</v>
      </c>
      <c r="K70" s="4" t="s">
        <v>765</v>
      </c>
      <c r="L70" s="4">
        <v>2014</v>
      </c>
      <c r="M70" s="4" t="s">
        <v>27</v>
      </c>
      <c r="N70" s="4">
        <v>44.98</v>
      </c>
      <c r="O70" s="4">
        <v>44.98</v>
      </c>
      <c r="P70" s="4" t="s">
        <v>2234</v>
      </c>
      <c r="Q70" s="4">
        <v>44.98</v>
      </c>
      <c r="R70" s="4" t="s">
        <v>2235</v>
      </c>
    </row>
    <row r="71" spans="1:18" x14ac:dyDescent="0.35">
      <c r="A71" s="4" t="s">
        <v>1471</v>
      </c>
      <c r="B71" s="4" t="s">
        <v>4080</v>
      </c>
      <c r="C71" s="4" t="s">
        <v>1462</v>
      </c>
      <c r="D71" s="4" t="s">
        <v>2365</v>
      </c>
      <c r="E71" s="4" t="s">
        <v>1472</v>
      </c>
      <c r="F71" s="4" t="s">
        <v>33</v>
      </c>
      <c r="G71" s="4" t="s">
        <v>46</v>
      </c>
      <c r="H71" s="4" t="s">
        <v>2231</v>
      </c>
      <c r="I71" s="5">
        <v>21683</v>
      </c>
      <c r="J71" s="4" t="s">
        <v>1440</v>
      </c>
      <c r="K71" s="4" t="s">
        <v>765</v>
      </c>
      <c r="L71" s="4">
        <v>2014</v>
      </c>
      <c r="M71" s="4" t="s">
        <v>27</v>
      </c>
      <c r="N71" s="4">
        <v>44.98</v>
      </c>
      <c r="O71" s="4">
        <v>44.98</v>
      </c>
      <c r="P71" s="4" t="s">
        <v>2234</v>
      </c>
      <c r="Q71" s="4">
        <v>44.98</v>
      </c>
      <c r="R71" s="4" t="s">
        <v>2235</v>
      </c>
    </row>
    <row r="72" spans="1:18" x14ac:dyDescent="0.35">
      <c r="A72" s="4" t="s">
        <v>1465</v>
      </c>
      <c r="B72" s="4" t="s">
        <v>4080</v>
      </c>
      <c r="C72" s="4" t="s">
        <v>1462</v>
      </c>
      <c r="D72" s="4" t="s">
        <v>2365</v>
      </c>
      <c r="E72" s="4" t="s">
        <v>1466</v>
      </c>
      <c r="F72" s="4" t="s">
        <v>33</v>
      </c>
      <c r="G72" s="4" t="s">
        <v>46</v>
      </c>
      <c r="H72" s="4" t="s">
        <v>2231</v>
      </c>
      <c r="I72" s="5">
        <v>21683</v>
      </c>
      <c r="J72" s="4" t="s">
        <v>1440</v>
      </c>
      <c r="K72" s="4" t="s">
        <v>765</v>
      </c>
      <c r="L72" s="4">
        <v>2014</v>
      </c>
      <c r="M72" s="4" t="s">
        <v>27</v>
      </c>
      <c r="N72" s="4">
        <v>14</v>
      </c>
      <c r="O72" s="4">
        <v>14</v>
      </c>
      <c r="P72" s="4" t="s">
        <v>2234</v>
      </c>
      <c r="Q72" s="4">
        <v>14</v>
      </c>
      <c r="R72" s="4" t="s">
        <v>2235</v>
      </c>
    </row>
    <row r="73" spans="1:18" x14ac:dyDescent="0.35">
      <c r="A73" s="4" t="s">
        <v>1461</v>
      </c>
      <c r="B73" s="4" t="s">
        <v>4080</v>
      </c>
      <c r="C73" s="4" t="s">
        <v>1462</v>
      </c>
      <c r="D73" s="4" t="s">
        <v>2365</v>
      </c>
      <c r="E73" s="4" t="s">
        <v>1463</v>
      </c>
      <c r="F73" s="4" t="s">
        <v>33</v>
      </c>
      <c r="G73" s="4" t="s">
        <v>46</v>
      </c>
      <c r="H73" s="4" t="s">
        <v>2231</v>
      </c>
      <c r="I73" s="5">
        <v>21683</v>
      </c>
      <c r="J73" s="4" t="s">
        <v>1440</v>
      </c>
      <c r="K73" s="4" t="s">
        <v>765</v>
      </c>
      <c r="L73" s="4">
        <v>2014</v>
      </c>
      <c r="M73" s="4" t="s">
        <v>27</v>
      </c>
      <c r="N73" s="4">
        <v>13</v>
      </c>
      <c r="O73" s="4">
        <v>13</v>
      </c>
      <c r="P73" s="4" t="s">
        <v>2234</v>
      </c>
      <c r="Q73" s="4">
        <v>13</v>
      </c>
      <c r="R73" s="4" t="s">
        <v>2235</v>
      </c>
    </row>
    <row r="74" spans="1:18" x14ac:dyDescent="0.35">
      <c r="A74" s="4" t="s">
        <v>1881</v>
      </c>
      <c r="B74" s="4" t="s">
        <v>4080</v>
      </c>
      <c r="C74" s="4" t="s">
        <v>1861</v>
      </c>
      <c r="D74" s="4" t="s">
        <v>2366</v>
      </c>
      <c r="E74" s="4" t="s">
        <v>409</v>
      </c>
      <c r="F74" s="4" t="s">
        <v>33</v>
      </c>
      <c r="G74" s="4" t="s">
        <v>46</v>
      </c>
      <c r="H74" s="4" t="s">
        <v>2231</v>
      </c>
      <c r="I74" s="5">
        <v>34225</v>
      </c>
      <c r="J74" s="4" t="s">
        <v>1883</v>
      </c>
      <c r="K74" s="4" t="s">
        <v>865</v>
      </c>
      <c r="L74" s="4">
        <v>2013</v>
      </c>
      <c r="M74" s="4" t="s">
        <v>27</v>
      </c>
      <c r="N74" s="4">
        <v>29.3</v>
      </c>
      <c r="O74" s="4">
        <v>29.3</v>
      </c>
      <c r="P74" s="4" t="s">
        <v>2234</v>
      </c>
      <c r="Q74" s="4">
        <v>29.3</v>
      </c>
      <c r="R74" s="4" t="s">
        <v>2235</v>
      </c>
    </row>
    <row r="75" spans="1:18" x14ac:dyDescent="0.35">
      <c r="A75" s="4" t="s">
        <v>1885</v>
      </c>
      <c r="B75" s="4" t="s">
        <v>4080</v>
      </c>
      <c r="C75" s="4" t="s">
        <v>1861</v>
      </c>
      <c r="D75" s="4" t="s">
        <v>2366</v>
      </c>
      <c r="E75" s="4" t="s">
        <v>36</v>
      </c>
      <c r="F75" s="4" t="s">
        <v>33</v>
      </c>
      <c r="G75" s="4" t="s">
        <v>46</v>
      </c>
      <c r="H75" s="4" t="s">
        <v>2231</v>
      </c>
      <c r="I75" s="5">
        <v>34225</v>
      </c>
      <c r="J75" s="4" t="s">
        <v>1883</v>
      </c>
      <c r="K75" s="4" t="s">
        <v>865</v>
      </c>
      <c r="L75" s="4">
        <v>2013</v>
      </c>
      <c r="M75" s="4" t="s">
        <v>27</v>
      </c>
      <c r="N75" s="4">
        <v>45.07</v>
      </c>
      <c r="O75" s="4">
        <v>45.07</v>
      </c>
      <c r="P75" s="4" t="s">
        <v>2234</v>
      </c>
      <c r="Q75" s="4">
        <v>45.07</v>
      </c>
      <c r="R75" s="4" t="s">
        <v>2235</v>
      </c>
    </row>
    <row r="76" spans="1:18" x14ac:dyDescent="0.35">
      <c r="A76" s="4" t="s">
        <v>1442</v>
      </c>
      <c r="B76" s="4" t="s">
        <v>4080</v>
      </c>
      <c r="C76" s="4" t="s">
        <v>1438</v>
      </c>
      <c r="D76" s="4" t="s">
        <v>2367</v>
      </c>
      <c r="E76" s="4" t="s">
        <v>527</v>
      </c>
      <c r="F76" s="4" t="s">
        <v>33</v>
      </c>
      <c r="G76" s="4" t="s">
        <v>36</v>
      </c>
      <c r="H76" s="4" t="s">
        <v>2231</v>
      </c>
      <c r="I76" s="5">
        <v>21683</v>
      </c>
      <c r="J76" s="4" t="s">
        <v>2368</v>
      </c>
      <c r="K76" s="4" t="s">
        <v>765</v>
      </c>
      <c r="L76" s="4">
        <v>2012</v>
      </c>
      <c r="M76" s="4" t="s">
        <v>27</v>
      </c>
      <c r="N76" s="4">
        <v>15.36</v>
      </c>
      <c r="O76" s="4">
        <v>15.36</v>
      </c>
      <c r="P76" s="4" t="s">
        <v>2234</v>
      </c>
      <c r="Q76" s="4">
        <v>15.36</v>
      </c>
      <c r="R76" s="4" t="s">
        <v>2235</v>
      </c>
    </row>
    <row r="77" spans="1:18" x14ac:dyDescent="0.35">
      <c r="A77" s="4" t="s">
        <v>1437</v>
      </c>
      <c r="B77" s="4" t="s">
        <v>4080</v>
      </c>
      <c r="C77" s="4" t="s">
        <v>1438</v>
      </c>
      <c r="D77" s="4" t="s">
        <v>2367</v>
      </c>
      <c r="E77" s="4" t="s">
        <v>525</v>
      </c>
      <c r="F77" s="4" t="s">
        <v>33</v>
      </c>
      <c r="G77" s="4" t="s">
        <v>36</v>
      </c>
      <c r="H77" s="4" t="s">
        <v>2231</v>
      </c>
      <c r="I77" s="5">
        <v>21683</v>
      </c>
      <c r="J77" s="4" t="s">
        <v>2368</v>
      </c>
      <c r="K77" s="4" t="s">
        <v>765</v>
      </c>
      <c r="L77" s="4">
        <v>2012</v>
      </c>
      <c r="M77" s="4" t="s">
        <v>27</v>
      </c>
      <c r="N77" s="4">
        <v>15.36</v>
      </c>
      <c r="O77" s="4">
        <v>15.36</v>
      </c>
      <c r="P77" s="4" t="s">
        <v>2234</v>
      </c>
      <c r="Q77" s="4">
        <v>15.36</v>
      </c>
      <c r="R77" s="4" t="s">
        <v>2235</v>
      </c>
    </row>
    <row r="78" spans="1:18" x14ac:dyDescent="0.35">
      <c r="A78" s="4" t="s">
        <v>2369</v>
      </c>
      <c r="B78" s="4" t="s">
        <v>4080</v>
      </c>
      <c r="C78" s="4" t="s">
        <v>2335</v>
      </c>
      <c r="D78" s="4" t="s">
        <v>54</v>
      </c>
      <c r="E78" s="4" t="s">
        <v>2370</v>
      </c>
      <c r="F78" s="4" t="s">
        <v>33</v>
      </c>
      <c r="G78" s="4" t="s">
        <v>46</v>
      </c>
      <c r="H78" s="4" t="s">
        <v>2231</v>
      </c>
      <c r="I78" s="5">
        <v>27318</v>
      </c>
      <c r="J78" s="4" t="s">
        <v>2338</v>
      </c>
      <c r="K78" s="4" t="s">
        <v>765</v>
      </c>
      <c r="L78" s="4">
        <v>1996</v>
      </c>
      <c r="M78" s="4" t="s">
        <v>27</v>
      </c>
      <c r="N78" s="4">
        <v>5.2</v>
      </c>
      <c r="O78" s="4">
        <v>5.2</v>
      </c>
      <c r="P78" s="4" t="s">
        <v>2234</v>
      </c>
      <c r="Q78" s="4">
        <v>5.2</v>
      </c>
      <c r="R78" s="4" t="s">
        <v>2235</v>
      </c>
    </row>
    <row r="79" spans="1:18" hidden="1" x14ac:dyDescent="0.35">
      <c r="A79" s="4" t="s">
        <v>1887</v>
      </c>
      <c r="B79" s="4" t="s">
        <v>4081</v>
      </c>
      <c r="C79" s="4" t="s">
        <v>2352</v>
      </c>
      <c r="D79" s="4" t="s">
        <v>2371</v>
      </c>
      <c r="E79" s="4" t="s">
        <v>1889</v>
      </c>
      <c r="F79" s="4" t="s">
        <v>33</v>
      </c>
      <c r="G79" s="4" t="s">
        <v>46</v>
      </c>
      <c r="H79" s="4" t="s">
        <v>2231</v>
      </c>
      <c r="I79" s="5">
        <v>84489</v>
      </c>
      <c r="J79" s="4" t="s">
        <v>1890</v>
      </c>
      <c r="K79" s="4" t="s">
        <v>701</v>
      </c>
      <c r="L79" s="4">
        <v>1987</v>
      </c>
      <c r="M79" s="4" t="s">
        <v>27</v>
      </c>
      <c r="N79" s="4">
        <v>13.5</v>
      </c>
      <c r="O79" s="4">
        <v>13.5</v>
      </c>
      <c r="P79" s="4" t="s">
        <v>2234</v>
      </c>
      <c r="Q79" s="4">
        <v>13.5</v>
      </c>
      <c r="R79" s="4" t="s">
        <v>2235</v>
      </c>
    </row>
    <row r="80" spans="1:18" x14ac:dyDescent="0.35">
      <c r="A80" s="4" t="s">
        <v>1869</v>
      </c>
      <c r="B80" s="4" t="s">
        <v>4080</v>
      </c>
      <c r="C80" s="4" t="s">
        <v>1861</v>
      </c>
      <c r="D80" s="4" t="s">
        <v>2372</v>
      </c>
      <c r="E80" s="4" t="s">
        <v>2373</v>
      </c>
      <c r="F80" s="4" t="s">
        <v>33</v>
      </c>
      <c r="G80" s="4" t="s">
        <v>46</v>
      </c>
      <c r="H80" s="4" t="s">
        <v>2231</v>
      </c>
      <c r="I80" s="5">
        <v>38436</v>
      </c>
      <c r="J80" s="4" t="s">
        <v>1863</v>
      </c>
      <c r="K80" s="4" t="s">
        <v>765</v>
      </c>
      <c r="L80" s="4">
        <v>2021</v>
      </c>
      <c r="M80" s="4" t="s">
        <v>27</v>
      </c>
      <c r="N80" s="4">
        <v>49.4</v>
      </c>
      <c r="O80" s="4">
        <v>49.4</v>
      </c>
      <c r="P80" s="4" t="s">
        <v>2234</v>
      </c>
      <c r="Q80" s="4">
        <v>49.4</v>
      </c>
      <c r="R80" s="4" t="s">
        <v>2235</v>
      </c>
    </row>
    <row r="81" spans="1:18" x14ac:dyDescent="0.35">
      <c r="A81" s="4" t="s">
        <v>1789</v>
      </c>
      <c r="B81" s="4" t="s">
        <v>4080</v>
      </c>
      <c r="C81" s="4" t="s">
        <v>2316</v>
      </c>
      <c r="D81" s="4" t="s">
        <v>2374</v>
      </c>
      <c r="E81" s="4" t="s">
        <v>1790</v>
      </c>
      <c r="F81" s="4" t="s">
        <v>173</v>
      </c>
      <c r="G81" s="4" t="s">
        <v>409</v>
      </c>
      <c r="H81" s="4" t="s">
        <v>2231</v>
      </c>
      <c r="I81" s="5">
        <v>28237</v>
      </c>
      <c r="J81" s="4" t="s">
        <v>1531</v>
      </c>
      <c r="K81" s="4" t="s">
        <v>1531</v>
      </c>
      <c r="L81" s="4">
        <v>2009</v>
      </c>
      <c r="M81" s="4" t="s">
        <v>27</v>
      </c>
      <c r="N81" s="4">
        <v>32</v>
      </c>
      <c r="O81" s="4">
        <v>32</v>
      </c>
      <c r="P81" s="4" t="s">
        <v>173</v>
      </c>
      <c r="Q81" s="4">
        <v>32</v>
      </c>
      <c r="R81" s="4" t="s">
        <v>173</v>
      </c>
    </row>
    <row r="82" spans="1:18" x14ac:dyDescent="0.35">
      <c r="A82" s="4" t="s">
        <v>1629</v>
      </c>
      <c r="B82" s="4" t="s">
        <v>4080</v>
      </c>
      <c r="C82" s="4" t="s">
        <v>1612</v>
      </c>
      <c r="D82" s="4" t="s">
        <v>2375</v>
      </c>
      <c r="E82" s="4" t="s">
        <v>2376</v>
      </c>
      <c r="F82" s="4" t="s">
        <v>173</v>
      </c>
      <c r="G82" s="4" t="s">
        <v>409</v>
      </c>
      <c r="H82" s="4" t="s">
        <v>2231</v>
      </c>
      <c r="I82" s="5">
        <v>60439</v>
      </c>
      <c r="J82" s="4" t="s">
        <v>2356</v>
      </c>
      <c r="K82" s="4" t="s">
        <v>865</v>
      </c>
      <c r="L82" s="4">
        <v>1998</v>
      </c>
      <c r="M82" s="4" t="s">
        <v>27</v>
      </c>
      <c r="N82" s="4">
        <v>26</v>
      </c>
      <c r="O82" s="4">
        <v>26</v>
      </c>
      <c r="P82" s="4" t="s">
        <v>173</v>
      </c>
      <c r="Q82" s="4">
        <v>26</v>
      </c>
      <c r="R82" s="4" t="s">
        <v>173</v>
      </c>
    </row>
    <row r="83" spans="1:18" x14ac:dyDescent="0.35">
      <c r="A83" s="4" t="s">
        <v>1632</v>
      </c>
      <c r="B83" s="4" t="s">
        <v>4080</v>
      </c>
      <c r="C83" s="4" t="s">
        <v>1612</v>
      </c>
      <c r="D83" s="4" t="s">
        <v>2375</v>
      </c>
      <c r="E83" s="4" t="s">
        <v>2377</v>
      </c>
      <c r="F83" s="4" t="s">
        <v>173</v>
      </c>
      <c r="G83" s="4" t="s">
        <v>409</v>
      </c>
      <c r="H83" s="4" t="s">
        <v>2231</v>
      </c>
      <c r="I83" s="5">
        <v>60439</v>
      </c>
      <c r="J83" s="4" t="s">
        <v>2356</v>
      </c>
      <c r="K83" s="4" t="s">
        <v>865</v>
      </c>
      <c r="L83" s="4">
        <v>2006</v>
      </c>
      <c r="M83" s="4" t="s">
        <v>27</v>
      </c>
      <c r="N83" s="4">
        <v>46.5</v>
      </c>
      <c r="O83" s="4">
        <v>46.5</v>
      </c>
      <c r="P83" s="4" t="s">
        <v>173</v>
      </c>
      <c r="Q83" s="4">
        <v>46.5</v>
      </c>
      <c r="R83" s="4" t="s">
        <v>173</v>
      </c>
    </row>
    <row r="84" spans="1:18" x14ac:dyDescent="0.35">
      <c r="A84" s="4" t="s">
        <v>2378</v>
      </c>
      <c r="B84" s="4" t="s">
        <v>4080</v>
      </c>
      <c r="C84" s="4" t="s">
        <v>1505</v>
      </c>
      <c r="D84" s="4" t="s">
        <v>2379</v>
      </c>
      <c r="E84" s="4" t="s">
        <v>704</v>
      </c>
      <c r="F84" s="4" t="s">
        <v>173</v>
      </c>
      <c r="G84" s="4" t="s">
        <v>409</v>
      </c>
      <c r="H84" s="4" t="s">
        <v>2231</v>
      </c>
      <c r="I84" s="5">
        <v>31789</v>
      </c>
      <c r="J84" s="4" t="s">
        <v>1507</v>
      </c>
      <c r="K84" s="4" t="s">
        <v>765</v>
      </c>
      <c r="L84" s="4">
        <v>2000</v>
      </c>
      <c r="M84" s="4" t="s">
        <v>27</v>
      </c>
      <c r="N84" s="4">
        <v>4.93</v>
      </c>
      <c r="O84" s="4">
        <v>4.93</v>
      </c>
      <c r="P84" s="4" t="s">
        <v>173</v>
      </c>
      <c r="Q84" s="4">
        <v>4.93</v>
      </c>
      <c r="R84" s="4" t="s">
        <v>173</v>
      </c>
    </row>
    <row r="85" spans="1:18" x14ac:dyDescent="0.35">
      <c r="A85" s="4" t="s">
        <v>1844</v>
      </c>
      <c r="B85" s="4" t="s">
        <v>4080</v>
      </c>
      <c r="C85" s="4" t="s">
        <v>2380</v>
      </c>
      <c r="D85" s="4" t="s">
        <v>2381</v>
      </c>
      <c r="E85" s="4" t="s">
        <v>1845</v>
      </c>
      <c r="F85" s="4" t="s">
        <v>173</v>
      </c>
      <c r="G85" s="4" t="s">
        <v>409</v>
      </c>
      <c r="H85" s="4" t="s">
        <v>2231</v>
      </c>
      <c r="I85" s="5">
        <v>24534</v>
      </c>
      <c r="J85" s="4" t="s">
        <v>1842</v>
      </c>
      <c r="K85" s="4" t="s">
        <v>276</v>
      </c>
      <c r="L85" s="4">
        <v>2014</v>
      </c>
      <c r="M85" s="4" t="s">
        <v>27</v>
      </c>
      <c r="N85" s="4">
        <v>14.44</v>
      </c>
      <c r="O85" s="4">
        <v>14.44</v>
      </c>
      <c r="P85" s="4" t="s">
        <v>173</v>
      </c>
      <c r="Q85" s="4">
        <v>14.44</v>
      </c>
      <c r="R85" s="4" t="s">
        <v>173</v>
      </c>
    </row>
    <row r="86" spans="1:18" hidden="1" x14ac:dyDescent="0.35">
      <c r="A86" s="4" t="s">
        <v>1651</v>
      </c>
      <c r="B86" s="4" t="s">
        <v>4081</v>
      </c>
      <c r="C86" s="4" t="s">
        <v>2382</v>
      </c>
      <c r="D86" s="4" t="s">
        <v>2383</v>
      </c>
      <c r="E86" s="4" t="s">
        <v>2227</v>
      </c>
      <c r="F86" s="4" t="s">
        <v>173</v>
      </c>
      <c r="G86" s="4" t="s">
        <v>409</v>
      </c>
      <c r="H86" s="4" t="s">
        <v>2231</v>
      </c>
      <c r="I86" s="5">
        <v>90441</v>
      </c>
      <c r="J86" s="4" t="s">
        <v>2250</v>
      </c>
      <c r="K86" s="4" t="s">
        <v>701</v>
      </c>
      <c r="L86" s="4">
        <v>1996</v>
      </c>
      <c r="M86" s="4" t="s">
        <v>27</v>
      </c>
      <c r="N86" s="4">
        <v>18.8</v>
      </c>
      <c r="O86" s="4">
        <v>18.8</v>
      </c>
      <c r="P86" s="4" t="s">
        <v>173</v>
      </c>
      <c r="Q86" s="4">
        <v>18.8</v>
      </c>
      <c r="R86" s="4" t="s">
        <v>173</v>
      </c>
    </row>
    <row r="87" spans="1:18" hidden="1" x14ac:dyDescent="0.35">
      <c r="A87" s="4" t="s">
        <v>2384</v>
      </c>
      <c r="B87" s="4" t="s">
        <v>4081</v>
      </c>
      <c r="C87" s="4" t="s">
        <v>1752</v>
      </c>
      <c r="D87" s="4" t="s">
        <v>2385</v>
      </c>
      <c r="E87" s="4" t="s">
        <v>2386</v>
      </c>
      <c r="F87" s="4" t="s">
        <v>173</v>
      </c>
      <c r="G87" s="4" t="s">
        <v>409</v>
      </c>
      <c r="H87" s="4" t="s">
        <v>2231</v>
      </c>
      <c r="I87" s="5">
        <v>83022</v>
      </c>
      <c r="J87" s="4" t="s">
        <v>1754</v>
      </c>
      <c r="K87" s="4" t="s">
        <v>701</v>
      </c>
      <c r="L87" s="4">
        <v>1988</v>
      </c>
      <c r="M87" s="4" t="s">
        <v>27</v>
      </c>
      <c r="N87" s="4">
        <v>6.9</v>
      </c>
      <c r="O87" s="4">
        <v>6.9</v>
      </c>
      <c r="P87" s="4" t="s">
        <v>173</v>
      </c>
      <c r="Q87" s="4">
        <v>6.9</v>
      </c>
      <c r="R87" s="4" t="s">
        <v>173</v>
      </c>
    </row>
    <row r="88" spans="1:18" hidden="1" x14ac:dyDescent="0.35">
      <c r="A88" s="4" t="s">
        <v>1916</v>
      </c>
      <c r="B88" s="4" t="s">
        <v>4081</v>
      </c>
      <c r="C88" s="4" t="s">
        <v>2387</v>
      </c>
      <c r="D88" s="4" t="s">
        <v>2388</v>
      </c>
      <c r="E88" s="4" t="s">
        <v>1918</v>
      </c>
      <c r="F88" s="4" t="s">
        <v>173</v>
      </c>
      <c r="G88" s="4" t="s">
        <v>409</v>
      </c>
      <c r="H88" s="4" t="s">
        <v>2231</v>
      </c>
      <c r="I88" s="5">
        <v>85055</v>
      </c>
      <c r="J88" s="4" t="s">
        <v>1919</v>
      </c>
      <c r="K88" s="4" t="s">
        <v>701</v>
      </c>
      <c r="L88" s="4">
        <v>1984</v>
      </c>
      <c r="M88" s="4" t="s">
        <v>27</v>
      </c>
      <c r="N88" s="4">
        <v>18.239999999999998</v>
      </c>
      <c r="O88" s="4">
        <v>18.239999999999998</v>
      </c>
      <c r="P88" s="4" t="s">
        <v>173</v>
      </c>
      <c r="Q88" s="4">
        <v>18.239999999999998</v>
      </c>
      <c r="R88" s="4" t="s">
        <v>173</v>
      </c>
    </row>
    <row r="89" spans="1:18" hidden="1" x14ac:dyDescent="0.35">
      <c r="A89" s="4" t="s">
        <v>2389</v>
      </c>
      <c r="B89" s="4" t="s">
        <v>4081</v>
      </c>
      <c r="C89" s="4" t="s">
        <v>2387</v>
      </c>
      <c r="D89" s="4" t="s">
        <v>2388</v>
      </c>
      <c r="E89" s="4" t="s">
        <v>2390</v>
      </c>
      <c r="F89" s="4" t="s">
        <v>173</v>
      </c>
      <c r="G89" s="4" t="s">
        <v>409</v>
      </c>
      <c r="H89" s="4" t="s">
        <v>2231</v>
      </c>
      <c r="I89" s="5">
        <v>85055</v>
      </c>
      <c r="J89" s="4" t="s">
        <v>1919</v>
      </c>
      <c r="K89" s="4" t="s">
        <v>701</v>
      </c>
      <c r="L89" s="4">
        <v>1984</v>
      </c>
      <c r="M89" s="4" t="s">
        <v>27</v>
      </c>
      <c r="N89" s="4">
        <v>7.36</v>
      </c>
      <c r="O89" s="4">
        <v>7.36</v>
      </c>
      <c r="P89" s="4" t="s">
        <v>173</v>
      </c>
      <c r="Q89" s="4">
        <v>7.36</v>
      </c>
      <c r="R89" s="4" t="s">
        <v>173</v>
      </c>
    </row>
    <row r="90" spans="1:18" x14ac:dyDescent="0.35">
      <c r="A90" s="4" t="s">
        <v>1481</v>
      </c>
      <c r="B90" s="4" t="s">
        <v>4080</v>
      </c>
      <c r="C90" s="4" t="s">
        <v>1482</v>
      </c>
      <c r="D90" s="4" t="s">
        <v>2391</v>
      </c>
      <c r="E90" s="4" t="s">
        <v>2392</v>
      </c>
      <c r="F90" s="4" t="s">
        <v>173</v>
      </c>
      <c r="G90" s="4" t="s">
        <v>409</v>
      </c>
      <c r="H90" s="4" t="s">
        <v>2231</v>
      </c>
      <c r="I90" s="5">
        <v>38350</v>
      </c>
      <c r="J90" s="4" t="s">
        <v>2393</v>
      </c>
      <c r="K90" s="4" t="s">
        <v>765</v>
      </c>
      <c r="L90" s="4">
        <v>1998</v>
      </c>
      <c r="M90" s="4" t="s">
        <v>27</v>
      </c>
      <c r="N90" s="4">
        <v>37.5</v>
      </c>
      <c r="O90" s="4">
        <v>37.5</v>
      </c>
      <c r="P90" s="4" t="s">
        <v>173</v>
      </c>
      <c r="Q90" s="4">
        <v>37.5</v>
      </c>
      <c r="R90" s="4" t="s">
        <v>173</v>
      </c>
    </row>
    <row r="91" spans="1:18" x14ac:dyDescent="0.35">
      <c r="A91" s="4" t="s">
        <v>1578</v>
      </c>
      <c r="B91" s="4" t="s">
        <v>4080</v>
      </c>
      <c r="C91" s="4" t="s">
        <v>2394</v>
      </c>
      <c r="D91" s="4" t="s">
        <v>2395</v>
      </c>
      <c r="E91" s="4" t="s">
        <v>2396</v>
      </c>
      <c r="F91" s="4" t="s">
        <v>33</v>
      </c>
      <c r="G91" s="4" t="s">
        <v>46</v>
      </c>
      <c r="H91" s="4" t="s">
        <v>2231</v>
      </c>
      <c r="I91" s="5">
        <v>36269</v>
      </c>
      <c r="J91" s="4" t="s">
        <v>1570</v>
      </c>
      <c r="K91" s="4" t="s">
        <v>865</v>
      </c>
      <c r="L91" s="4">
        <v>2012</v>
      </c>
      <c r="M91" s="4" t="s">
        <v>27</v>
      </c>
      <c r="N91" s="4">
        <v>32</v>
      </c>
      <c r="O91" s="4">
        <v>32</v>
      </c>
      <c r="P91" s="4" t="s">
        <v>2234</v>
      </c>
      <c r="Q91" s="4">
        <v>32</v>
      </c>
      <c r="R91" s="4" t="s">
        <v>2235</v>
      </c>
    </row>
    <row r="92" spans="1:18" hidden="1" x14ac:dyDescent="0.35">
      <c r="A92" s="4" t="s">
        <v>2397</v>
      </c>
      <c r="B92" s="4" t="s">
        <v>4080</v>
      </c>
      <c r="C92" s="4" t="s">
        <v>2291</v>
      </c>
      <c r="D92" s="4" t="s">
        <v>2292</v>
      </c>
      <c r="E92" s="4" t="s">
        <v>2398</v>
      </c>
      <c r="F92" s="4" t="s">
        <v>33</v>
      </c>
      <c r="G92" s="4" t="s">
        <v>137</v>
      </c>
      <c r="H92" s="4" t="s">
        <v>2231</v>
      </c>
      <c r="I92" s="5" t="s">
        <v>2293</v>
      </c>
      <c r="J92" s="4" t="s">
        <v>2294</v>
      </c>
      <c r="K92" s="4" t="s">
        <v>132</v>
      </c>
      <c r="L92" s="4">
        <v>1998</v>
      </c>
      <c r="M92" s="4" t="s">
        <v>27</v>
      </c>
      <c r="N92" s="4">
        <v>3.9</v>
      </c>
      <c r="O92" s="4">
        <v>3.9</v>
      </c>
      <c r="P92" s="4" t="s">
        <v>2234</v>
      </c>
      <c r="Q92" s="4">
        <v>3.9</v>
      </c>
      <c r="R92" s="4" t="s">
        <v>2235</v>
      </c>
    </row>
    <row r="93" spans="1:18" hidden="1" x14ac:dyDescent="0.35">
      <c r="A93" s="4" t="s">
        <v>2399</v>
      </c>
      <c r="B93" s="4" t="s">
        <v>4081</v>
      </c>
      <c r="C93" s="4" t="s">
        <v>2400</v>
      </c>
      <c r="D93" s="4" t="s">
        <v>2401</v>
      </c>
      <c r="E93" s="4" t="s">
        <v>2402</v>
      </c>
      <c r="F93" s="4" t="s">
        <v>33</v>
      </c>
      <c r="G93" s="4" t="s">
        <v>137</v>
      </c>
      <c r="H93" s="4" t="s">
        <v>2231</v>
      </c>
      <c r="I93" s="5">
        <v>85326</v>
      </c>
      <c r="J93" s="4" t="s">
        <v>1824</v>
      </c>
      <c r="K93" s="4" t="s">
        <v>701</v>
      </c>
      <c r="L93" s="4">
        <v>2003</v>
      </c>
      <c r="M93" s="4" t="s">
        <v>27</v>
      </c>
      <c r="N93" s="4">
        <v>3.81</v>
      </c>
      <c r="O93" s="4">
        <v>3.81</v>
      </c>
      <c r="P93" s="4" t="s">
        <v>2234</v>
      </c>
      <c r="Q93" s="4">
        <v>3.81</v>
      </c>
      <c r="R93" s="4" t="s">
        <v>2235</v>
      </c>
    </row>
    <row r="94" spans="1:18" hidden="1" x14ac:dyDescent="0.35">
      <c r="A94" s="4" t="s">
        <v>2403</v>
      </c>
      <c r="B94" s="4" t="s">
        <v>4081</v>
      </c>
      <c r="C94" s="4" t="s">
        <v>2400</v>
      </c>
      <c r="D94" s="4" t="s">
        <v>2401</v>
      </c>
      <c r="E94" s="4" t="s">
        <v>2404</v>
      </c>
      <c r="F94" s="4" t="s">
        <v>33</v>
      </c>
      <c r="G94" s="4" t="s">
        <v>137</v>
      </c>
      <c r="H94" s="4" t="s">
        <v>2231</v>
      </c>
      <c r="I94" s="5">
        <v>85326</v>
      </c>
      <c r="J94" s="4" t="s">
        <v>1824</v>
      </c>
      <c r="K94" s="4" t="s">
        <v>701</v>
      </c>
      <c r="L94" s="4">
        <v>2003</v>
      </c>
      <c r="M94" s="4" t="s">
        <v>27</v>
      </c>
      <c r="N94" s="4">
        <v>3.81</v>
      </c>
      <c r="O94" s="4">
        <v>3.81</v>
      </c>
      <c r="P94" s="4" t="s">
        <v>2234</v>
      </c>
      <c r="Q94" s="4">
        <v>3.81</v>
      </c>
      <c r="R94" s="4" t="s">
        <v>2235</v>
      </c>
    </row>
    <row r="95" spans="1:18" hidden="1" x14ac:dyDescent="0.35">
      <c r="A95" s="4" t="s">
        <v>2405</v>
      </c>
      <c r="B95" s="4" t="s">
        <v>4080</v>
      </c>
      <c r="C95" s="4" t="s">
        <v>2291</v>
      </c>
      <c r="D95" s="4" t="s">
        <v>2292</v>
      </c>
      <c r="E95" s="4" t="s">
        <v>2406</v>
      </c>
      <c r="F95" s="4" t="s">
        <v>33</v>
      </c>
      <c r="G95" s="4" t="s">
        <v>137</v>
      </c>
      <c r="H95" s="4" t="s">
        <v>2231</v>
      </c>
      <c r="I95" s="5" t="s">
        <v>2293</v>
      </c>
      <c r="J95" s="4" t="s">
        <v>2294</v>
      </c>
      <c r="K95" s="4" t="s">
        <v>132</v>
      </c>
      <c r="L95" s="4">
        <v>1998</v>
      </c>
      <c r="M95" s="4" t="s">
        <v>27</v>
      </c>
      <c r="N95" s="4">
        <v>3.9</v>
      </c>
      <c r="O95" s="4">
        <v>3.9</v>
      </c>
      <c r="P95" s="4" t="s">
        <v>2234</v>
      </c>
      <c r="Q95" s="4">
        <v>3.9</v>
      </c>
      <c r="R95" s="4" t="s">
        <v>2235</v>
      </c>
    </row>
    <row r="96" spans="1:18" x14ac:dyDescent="0.35">
      <c r="A96" s="4" t="s">
        <v>1770</v>
      </c>
      <c r="B96" s="4" t="s">
        <v>4080</v>
      </c>
      <c r="C96" s="4" t="s">
        <v>1771</v>
      </c>
      <c r="D96" s="4" t="s">
        <v>2407</v>
      </c>
      <c r="E96" s="4" t="s">
        <v>2227</v>
      </c>
      <c r="F96" s="4" t="s">
        <v>173</v>
      </c>
      <c r="G96" s="4" t="s">
        <v>409</v>
      </c>
      <c r="H96" s="4" t="s">
        <v>2231</v>
      </c>
      <c r="I96" s="5">
        <v>25348</v>
      </c>
      <c r="J96" s="4" t="s">
        <v>2408</v>
      </c>
      <c r="K96" s="4" t="s">
        <v>276</v>
      </c>
      <c r="L96" s="4">
        <v>2010</v>
      </c>
      <c r="M96" s="4" t="s">
        <v>27</v>
      </c>
      <c r="N96" s="4">
        <v>17</v>
      </c>
      <c r="O96" s="4">
        <v>17</v>
      </c>
      <c r="P96" s="4" t="s">
        <v>173</v>
      </c>
      <c r="Q96" s="4">
        <v>17</v>
      </c>
      <c r="R96" s="4" t="s">
        <v>173</v>
      </c>
    </row>
    <row r="97" spans="1:18" hidden="1" x14ac:dyDescent="0.35">
      <c r="A97" s="4" t="s">
        <v>2409</v>
      </c>
      <c r="B97" s="4" t="s">
        <v>4080</v>
      </c>
      <c r="C97" s="4" t="s">
        <v>2410</v>
      </c>
      <c r="D97" s="4" t="s">
        <v>2411</v>
      </c>
      <c r="E97" s="4" t="s">
        <v>1672</v>
      </c>
      <c r="F97" s="4" t="s">
        <v>33</v>
      </c>
      <c r="G97" s="4" t="s">
        <v>137</v>
      </c>
      <c r="H97" s="4" t="s">
        <v>2231</v>
      </c>
      <c r="I97" s="5" t="s">
        <v>2293</v>
      </c>
      <c r="J97" s="4" t="s">
        <v>2294</v>
      </c>
      <c r="K97" s="4" t="s">
        <v>132</v>
      </c>
      <c r="L97" s="4">
        <v>2005</v>
      </c>
      <c r="M97" s="4" t="s">
        <v>27</v>
      </c>
      <c r="N97" s="4">
        <v>3.8</v>
      </c>
      <c r="O97" s="4">
        <v>3.8</v>
      </c>
      <c r="P97" s="4" t="s">
        <v>2234</v>
      </c>
      <c r="Q97" s="4">
        <v>3.8</v>
      </c>
      <c r="R97" s="4" t="s">
        <v>2235</v>
      </c>
    </row>
    <row r="98" spans="1:18" hidden="1" x14ac:dyDescent="0.35">
      <c r="A98" s="4" t="s">
        <v>2412</v>
      </c>
      <c r="B98" s="4" t="s">
        <v>4080</v>
      </c>
      <c r="C98" s="4" t="s">
        <v>2410</v>
      </c>
      <c r="D98" s="4" t="s">
        <v>2411</v>
      </c>
      <c r="E98" s="4" t="s">
        <v>1094</v>
      </c>
      <c r="F98" s="4" t="s">
        <v>33</v>
      </c>
      <c r="G98" s="4" t="s">
        <v>137</v>
      </c>
      <c r="H98" s="4" t="s">
        <v>2231</v>
      </c>
      <c r="I98" s="5" t="s">
        <v>2293</v>
      </c>
      <c r="J98" s="4" t="s">
        <v>2294</v>
      </c>
      <c r="K98" s="4" t="s">
        <v>132</v>
      </c>
      <c r="L98" s="4">
        <v>2005</v>
      </c>
      <c r="M98" s="4" t="s">
        <v>27</v>
      </c>
      <c r="N98" s="4">
        <v>3.8</v>
      </c>
      <c r="O98" s="4">
        <v>3.8</v>
      </c>
      <c r="P98" s="4" t="s">
        <v>2234</v>
      </c>
      <c r="Q98" s="4">
        <v>3.8</v>
      </c>
      <c r="R98" s="4" t="s">
        <v>2235</v>
      </c>
    </row>
    <row r="99" spans="1:18" hidden="1" x14ac:dyDescent="0.35">
      <c r="A99" s="4" t="s">
        <v>1624</v>
      </c>
      <c r="B99" s="4" t="s">
        <v>4081</v>
      </c>
      <c r="C99" s="4" t="s">
        <v>2413</v>
      </c>
      <c r="D99" s="4" t="s">
        <v>2414</v>
      </c>
      <c r="E99" s="4" t="s">
        <v>2227</v>
      </c>
      <c r="F99" s="4" t="s">
        <v>33</v>
      </c>
      <c r="G99" s="4" t="s">
        <v>46</v>
      </c>
      <c r="H99" s="4" t="s">
        <v>2231</v>
      </c>
      <c r="I99" s="5">
        <v>83512</v>
      </c>
      <c r="J99" s="4" t="s">
        <v>1627</v>
      </c>
      <c r="K99" s="4" t="s">
        <v>701</v>
      </c>
      <c r="L99" s="4">
        <v>2000</v>
      </c>
      <c r="M99" s="4" t="s">
        <v>27</v>
      </c>
      <c r="N99" s="4">
        <v>13.6</v>
      </c>
      <c r="O99" s="4">
        <v>13.6</v>
      </c>
      <c r="P99" s="4" t="s">
        <v>2234</v>
      </c>
      <c r="Q99" s="4">
        <v>13.6</v>
      </c>
      <c r="R99" s="4" t="s">
        <v>2235</v>
      </c>
    </row>
    <row r="100" spans="1:18" x14ac:dyDescent="0.35">
      <c r="A100" s="4" t="s">
        <v>2415</v>
      </c>
      <c r="B100" s="4" t="s">
        <v>4080</v>
      </c>
      <c r="C100" s="4" t="s">
        <v>2416</v>
      </c>
      <c r="D100" s="4" t="s">
        <v>2417</v>
      </c>
      <c r="E100" s="4" t="s">
        <v>409</v>
      </c>
      <c r="F100" s="4" t="s">
        <v>33</v>
      </c>
      <c r="G100" s="4" t="s">
        <v>46</v>
      </c>
      <c r="H100" s="4" t="s">
        <v>2231</v>
      </c>
      <c r="I100" s="5">
        <v>29331</v>
      </c>
      <c r="J100" s="4" t="s">
        <v>2418</v>
      </c>
      <c r="K100" s="4" t="s">
        <v>765</v>
      </c>
      <c r="L100" s="4">
        <v>2000</v>
      </c>
      <c r="M100" s="4" t="s">
        <v>27</v>
      </c>
      <c r="N100" s="4">
        <v>9</v>
      </c>
      <c r="O100" s="4">
        <v>9</v>
      </c>
      <c r="P100" s="4" t="s">
        <v>2234</v>
      </c>
      <c r="Q100" s="4">
        <v>9</v>
      </c>
      <c r="R100" s="4" t="s">
        <v>2235</v>
      </c>
    </row>
    <row r="101" spans="1:18" x14ac:dyDescent="0.35">
      <c r="A101" s="4" t="s">
        <v>2419</v>
      </c>
      <c r="B101" s="4" t="s">
        <v>4080</v>
      </c>
      <c r="C101" s="4" t="s">
        <v>2416</v>
      </c>
      <c r="D101" s="4" t="s">
        <v>2417</v>
      </c>
      <c r="E101" s="4" t="s">
        <v>36</v>
      </c>
      <c r="F101" s="4" t="s">
        <v>33</v>
      </c>
      <c r="G101" s="4" t="s">
        <v>46</v>
      </c>
      <c r="H101" s="4" t="s">
        <v>2231</v>
      </c>
      <c r="I101" s="5">
        <v>29331</v>
      </c>
      <c r="J101" s="4" t="s">
        <v>2418</v>
      </c>
      <c r="K101" s="4" t="s">
        <v>765</v>
      </c>
      <c r="L101" s="4">
        <v>2000</v>
      </c>
      <c r="M101" s="4" t="s">
        <v>27</v>
      </c>
      <c r="N101" s="4">
        <v>7</v>
      </c>
      <c r="O101" s="4">
        <v>7</v>
      </c>
      <c r="P101" s="4" t="s">
        <v>2234</v>
      </c>
      <c r="Q101" s="4">
        <v>7</v>
      </c>
      <c r="R101" s="4" t="s">
        <v>2235</v>
      </c>
    </row>
    <row r="102" spans="1:18" hidden="1" x14ac:dyDescent="0.35">
      <c r="A102" s="4" t="s">
        <v>2420</v>
      </c>
      <c r="B102" s="4" t="s">
        <v>4080</v>
      </c>
      <c r="C102" s="4" t="s">
        <v>2410</v>
      </c>
      <c r="D102" s="4" t="s">
        <v>2411</v>
      </c>
      <c r="E102" s="4" t="s">
        <v>986</v>
      </c>
      <c r="F102" s="4" t="s">
        <v>33</v>
      </c>
      <c r="G102" s="4" t="s">
        <v>137</v>
      </c>
      <c r="H102" s="4" t="s">
        <v>2231</v>
      </c>
      <c r="I102" s="5" t="s">
        <v>2293</v>
      </c>
      <c r="J102" s="4" t="s">
        <v>2294</v>
      </c>
      <c r="K102" s="4" t="s">
        <v>132</v>
      </c>
      <c r="L102" s="4">
        <v>2005</v>
      </c>
      <c r="M102" s="4" t="s">
        <v>27</v>
      </c>
      <c r="N102" s="4">
        <v>3.8</v>
      </c>
      <c r="O102" s="4">
        <v>3.8</v>
      </c>
      <c r="P102" s="4" t="s">
        <v>2234</v>
      </c>
      <c r="Q102" s="4">
        <v>3.8</v>
      </c>
      <c r="R102" s="4" t="s">
        <v>2235</v>
      </c>
    </row>
    <row r="103" spans="1:18" x14ac:dyDescent="0.35">
      <c r="A103" s="4" t="s">
        <v>2421</v>
      </c>
      <c r="B103" s="4" t="s">
        <v>4080</v>
      </c>
      <c r="C103" s="4" t="s">
        <v>1704</v>
      </c>
      <c r="D103" s="4" t="s">
        <v>2422</v>
      </c>
      <c r="E103" s="4" t="s">
        <v>2423</v>
      </c>
      <c r="F103" s="4" t="s">
        <v>33</v>
      </c>
      <c r="G103" s="4" t="s">
        <v>46</v>
      </c>
      <c r="H103" s="4" t="s">
        <v>2231</v>
      </c>
      <c r="I103" s="5">
        <v>26316</v>
      </c>
      <c r="J103" s="4" t="s">
        <v>1706</v>
      </c>
      <c r="K103" s="4" t="s">
        <v>765</v>
      </c>
      <c r="L103" s="4">
        <v>1989</v>
      </c>
      <c r="M103" s="4" t="s">
        <v>27</v>
      </c>
      <c r="N103" s="4">
        <v>5.2</v>
      </c>
      <c r="O103" s="4">
        <v>5.2</v>
      </c>
      <c r="P103" s="4" t="s">
        <v>2234</v>
      </c>
      <c r="Q103" s="4">
        <v>5.2</v>
      </c>
      <c r="R103" s="4" t="s">
        <v>2235</v>
      </c>
    </row>
    <row r="104" spans="1:18" x14ac:dyDescent="0.35">
      <c r="A104" s="4" t="s">
        <v>2424</v>
      </c>
      <c r="B104" s="4" t="s">
        <v>4080</v>
      </c>
      <c r="C104" s="4" t="s">
        <v>1704</v>
      </c>
      <c r="D104" s="4" t="s">
        <v>2422</v>
      </c>
      <c r="E104" s="4" t="s">
        <v>2425</v>
      </c>
      <c r="F104" s="4" t="s">
        <v>33</v>
      </c>
      <c r="G104" s="4" t="s">
        <v>46</v>
      </c>
      <c r="H104" s="4" t="s">
        <v>2231</v>
      </c>
      <c r="I104" s="5">
        <v>26316</v>
      </c>
      <c r="J104" s="4" t="s">
        <v>1706</v>
      </c>
      <c r="K104" s="4" t="s">
        <v>765</v>
      </c>
      <c r="L104" s="4">
        <v>1989</v>
      </c>
      <c r="M104" s="4" t="s">
        <v>27</v>
      </c>
      <c r="N104" s="4">
        <v>7.66</v>
      </c>
      <c r="O104" s="4">
        <v>7.66</v>
      </c>
      <c r="P104" s="4" t="s">
        <v>2234</v>
      </c>
      <c r="Q104" s="4">
        <v>7.66</v>
      </c>
      <c r="R104" s="4" t="s">
        <v>2235</v>
      </c>
    </row>
    <row r="105" spans="1:18" x14ac:dyDescent="0.35">
      <c r="A105" s="4" t="s">
        <v>2426</v>
      </c>
      <c r="B105" s="4" t="s">
        <v>4080</v>
      </c>
      <c r="C105" s="4" t="s">
        <v>1704</v>
      </c>
      <c r="D105" s="4" t="s">
        <v>2422</v>
      </c>
      <c r="E105" s="4" t="s">
        <v>2427</v>
      </c>
      <c r="F105" s="4" t="s">
        <v>33</v>
      </c>
      <c r="G105" s="4" t="s">
        <v>46</v>
      </c>
      <c r="H105" s="4" t="s">
        <v>2231</v>
      </c>
      <c r="I105" s="5">
        <v>26316</v>
      </c>
      <c r="J105" s="4" t="s">
        <v>1706</v>
      </c>
      <c r="K105" s="4" t="s">
        <v>765</v>
      </c>
      <c r="L105" s="4">
        <v>1989</v>
      </c>
      <c r="M105" s="4" t="s">
        <v>27</v>
      </c>
      <c r="N105" s="4">
        <v>6.13</v>
      </c>
      <c r="O105" s="4">
        <v>6.13</v>
      </c>
      <c r="P105" s="4" t="s">
        <v>2234</v>
      </c>
      <c r="Q105" s="4">
        <v>6.13</v>
      </c>
      <c r="R105" s="4" t="s">
        <v>2235</v>
      </c>
    </row>
    <row r="106" spans="1:18" x14ac:dyDescent="0.35">
      <c r="A106" s="4" t="s">
        <v>2428</v>
      </c>
      <c r="B106" s="4" t="s">
        <v>4080</v>
      </c>
      <c r="C106" s="4" t="s">
        <v>1704</v>
      </c>
      <c r="D106" s="4" t="s">
        <v>2422</v>
      </c>
      <c r="E106" s="4" t="s">
        <v>2429</v>
      </c>
      <c r="F106" s="4" t="s">
        <v>33</v>
      </c>
      <c r="G106" s="4" t="s">
        <v>46</v>
      </c>
      <c r="H106" s="4" t="s">
        <v>2231</v>
      </c>
      <c r="I106" s="5">
        <v>26316</v>
      </c>
      <c r="J106" s="4" t="s">
        <v>1706</v>
      </c>
      <c r="K106" s="4" t="s">
        <v>765</v>
      </c>
      <c r="L106" s="4">
        <v>1989</v>
      </c>
      <c r="M106" s="4" t="s">
        <v>27</v>
      </c>
      <c r="N106" s="4">
        <v>6.13</v>
      </c>
      <c r="O106" s="4">
        <v>6.13</v>
      </c>
      <c r="P106" s="4" t="s">
        <v>2234</v>
      </c>
      <c r="Q106" s="4">
        <v>6.13</v>
      </c>
      <c r="R106" s="4" t="s">
        <v>2235</v>
      </c>
    </row>
    <row r="107" spans="1:18" x14ac:dyDescent="0.35">
      <c r="A107" s="4" t="s">
        <v>1708</v>
      </c>
      <c r="B107" s="4" t="s">
        <v>4080</v>
      </c>
      <c r="C107" s="4" t="s">
        <v>1704</v>
      </c>
      <c r="D107" s="4" t="s">
        <v>2422</v>
      </c>
      <c r="E107" s="4" t="s">
        <v>2430</v>
      </c>
      <c r="F107" s="4" t="s">
        <v>33</v>
      </c>
      <c r="G107" s="4" t="s">
        <v>46</v>
      </c>
      <c r="H107" s="4" t="s">
        <v>2231</v>
      </c>
      <c r="I107" s="5">
        <v>26316</v>
      </c>
      <c r="J107" s="4" t="s">
        <v>1706</v>
      </c>
      <c r="K107" s="4" t="s">
        <v>765</v>
      </c>
      <c r="L107" s="4">
        <v>1989</v>
      </c>
      <c r="M107" s="4" t="s">
        <v>27</v>
      </c>
      <c r="N107" s="4">
        <v>13.17</v>
      </c>
      <c r="O107" s="4">
        <v>13.17</v>
      </c>
      <c r="P107" s="4" t="s">
        <v>2234</v>
      </c>
      <c r="Q107" s="4">
        <v>13.17</v>
      </c>
      <c r="R107" s="4" t="s">
        <v>2235</v>
      </c>
    </row>
    <row r="108" spans="1:18" x14ac:dyDescent="0.35">
      <c r="A108" s="4" t="s">
        <v>2431</v>
      </c>
      <c r="B108" s="4" t="s">
        <v>4080</v>
      </c>
      <c r="C108" s="4" t="s">
        <v>1704</v>
      </c>
      <c r="D108" s="4" t="s">
        <v>2422</v>
      </c>
      <c r="E108" s="4" t="s">
        <v>2432</v>
      </c>
      <c r="F108" s="4" t="s">
        <v>33</v>
      </c>
      <c r="G108" s="4" t="s">
        <v>46</v>
      </c>
      <c r="H108" s="4" t="s">
        <v>2231</v>
      </c>
      <c r="I108" s="5">
        <v>26316</v>
      </c>
      <c r="J108" s="4" t="s">
        <v>1706</v>
      </c>
      <c r="K108" s="4" t="s">
        <v>765</v>
      </c>
      <c r="L108" s="4">
        <v>1989</v>
      </c>
      <c r="M108" s="4" t="s">
        <v>27</v>
      </c>
      <c r="N108" s="4">
        <v>3.65</v>
      </c>
      <c r="O108" s="4">
        <v>3.65</v>
      </c>
      <c r="P108" s="4" t="s">
        <v>2234</v>
      </c>
      <c r="Q108" s="4">
        <v>3.65</v>
      </c>
      <c r="R108" s="4" t="s">
        <v>2235</v>
      </c>
    </row>
    <row r="109" spans="1:18" x14ac:dyDescent="0.35">
      <c r="A109" s="4" t="s">
        <v>1703</v>
      </c>
      <c r="B109" s="4" t="s">
        <v>4080</v>
      </c>
      <c r="C109" s="4" t="s">
        <v>1704</v>
      </c>
      <c r="D109" s="4" t="s">
        <v>2422</v>
      </c>
      <c r="E109" s="4" t="s">
        <v>2433</v>
      </c>
      <c r="F109" s="4" t="s">
        <v>33</v>
      </c>
      <c r="G109" s="4" t="s">
        <v>46</v>
      </c>
      <c r="H109" s="4" t="s">
        <v>2231</v>
      </c>
      <c r="I109" s="5">
        <v>26316</v>
      </c>
      <c r="J109" s="4" t="s">
        <v>1706</v>
      </c>
      <c r="K109" s="4" t="s">
        <v>765</v>
      </c>
      <c r="L109" s="4">
        <v>1989</v>
      </c>
      <c r="M109" s="4" t="s">
        <v>27</v>
      </c>
      <c r="N109" s="4">
        <v>12.03</v>
      </c>
      <c r="O109" s="4">
        <v>12.03</v>
      </c>
      <c r="P109" s="4" t="s">
        <v>2234</v>
      </c>
      <c r="Q109" s="4">
        <v>12.03</v>
      </c>
      <c r="R109" s="4" t="s">
        <v>2235</v>
      </c>
    </row>
    <row r="110" spans="1:18" x14ac:dyDescent="0.35">
      <c r="A110" s="4" t="s">
        <v>2431</v>
      </c>
      <c r="B110" s="4" t="s">
        <v>4080</v>
      </c>
      <c r="C110" s="4" t="s">
        <v>1704</v>
      </c>
      <c r="D110" s="4" t="s">
        <v>2422</v>
      </c>
      <c r="E110" s="4" t="s">
        <v>2434</v>
      </c>
      <c r="F110" s="4" t="s">
        <v>33</v>
      </c>
      <c r="G110" s="4" t="s">
        <v>46</v>
      </c>
      <c r="H110" s="4" t="s">
        <v>2231</v>
      </c>
      <c r="I110" s="5">
        <v>26316</v>
      </c>
      <c r="J110" s="4" t="s">
        <v>1706</v>
      </c>
      <c r="K110" s="4" t="s">
        <v>765</v>
      </c>
      <c r="L110" s="4">
        <v>1989</v>
      </c>
      <c r="M110" s="4" t="s">
        <v>27</v>
      </c>
      <c r="N110" s="4">
        <v>3.65</v>
      </c>
      <c r="O110" s="4">
        <v>3.65</v>
      </c>
      <c r="P110" s="4" t="s">
        <v>2234</v>
      </c>
      <c r="Q110" s="4">
        <v>3.65</v>
      </c>
      <c r="R110" s="4" t="s">
        <v>2235</v>
      </c>
    </row>
    <row r="111" spans="1:18" hidden="1" x14ac:dyDescent="0.35">
      <c r="A111" s="4" t="s">
        <v>1783</v>
      </c>
      <c r="B111" s="4" t="s">
        <v>4081</v>
      </c>
      <c r="C111" s="4" t="s">
        <v>1474</v>
      </c>
      <c r="D111" s="4" t="s">
        <v>2435</v>
      </c>
      <c r="E111" s="4" t="s">
        <v>2435</v>
      </c>
      <c r="F111" s="4" t="s">
        <v>33</v>
      </c>
      <c r="G111" s="4" t="s">
        <v>46</v>
      </c>
      <c r="H111" s="4" t="s">
        <v>2231</v>
      </c>
      <c r="I111" s="5">
        <v>63741</v>
      </c>
      <c r="J111" s="4" t="s">
        <v>1398</v>
      </c>
      <c r="K111" s="4" t="s">
        <v>701</v>
      </c>
      <c r="L111" s="4">
        <v>2013</v>
      </c>
      <c r="M111" s="4" t="s">
        <v>27</v>
      </c>
      <c r="N111" s="4">
        <v>31.55</v>
      </c>
      <c r="O111" s="4">
        <v>31.55</v>
      </c>
      <c r="P111" s="4" t="s">
        <v>2234</v>
      </c>
      <c r="Q111" s="4">
        <v>31.55</v>
      </c>
      <c r="R111" s="4" t="s">
        <v>2235</v>
      </c>
    </row>
    <row r="112" spans="1:18" x14ac:dyDescent="0.35">
      <c r="A112" s="4" t="s">
        <v>1877</v>
      </c>
      <c r="B112" s="4" t="s">
        <v>4080</v>
      </c>
      <c r="C112" s="4" t="s">
        <v>1861</v>
      </c>
      <c r="D112" s="4" t="s">
        <v>1879</v>
      </c>
      <c r="E112" s="4" t="s">
        <v>1879</v>
      </c>
      <c r="F112" s="4" t="s">
        <v>33</v>
      </c>
      <c r="G112" s="4" t="s">
        <v>137</v>
      </c>
      <c r="H112" s="4" t="s">
        <v>2231</v>
      </c>
      <c r="I112" s="5">
        <v>38436</v>
      </c>
      <c r="J112" s="4" t="s">
        <v>1863</v>
      </c>
      <c r="K112" s="4" t="s">
        <v>765</v>
      </c>
      <c r="L112" s="4">
        <v>2015</v>
      </c>
      <c r="M112" s="4" t="s">
        <v>27</v>
      </c>
      <c r="N112" s="4">
        <v>10.4</v>
      </c>
      <c r="O112" s="4">
        <v>10.4</v>
      </c>
      <c r="P112" s="4" t="s">
        <v>2234</v>
      </c>
      <c r="Q112" s="4">
        <v>10.4</v>
      </c>
      <c r="R112" s="4" t="s">
        <v>2235</v>
      </c>
    </row>
    <row r="113" spans="1:18" hidden="1" x14ac:dyDescent="0.35">
      <c r="A113" s="4" t="s">
        <v>2436</v>
      </c>
      <c r="B113" s="4" t="s">
        <v>4081</v>
      </c>
      <c r="C113" s="4" t="s">
        <v>2437</v>
      </c>
      <c r="D113" s="4" t="s">
        <v>2438</v>
      </c>
      <c r="E113" s="4" t="s">
        <v>2439</v>
      </c>
      <c r="F113" s="4" t="s">
        <v>33</v>
      </c>
      <c r="G113" s="4" t="s">
        <v>137</v>
      </c>
      <c r="H113" s="4" t="s">
        <v>2231</v>
      </c>
      <c r="I113" s="5">
        <v>85326</v>
      </c>
      <c r="J113" s="4" t="s">
        <v>1824</v>
      </c>
      <c r="K113" s="4" t="s">
        <v>701</v>
      </c>
      <c r="L113" s="4">
        <v>2015</v>
      </c>
      <c r="M113" s="4" t="s">
        <v>27</v>
      </c>
      <c r="N113" s="4">
        <v>4.21</v>
      </c>
      <c r="O113" s="4">
        <v>4.21</v>
      </c>
      <c r="P113" s="4" t="s">
        <v>2234</v>
      </c>
      <c r="Q113" s="4">
        <v>4.21</v>
      </c>
      <c r="R113" s="4" t="s">
        <v>2235</v>
      </c>
    </row>
    <row r="114" spans="1:18" hidden="1" x14ac:dyDescent="0.35">
      <c r="A114" s="4" t="s">
        <v>2440</v>
      </c>
      <c r="B114" s="4" t="s">
        <v>4081</v>
      </c>
      <c r="C114" s="4" t="s">
        <v>2437</v>
      </c>
      <c r="D114" s="4" t="s">
        <v>2438</v>
      </c>
      <c r="E114" s="4" t="s">
        <v>2441</v>
      </c>
      <c r="F114" s="4" t="s">
        <v>33</v>
      </c>
      <c r="G114" s="4" t="s">
        <v>137</v>
      </c>
      <c r="H114" s="4" t="s">
        <v>2231</v>
      </c>
      <c r="I114" s="5">
        <v>85326</v>
      </c>
      <c r="J114" s="4" t="s">
        <v>1824</v>
      </c>
      <c r="K114" s="4" t="s">
        <v>701</v>
      </c>
      <c r="L114" s="4">
        <v>2015</v>
      </c>
      <c r="M114" s="4" t="s">
        <v>27</v>
      </c>
      <c r="N114" s="4">
        <v>4.21</v>
      </c>
      <c r="O114" s="4">
        <v>4.21</v>
      </c>
      <c r="P114" s="4" t="s">
        <v>2234</v>
      </c>
      <c r="Q114" s="4">
        <v>4.21</v>
      </c>
      <c r="R114" s="4" t="s">
        <v>2235</v>
      </c>
    </row>
    <row r="115" spans="1:18" hidden="1" x14ac:dyDescent="0.35">
      <c r="A115" s="4" t="s">
        <v>2442</v>
      </c>
      <c r="B115" s="4" t="s">
        <v>4081</v>
      </c>
      <c r="C115" s="4" t="s">
        <v>2437</v>
      </c>
      <c r="D115" s="4" t="s">
        <v>2438</v>
      </c>
      <c r="E115" s="4" t="s">
        <v>2443</v>
      </c>
      <c r="F115" s="4" t="s">
        <v>33</v>
      </c>
      <c r="G115" s="4" t="s">
        <v>137</v>
      </c>
      <c r="H115" s="4" t="s">
        <v>2231</v>
      </c>
      <c r="I115" s="5">
        <v>85326</v>
      </c>
      <c r="J115" s="4" t="s">
        <v>1824</v>
      </c>
      <c r="K115" s="4" t="s">
        <v>701</v>
      </c>
      <c r="L115" s="4">
        <v>2015</v>
      </c>
      <c r="M115" s="4" t="s">
        <v>27</v>
      </c>
      <c r="N115" s="4">
        <v>4.21</v>
      </c>
      <c r="O115" s="4">
        <v>4.21</v>
      </c>
      <c r="P115" s="4" t="s">
        <v>2234</v>
      </c>
      <c r="Q115" s="4">
        <v>4.21</v>
      </c>
      <c r="R115" s="4" t="s">
        <v>2235</v>
      </c>
    </row>
    <row r="116" spans="1:18" hidden="1" x14ac:dyDescent="0.35">
      <c r="A116" s="4" t="s">
        <v>2444</v>
      </c>
      <c r="B116" s="4" t="s">
        <v>4081</v>
      </c>
      <c r="C116" s="4" t="s">
        <v>2437</v>
      </c>
      <c r="D116" s="4" t="s">
        <v>2438</v>
      </c>
      <c r="E116" s="4" t="s">
        <v>2445</v>
      </c>
      <c r="F116" s="4" t="s">
        <v>33</v>
      </c>
      <c r="G116" s="4" t="s">
        <v>137</v>
      </c>
      <c r="H116" s="4" t="s">
        <v>2231</v>
      </c>
      <c r="I116" s="5">
        <v>85326</v>
      </c>
      <c r="J116" s="4" t="s">
        <v>1824</v>
      </c>
      <c r="K116" s="4" t="s">
        <v>701</v>
      </c>
      <c r="L116" s="4">
        <v>2015</v>
      </c>
      <c r="M116" s="4" t="s">
        <v>27</v>
      </c>
      <c r="N116" s="4">
        <v>4.21</v>
      </c>
      <c r="O116" s="4">
        <v>4.21</v>
      </c>
      <c r="P116" s="4" t="s">
        <v>2234</v>
      </c>
      <c r="Q116" s="4">
        <v>4.21</v>
      </c>
      <c r="R116" s="4" t="s">
        <v>2235</v>
      </c>
    </row>
    <row r="117" spans="1:18" hidden="1" x14ac:dyDescent="0.35">
      <c r="A117" s="4" t="s">
        <v>1751</v>
      </c>
      <c r="B117" s="4" t="s">
        <v>4081</v>
      </c>
      <c r="C117" s="4" t="s">
        <v>1752</v>
      </c>
      <c r="D117" s="4" t="s">
        <v>2446</v>
      </c>
      <c r="E117" s="4" t="s">
        <v>2446</v>
      </c>
      <c r="F117" s="4" t="s">
        <v>33</v>
      </c>
      <c r="G117" s="4" t="s">
        <v>137</v>
      </c>
      <c r="H117" s="4" t="s">
        <v>2231</v>
      </c>
      <c r="I117" s="5">
        <v>83022</v>
      </c>
      <c r="J117" s="4" t="s">
        <v>1754</v>
      </c>
      <c r="K117" s="4" t="s">
        <v>701</v>
      </c>
      <c r="L117" s="4">
        <v>2013</v>
      </c>
      <c r="M117" s="4" t="s">
        <v>27</v>
      </c>
      <c r="N117" s="4">
        <v>10.28</v>
      </c>
      <c r="O117" s="4">
        <v>10.28</v>
      </c>
      <c r="P117" s="4" t="s">
        <v>2234</v>
      </c>
      <c r="Q117" s="4">
        <v>10.28</v>
      </c>
      <c r="R117" s="4" t="s">
        <v>2235</v>
      </c>
    </row>
    <row r="118" spans="1:18" x14ac:dyDescent="0.35">
      <c r="A118" s="4" t="s">
        <v>1476</v>
      </c>
      <c r="B118" s="4" t="s">
        <v>4080</v>
      </c>
      <c r="C118" s="4" t="s">
        <v>1477</v>
      </c>
      <c r="D118" s="4" t="s">
        <v>1477</v>
      </c>
      <c r="E118" s="4" t="s">
        <v>2447</v>
      </c>
      <c r="F118" s="4" t="s">
        <v>173</v>
      </c>
      <c r="G118" s="4" t="s">
        <v>409</v>
      </c>
      <c r="H118" s="4" t="s">
        <v>2231</v>
      </c>
      <c r="I118" s="5">
        <v>30659</v>
      </c>
      <c r="J118" s="4" t="s">
        <v>1479</v>
      </c>
      <c r="K118" s="4" t="s">
        <v>765</v>
      </c>
      <c r="L118" s="4">
        <v>2005</v>
      </c>
      <c r="M118" s="4" t="s">
        <v>27</v>
      </c>
      <c r="N118" s="4">
        <v>27.2</v>
      </c>
      <c r="O118" s="4">
        <v>27.2</v>
      </c>
      <c r="P118" s="4" t="s">
        <v>173</v>
      </c>
      <c r="Q118" s="4">
        <v>27.2</v>
      </c>
      <c r="R118" s="4" t="s">
        <v>173</v>
      </c>
    </row>
    <row r="119" spans="1:18" hidden="1" x14ac:dyDescent="0.35">
      <c r="A119" s="4" t="s">
        <v>2448</v>
      </c>
      <c r="B119" s="4" t="s">
        <v>4081</v>
      </c>
      <c r="C119" s="4" t="s">
        <v>2449</v>
      </c>
      <c r="D119" s="4" t="s">
        <v>2450</v>
      </c>
      <c r="E119" s="4" t="s">
        <v>2451</v>
      </c>
      <c r="F119" s="4" t="s">
        <v>33</v>
      </c>
      <c r="G119" s="4" t="s">
        <v>46</v>
      </c>
      <c r="H119" s="4" t="s">
        <v>2231</v>
      </c>
      <c r="I119" s="5">
        <v>83064</v>
      </c>
      <c r="J119" s="4" t="s">
        <v>2452</v>
      </c>
      <c r="K119" s="4" t="s">
        <v>701</v>
      </c>
      <c r="L119" s="4">
        <v>2001</v>
      </c>
      <c r="M119" s="4" t="s">
        <v>27</v>
      </c>
      <c r="N119" s="4">
        <v>6</v>
      </c>
      <c r="O119" s="4">
        <v>6</v>
      </c>
      <c r="P119" s="4" t="s">
        <v>2234</v>
      </c>
      <c r="Q119" s="4">
        <v>6</v>
      </c>
      <c r="R119" s="4" t="s">
        <v>2235</v>
      </c>
    </row>
    <row r="120" spans="1:18" hidden="1" x14ac:dyDescent="0.35">
      <c r="A120" s="4" t="s">
        <v>2453</v>
      </c>
      <c r="B120" s="4" t="s">
        <v>4080</v>
      </c>
      <c r="C120" s="4" t="s">
        <v>2410</v>
      </c>
      <c r="D120" s="4" t="s">
        <v>2411</v>
      </c>
      <c r="E120" s="4" t="s">
        <v>990</v>
      </c>
      <c r="F120" s="4" t="s">
        <v>33</v>
      </c>
      <c r="G120" s="4" t="s">
        <v>137</v>
      </c>
      <c r="H120" s="4" t="s">
        <v>2231</v>
      </c>
      <c r="I120" s="5" t="s">
        <v>2293</v>
      </c>
      <c r="J120" s="4" t="s">
        <v>2294</v>
      </c>
      <c r="K120" s="4" t="s">
        <v>132</v>
      </c>
      <c r="L120" s="4">
        <v>2005</v>
      </c>
      <c r="M120" s="4" t="s">
        <v>27</v>
      </c>
      <c r="N120" s="4">
        <v>3.8</v>
      </c>
      <c r="O120" s="4">
        <v>3.8</v>
      </c>
      <c r="P120" s="4" t="s">
        <v>2234</v>
      </c>
      <c r="Q120" s="4">
        <v>3.8</v>
      </c>
      <c r="R120" s="4" t="s">
        <v>2235</v>
      </c>
    </row>
    <row r="121" spans="1:18" x14ac:dyDescent="0.35">
      <c r="A121" s="4" t="s">
        <v>1445</v>
      </c>
      <c r="B121" s="4" t="s">
        <v>4080</v>
      </c>
      <c r="C121" s="4" t="s">
        <v>1446</v>
      </c>
      <c r="D121" s="4" t="s">
        <v>2454</v>
      </c>
      <c r="E121" s="4" t="s">
        <v>2227</v>
      </c>
      <c r="F121" s="4" t="s">
        <v>173</v>
      </c>
      <c r="G121" s="4" t="s">
        <v>409</v>
      </c>
      <c r="H121" s="4" t="s">
        <v>2231</v>
      </c>
      <c r="I121" s="5">
        <v>37213</v>
      </c>
      <c r="J121" s="4" t="s">
        <v>1448</v>
      </c>
      <c r="K121" s="4" t="s">
        <v>865</v>
      </c>
      <c r="L121" s="4">
        <v>2009</v>
      </c>
      <c r="M121" s="4" t="s">
        <v>27</v>
      </c>
      <c r="N121" s="4">
        <v>28</v>
      </c>
      <c r="O121" s="4">
        <v>28</v>
      </c>
      <c r="P121" s="4" t="s">
        <v>173</v>
      </c>
      <c r="Q121" s="4">
        <v>28</v>
      </c>
      <c r="R121" s="4" t="s">
        <v>173</v>
      </c>
    </row>
    <row r="122" spans="1:18" hidden="1" x14ac:dyDescent="0.35">
      <c r="A122" s="4" t="s">
        <v>2227</v>
      </c>
      <c r="B122" s="4" t="s">
        <v>4081</v>
      </c>
      <c r="C122" s="4" t="s">
        <v>2455</v>
      </c>
      <c r="D122" s="4" t="s">
        <v>2456</v>
      </c>
      <c r="E122" s="4" t="s">
        <v>2457</v>
      </c>
      <c r="F122" s="4" t="s">
        <v>2255</v>
      </c>
      <c r="G122" s="4" t="s">
        <v>2256</v>
      </c>
      <c r="H122" s="4" t="s">
        <v>2249</v>
      </c>
      <c r="I122" s="5">
        <v>83126</v>
      </c>
      <c r="J122" s="4" t="s">
        <v>2458</v>
      </c>
      <c r="K122" s="4" t="s">
        <v>701</v>
      </c>
      <c r="L122" s="4">
        <v>2029</v>
      </c>
      <c r="M122" s="4" t="s">
        <v>2459</v>
      </c>
      <c r="N122" s="4">
        <v>150</v>
      </c>
      <c r="O122" s="4">
        <v>150</v>
      </c>
      <c r="P122" s="4" t="s">
        <v>2255</v>
      </c>
      <c r="Q122" s="4">
        <v>150</v>
      </c>
      <c r="R122" s="4" t="s">
        <v>2255</v>
      </c>
    </row>
    <row r="123" spans="1:18" x14ac:dyDescent="0.35">
      <c r="A123" s="4" t="s">
        <v>1670</v>
      </c>
      <c r="B123" s="4" t="s">
        <v>4080</v>
      </c>
      <c r="C123" s="4" t="s">
        <v>2460</v>
      </c>
      <c r="D123" s="4" t="s">
        <v>2461</v>
      </c>
      <c r="E123" s="4" t="s">
        <v>2227</v>
      </c>
      <c r="F123" s="4" t="s">
        <v>33</v>
      </c>
      <c r="G123" s="4" t="s">
        <v>36</v>
      </c>
      <c r="H123" s="4" t="s">
        <v>2231</v>
      </c>
      <c r="I123" s="5">
        <v>31249</v>
      </c>
      <c r="J123" s="4" t="s">
        <v>1673</v>
      </c>
      <c r="K123" s="4" t="s">
        <v>765</v>
      </c>
      <c r="L123" s="4">
        <v>2000</v>
      </c>
      <c r="M123" s="4" t="s">
        <v>27</v>
      </c>
      <c r="N123" s="4">
        <v>17.7</v>
      </c>
      <c r="O123" s="4">
        <v>17.7</v>
      </c>
      <c r="P123" s="4" t="s">
        <v>2234</v>
      </c>
      <c r="Q123" s="4">
        <v>17.7</v>
      </c>
      <c r="R123" s="4" t="s">
        <v>2235</v>
      </c>
    </row>
    <row r="124" spans="1:18" x14ac:dyDescent="0.35">
      <c r="A124" s="4" t="s">
        <v>2462</v>
      </c>
      <c r="B124" s="4" t="s">
        <v>4080</v>
      </c>
      <c r="C124" s="4" t="s">
        <v>2463</v>
      </c>
      <c r="D124" s="4" t="s">
        <v>2464</v>
      </c>
      <c r="E124" s="4" t="s">
        <v>2465</v>
      </c>
      <c r="F124" s="4" t="s">
        <v>33</v>
      </c>
      <c r="G124" s="4" t="s">
        <v>36</v>
      </c>
      <c r="H124" s="4" t="s">
        <v>2231</v>
      </c>
      <c r="I124" s="5">
        <v>24149</v>
      </c>
      <c r="J124" s="4" t="s">
        <v>2466</v>
      </c>
      <c r="K124" s="4" t="s">
        <v>276</v>
      </c>
      <c r="L124" s="4">
        <v>2019</v>
      </c>
      <c r="M124" s="4" t="s">
        <v>27</v>
      </c>
      <c r="N124" s="4">
        <v>5.4</v>
      </c>
      <c r="O124" s="4">
        <v>5.4</v>
      </c>
      <c r="P124" s="4" t="s">
        <v>2234</v>
      </c>
      <c r="Q124" s="4">
        <v>5.4</v>
      </c>
      <c r="R124" s="4" t="s">
        <v>2235</v>
      </c>
    </row>
    <row r="125" spans="1:18" x14ac:dyDescent="0.35">
      <c r="A125" s="4" t="s">
        <v>2467</v>
      </c>
      <c r="B125" s="4" t="s">
        <v>4080</v>
      </c>
      <c r="C125" s="4" t="s">
        <v>2463</v>
      </c>
      <c r="D125" s="4" t="s">
        <v>2464</v>
      </c>
      <c r="E125" s="4" t="s">
        <v>2468</v>
      </c>
      <c r="F125" s="4" t="s">
        <v>33</v>
      </c>
      <c r="G125" s="4" t="s">
        <v>36</v>
      </c>
      <c r="H125" s="4" t="s">
        <v>2231</v>
      </c>
      <c r="I125" s="5">
        <v>24149</v>
      </c>
      <c r="J125" s="4" t="s">
        <v>2466</v>
      </c>
      <c r="K125" s="4" t="s">
        <v>276</v>
      </c>
      <c r="L125" s="4">
        <v>2019</v>
      </c>
      <c r="M125" s="4" t="s">
        <v>27</v>
      </c>
      <c r="N125" s="4">
        <v>5.34</v>
      </c>
      <c r="O125" s="4">
        <v>5.34</v>
      </c>
      <c r="P125" s="4" t="s">
        <v>2234</v>
      </c>
      <c r="Q125" s="4">
        <v>5.34</v>
      </c>
      <c r="R125" s="4" t="s">
        <v>2235</v>
      </c>
    </row>
    <row r="126" spans="1:18" x14ac:dyDescent="0.35">
      <c r="A126" s="4" t="s">
        <v>2469</v>
      </c>
      <c r="B126" s="4" t="s">
        <v>4080</v>
      </c>
      <c r="C126" s="4" t="s">
        <v>2463</v>
      </c>
      <c r="D126" s="4" t="s">
        <v>2470</v>
      </c>
      <c r="E126" s="4" t="s">
        <v>2471</v>
      </c>
      <c r="F126" s="4" t="s">
        <v>33</v>
      </c>
      <c r="G126" s="4" t="s">
        <v>137</v>
      </c>
      <c r="H126" s="4" t="s">
        <v>2231</v>
      </c>
      <c r="I126" s="5">
        <v>24149</v>
      </c>
      <c r="J126" s="4" t="s">
        <v>2466</v>
      </c>
      <c r="K126" s="4" t="s">
        <v>276</v>
      </c>
      <c r="L126" s="4">
        <v>2019</v>
      </c>
      <c r="M126" s="4" t="s">
        <v>27</v>
      </c>
      <c r="N126" s="4">
        <v>9.4600000000000009</v>
      </c>
      <c r="O126" s="4">
        <v>9.4600000000000009</v>
      </c>
      <c r="P126" s="4" t="s">
        <v>2234</v>
      </c>
      <c r="Q126" s="4">
        <v>9.4600000000000009</v>
      </c>
      <c r="R126" s="4" t="s">
        <v>2235</v>
      </c>
    </row>
    <row r="127" spans="1:18" x14ac:dyDescent="0.35">
      <c r="A127" s="4" t="s">
        <v>2472</v>
      </c>
      <c r="B127" s="4" t="s">
        <v>4080</v>
      </c>
      <c r="C127" s="4" t="s">
        <v>2463</v>
      </c>
      <c r="D127" s="4" t="s">
        <v>2470</v>
      </c>
      <c r="E127" s="4" t="s">
        <v>2473</v>
      </c>
      <c r="F127" s="4" t="s">
        <v>33</v>
      </c>
      <c r="G127" s="4" t="s">
        <v>137</v>
      </c>
      <c r="H127" s="4" t="s">
        <v>2231</v>
      </c>
      <c r="I127" s="5">
        <v>24149</v>
      </c>
      <c r="J127" s="4" t="s">
        <v>2466</v>
      </c>
      <c r="K127" s="4" t="s">
        <v>276</v>
      </c>
      <c r="L127" s="4">
        <v>2019</v>
      </c>
      <c r="M127" s="4" t="s">
        <v>27</v>
      </c>
      <c r="N127" s="4">
        <v>9.4600000000000009</v>
      </c>
      <c r="O127" s="4">
        <v>9.4600000000000009</v>
      </c>
      <c r="P127" s="4" t="s">
        <v>2234</v>
      </c>
      <c r="Q127" s="4">
        <v>9.4600000000000009</v>
      </c>
      <c r="R127" s="4" t="s">
        <v>2235</v>
      </c>
    </row>
    <row r="128" spans="1:18" x14ac:dyDescent="0.35">
      <c r="A128" s="4" t="s">
        <v>2474</v>
      </c>
      <c r="B128" s="4" t="s">
        <v>4080</v>
      </c>
      <c r="C128" s="4" t="s">
        <v>2463</v>
      </c>
      <c r="D128" s="4" t="s">
        <v>2470</v>
      </c>
      <c r="E128" s="4" t="s">
        <v>2475</v>
      </c>
      <c r="F128" s="4" t="s">
        <v>33</v>
      </c>
      <c r="G128" s="4" t="s">
        <v>137</v>
      </c>
      <c r="H128" s="4" t="s">
        <v>2231</v>
      </c>
      <c r="I128" s="5">
        <v>24149</v>
      </c>
      <c r="J128" s="4" t="s">
        <v>2466</v>
      </c>
      <c r="K128" s="4" t="s">
        <v>276</v>
      </c>
      <c r="L128" s="4">
        <v>2019</v>
      </c>
      <c r="M128" s="4" t="s">
        <v>27</v>
      </c>
      <c r="N128" s="4">
        <v>9.4600000000000009</v>
      </c>
      <c r="O128" s="4">
        <v>9.4600000000000009</v>
      </c>
      <c r="P128" s="4" t="s">
        <v>2234</v>
      </c>
      <c r="Q128" s="4">
        <v>9.4600000000000009</v>
      </c>
      <c r="R128" s="4" t="s">
        <v>2235</v>
      </c>
    </row>
    <row r="129" spans="1:18" x14ac:dyDescent="0.35">
      <c r="A129" s="4" t="s">
        <v>2476</v>
      </c>
      <c r="B129" s="4" t="s">
        <v>4080</v>
      </c>
      <c r="C129" s="4" t="s">
        <v>2463</v>
      </c>
      <c r="D129" s="4" t="s">
        <v>2470</v>
      </c>
      <c r="E129" s="4" t="s">
        <v>2477</v>
      </c>
      <c r="F129" s="4" t="s">
        <v>33</v>
      </c>
      <c r="G129" s="4" t="s">
        <v>137</v>
      </c>
      <c r="H129" s="4" t="s">
        <v>2231</v>
      </c>
      <c r="I129" s="5">
        <v>24149</v>
      </c>
      <c r="J129" s="4" t="s">
        <v>2466</v>
      </c>
      <c r="K129" s="4" t="s">
        <v>276</v>
      </c>
      <c r="L129" s="4">
        <v>2019</v>
      </c>
      <c r="M129" s="4" t="s">
        <v>27</v>
      </c>
      <c r="N129" s="4">
        <v>9.4600000000000009</v>
      </c>
      <c r="O129" s="4">
        <v>9.4600000000000009</v>
      </c>
      <c r="P129" s="4" t="s">
        <v>2234</v>
      </c>
      <c r="Q129" s="4">
        <v>9.4600000000000009</v>
      </c>
      <c r="R129" s="4" t="s">
        <v>2235</v>
      </c>
    </row>
    <row r="130" spans="1:18" x14ac:dyDescent="0.35">
      <c r="A130" s="4" t="s">
        <v>2478</v>
      </c>
      <c r="B130" s="4" t="s">
        <v>4080</v>
      </c>
      <c r="C130" s="4" t="s">
        <v>2463</v>
      </c>
      <c r="D130" s="4" t="s">
        <v>2470</v>
      </c>
      <c r="E130" s="4" t="s">
        <v>2479</v>
      </c>
      <c r="F130" s="4" t="s">
        <v>33</v>
      </c>
      <c r="G130" s="4" t="s">
        <v>137</v>
      </c>
      <c r="H130" s="4" t="s">
        <v>2231</v>
      </c>
      <c r="I130" s="5">
        <v>24149</v>
      </c>
      <c r="J130" s="4" t="s">
        <v>2466</v>
      </c>
      <c r="K130" s="4" t="s">
        <v>276</v>
      </c>
      <c r="L130" s="4">
        <v>2019</v>
      </c>
      <c r="M130" s="4" t="s">
        <v>27</v>
      </c>
      <c r="N130" s="4">
        <v>9.4600000000000009</v>
      </c>
      <c r="O130" s="4">
        <v>9.4600000000000009</v>
      </c>
      <c r="P130" s="4" t="s">
        <v>2234</v>
      </c>
      <c r="Q130" s="4">
        <v>9.4600000000000009</v>
      </c>
      <c r="R130" s="4" t="s">
        <v>2235</v>
      </c>
    </row>
    <row r="131" spans="1:18" x14ac:dyDescent="0.35">
      <c r="A131" s="4" t="s">
        <v>2480</v>
      </c>
      <c r="B131" s="4" t="s">
        <v>4080</v>
      </c>
      <c r="C131" s="4" t="s">
        <v>2463</v>
      </c>
      <c r="D131" s="4" t="s">
        <v>2470</v>
      </c>
      <c r="E131" s="4" t="s">
        <v>2481</v>
      </c>
      <c r="F131" s="4" t="s">
        <v>33</v>
      </c>
      <c r="G131" s="4" t="s">
        <v>137</v>
      </c>
      <c r="H131" s="4" t="s">
        <v>2231</v>
      </c>
      <c r="I131" s="5">
        <v>24149</v>
      </c>
      <c r="J131" s="4" t="s">
        <v>2466</v>
      </c>
      <c r="K131" s="4" t="s">
        <v>276</v>
      </c>
      <c r="L131" s="4">
        <v>2019</v>
      </c>
      <c r="M131" s="4" t="s">
        <v>27</v>
      </c>
      <c r="N131" s="4">
        <v>9.4600000000000009</v>
      </c>
      <c r="O131" s="4">
        <v>9.4600000000000009</v>
      </c>
      <c r="P131" s="4" t="s">
        <v>2234</v>
      </c>
      <c r="Q131" s="4">
        <v>9.4600000000000009</v>
      </c>
      <c r="R131" s="4" t="s">
        <v>2235</v>
      </c>
    </row>
    <row r="132" spans="1:18" x14ac:dyDescent="0.35">
      <c r="A132" s="4" t="s">
        <v>2482</v>
      </c>
      <c r="B132" s="4" t="s">
        <v>4080</v>
      </c>
      <c r="C132" s="4" t="s">
        <v>2463</v>
      </c>
      <c r="D132" s="4" t="s">
        <v>2470</v>
      </c>
      <c r="E132" s="4" t="s">
        <v>2483</v>
      </c>
      <c r="F132" s="4" t="s">
        <v>33</v>
      </c>
      <c r="G132" s="4" t="s">
        <v>137</v>
      </c>
      <c r="H132" s="4" t="s">
        <v>2231</v>
      </c>
      <c r="I132" s="5">
        <v>24149</v>
      </c>
      <c r="J132" s="4" t="s">
        <v>2466</v>
      </c>
      <c r="K132" s="4" t="s">
        <v>276</v>
      </c>
      <c r="L132" s="4">
        <v>2019</v>
      </c>
      <c r="M132" s="4" t="s">
        <v>27</v>
      </c>
      <c r="N132" s="4">
        <v>9.4600000000000009</v>
      </c>
      <c r="O132" s="4">
        <v>9.4600000000000009</v>
      </c>
      <c r="P132" s="4" t="s">
        <v>2234</v>
      </c>
      <c r="Q132" s="4">
        <v>9.4600000000000009</v>
      </c>
      <c r="R132" s="4" t="s">
        <v>2235</v>
      </c>
    </row>
    <row r="133" spans="1:18" x14ac:dyDescent="0.35">
      <c r="A133" s="4" t="s">
        <v>2484</v>
      </c>
      <c r="B133" s="4" t="s">
        <v>4080</v>
      </c>
      <c r="C133" s="4" t="s">
        <v>2463</v>
      </c>
      <c r="D133" s="4" t="s">
        <v>2470</v>
      </c>
      <c r="E133" s="4" t="s">
        <v>2485</v>
      </c>
      <c r="F133" s="4" t="s">
        <v>33</v>
      </c>
      <c r="G133" s="4" t="s">
        <v>137</v>
      </c>
      <c r="H133" s="4" t="s">
        <v>2231</v>
      </c>
      <c r="I133" s="5">
        <v>24149</v>
      </c>
      <c r="J133" s="4" t="s">
        <v>2466</v>
      </c>
      <c r="K133" s="4" t="s">
        <v>276</v>
      </c>
      <c r="L133" s="4">
        <v>2019</v>
      </c>
      <c r="M133" s="4" t="s">
        <v>27</v>
      </c>
      <c r="N133" s="4">
        <v>9.4600000000000009</v>
      </c>
      <c r="O133" s="4">
        <v>9.4600000000000009</v>
      </c>
      <c r="P133" s="4" t="s">
        <v>2234</v>
      </c>
      <c r="Q133" s="4">
        <v>9.4600000000000009</v>
      </c>
      <c r="R133" s="4" t="s">
        <v>2235</v>
      </c>
    </row>
    <row r="134" spans="1:18" x14ac:dyDescent="0.35">
      <c r="A134" s="4" t="s">
        <v>2486</v>
      </c>
      <c r="B134" s="4" t="s">
        <v>4080</v>
      </c>
      <c r="C134" s="4" t="s">
        <v>2463</v>
      </c>
      <c r="D134" s="4" t="s">
        <v>2470</v>
      </c>
      <c r="E134" s="4" t="s">
        <v>2487</v>
      </c>
      <c r="F134" s="4" t="s">
        <v>33</v>
      </c>
      <c r="G134" s="4" t="s">
        <v>137</v>
      </c>
      <c r="H134" s="4" t="s">
        <v>2231</v>
      </c>
      <c r="I134" s="5">
        <v>24149</v>
      </c>
      <c r="J134" s="4" t="s">
        <v>2466</v>
      </c>
      <c r="K134" s="4" t="s">
        <v>276</v>
      </c>
      <c r="L134" s="4">
        <v>2019</v>
      </c>
      <c r="M134" s="4" t="s">
        <v>27</v>
      </c>
      <c r="N134" s="4">
        <v>9.4600000000000009</v>
      </c>
      <c r="O134" s="4">
        <v>9.4600000000000009</v>
      </c>
      <c r="P134" s="4" t="s">
        <v>2234</v>
      </c>
      <c r="Q134" s="4">
        <v>9.4600000000000009</v>
      </c>
      <c r="R134" s="4" t="s">
        <v>2235</v>
      </c>
    </row>
    <row r="135" spans="1:18" x14ac:dyDescent="0.35">
      <c r="A135" s="4" t="s">
        <v>2488</v>
      </c>
      <c r="B135" s="4" t="s">
        <v>4080</v>
      </c>
      <c r="C135" s="4" t="s">
        <v>2463</v>
      </c>
      <c r="D135" s="4" t="s">
        <v>2470</v>
      </c>
      <c r="E135" s="4" t="s">
        <v>2489</v>
      </c>
      <c r="F135" s="4" t="s">
        <v>33</v>
      </c>
      <c r="G135" s="4" t="s">
        <v>137</v>
      </c>
      <c r="H135" s="4" t="s">
        <v>2231</v>
      </c>
      <c r="I135" s="5">
        <v>24149</v>
      </c>
      <c r="J135" s="4" t="s">
        <v>2466</v>
      </c>
      <c r="K135" s="4" t="s">
        <v>276</v>
      </c>
      <c r="L135" s="4">
        <v>2019</v>
      </c>
      <c r="M135" s="4" t="s">
        <v>27</v>
      </c>
      <c r="N135" s="4">
        <v>9.4600000000000009</v>
      </c>
      <c r="O135" s="4">
        <v>9.4600000000000009</v>
      </c>
      <c r="P135" s="4" t="s">
        <v>2234</v>
      </c>
      <c r="Q135" s="4">
        <v>9.4600000000000009</v>
      </c>
      <c r="R135" s="4" t="s">
        <v>2235</v>
      </c>
    </row>
    <row r="136" spans="1:18" x14ac:dyDescent="0.35">
      <c r="A136" s="4" t="s">
        <v>2490</v>
      </c>
      <c r="B136" s="4" t="s">
        <v>4080</v>
      </c>
      <c r="C136" s="4" t="s">
        <v>2463</v>
      </c>
      <c r="D136" s="4" t="s">
        <v>2470</v>
      </c>
      <c r="E136" s="4" t="s">
        <v>2491</v>
      </c>
      <c r="F136" s="4" t="s">
        <v>33</v>
      </c>
      <c r="G136" s="4" t="s">
        <v>137</v>
      </c>
      <c r="H136" s="4" t="s">
        <v>2231</v>
      </c>
      <c r="I136" s="5">
        <v>24149</v>
      </c>
      <c r="J136" s="4" t="s">
        <v>2466</v>
      </c>
      <c r="K136" s="4" t="s">
        <v>276</v>
      </c>
      <c r="L136" s="4">
        <v>2019</v>
      </c>
      <c r="M136" s="4" t="s">
        <v>27</v>
      </c>
      <c r="N136" s="4">
        <v>9.4600000000000009</v>
      </c>
      <c r="O136" s="4">
        <v>9.4600000000000009</v>
      </c>
      <c r="P136" s="4" t="s">
        <v>2234</v>
      </c>
      <c r="Q136" s="4">
        <v>9.4600000000000009</v>
      </c>
      <c r="R136" s="4" t="s">
        <v>2235</v>
      </c>
    </row>
    <row r="137" spans="1:18" x14ac:dyDescent="0.35">
      <c r="A137" s="4" t="s">
        <v>2492</v>
      </c>
      <c r="B137" s="4" t="s">
        <v>4080</v>
      </c>
      <c r="C137" s="4" t="s">
        <v>2463</v>
      </c>
      <c r="D137" s="4" t="s">
        <v>2470</v>
      </c>
      <c r="E137" s="4" t="s">
        <v>2493</v>
      </c>
      <c r="F137" s="4" t="s">
        <v>33</v>
      </c>
      <c r="G137" s="4" t="s">
        <v>137</v>
      </c>
      <c r="H137" s="4" t="s">
        <v>2231</v>
      </c>
      <c r="I137" s="5">
        <v>24149</v>
      </c>
      <c r="J137" s="4" t="s">
        <v>2466</v>
      </c>
      <c r="K137" s="4" t="s">
        <v>276</v>
      </c>
      <c r="L137" s="4">
        <v>2019</v>
      </c>
      <c r="M137" s="4" t="s">
        <v>27</v>
      </c>
      <c r="N137" s="4">
        <v>9.4600000000000009</v>
      </c>
      <c r="O137" s="4">
        <v>9.4600000000000009</v>
      </c>
      <c r="P137" s="4" t="s">
        <v>2234</v>
      </c>
      <c r="Q137" s="4">
        <v>9.4600000000000009</v>
      </c>
      <c r="R137" s="4" t="s">
        <v>2235</v>
      </c>
    </row>
    <row r="138" spans="1:18" x14ac:dyDescent="0.35">
      <c r="A138" s="4" t="s">
        <v>2494</v>
      </c>
      <c r="B138" s="4" t="s">
        <v>4080</v>
      </c>
      <c r="C138" s="4" t="s">
        <v>2463</v>
      </c>
      <c r="D138" s="4" t="s">
        <v>2470</v>
      </c>
      <c r="E138" s="4" t="s">
        <v>2495</v>
      </c>
      <c r="F138" s="4" t="s">
        <v>33</v>
      </c>
      <c r="G138" s="4" t="s">
        <v>137</v>
      </c>
      <c r="H138" s="4" t="s">
        <v>2231</v>
      </c>
      <c r="I138" s="5">
        <v>24149</v>
      </c>
      <c r="J138" s="4" t="s">
        <v>2466</v>
      </c>
      <c r="K138" s="4" t="s">
        <v>276</v>
      </c>
      <c r="L138" s="4">
        <v>2019</v>
      </c>
      <c r="M138" s="4" t="s">
        <v>27</v>
      </c>
      <c r="N138" s="4">
        <v>9.4600000000000009</v>
      </c>
      <c r="O138" s="4">
        <v>9.4600000000000009</v>
      </c>
      <c r="P138" s="4" t="s">
        <v>2234</v>
      </c>
      <c r="Q138" s="4">
        <v>9.4600000000000009</v>
      </c>
      <c r="R138" s="4" t="s">
        <v>2235</v>
      </c>
    </row>
    <row r="139" spans="1:18" x14ac:dyDescent="0.35">
      <c r="A139" s="4" t="s">
        <v>2496</v>
      </c>
      <c r="B139" s="4" t="s">
        <v>4080</v>
      </c>
      <c r="C139" s="4" t="s">
        <v>2463</v>
      </c>
      <c r="D139" s="4" t="s">
        <v>2470</v>
      </c>
      <c r="E139" s="4" t="s">
        <v>2471</v>
      </c>
      <c r="F139" s="4" t="s">
        <v>33</v>
      </c>
      <c r="G139" s="4" t="s">
        <v>137</v>
      </c>
      <c r="H139" s="4" t="s">
        <v>2231</v>
      </c>
      <c r="I139" s="5">
        <v>24149</v>
      </c>
      <c r="J139" s="4" t="s">
        <v>2466</v>
      </c>
      <c r="K139" s="4" t="s">
        <v>276</v>
      </c>
      <c r="L139" s="4">
        <v>2019</v>
      </c>
      <c r="M139" s="4" t="s">
        <v>27</v>
      </c>
      <c r="N139" s="4">
        <v>9.4600000000000009</v>
      </c>
      <c r="O139" s="4">
        <v>9.4600000000000009</v>
      </c>
      <c r="P139" s="4" t="s">
        <v>2234</v>
      </c>
      <c r="Q139" s="4">
        <v>9.4600000000000009</v>
      </c>
      <c r="R139" s="4" t="s">
        <v>2235</v>
      </c>
    </row>
    <row r="140" spans="1:18" x14ac:dyDescent="0.35">
      <c r="A140" s="4" t="s">
        <v>2497</v>
      </c>
      <c r="B140" s="4" t="s">
        <v>4080</v>
      </c>
      <c r="C140" s="4" t="s">
        <v>2463</v>
      </c>
      <c r="D140" s="4" t="s">
        <v>2470</v>
      </c>
      <c r="E140" s="4" t="s">
        <v>2498</v>
      </c>
      <c r="F140" s="4" t="s">
        <v>33</v>
      </c>
      <c r="G140" s="4" t="s">
        <v>137</v>
      </c>
      <c r="H140" s="4" t="s">
        <v>2231</v>
      </c>
      <c r="I140" s="5">
        <v>24149</v>
      </c>
      <c r="J140" s="4" t="s">
        <v>2466</v>
      </c>
      <c r="K140" s="4" t="s">
        <v>276</v>
      </c>
      <c r="L140" s="4">
        <v>2019</v>
      </c>
      <c r="M140" s="4" t="s">
        <v>27</v>
      </c>
      <c r="N140" s="4">
        <v>9.4600000000000009</v>
      </c>
      <c r="O140" s="4">
        <v>9.4600000000000009</v>
      </c>
      <c r="P140" s="4" t="s">
        <v>2234</v>
      </c>
      <c r="Q140" s="4">
        <v>9.4600000000000009</v>
      </c>
      <c r="R140" s="4" t="s">
        <v>2235</v>
      </c>
    </row>
    <row r="141" spans="1:18" x14ac:dyDescent="0.35">
      <c r="A141" s="4" t="s">
        <v>2499</v>
      </c>
      <c r="B141" s="4" t="s">
        <v>4080</v>
      </c>
      <c r="C141" s="4" t="s">
        <v>2463</v>
      </c>
      <c r="D141" s="4" t="s">
        <v>2470</v>
      </c>
      <c r="E141" s="4" t="s">
        <v>2500</v>
      </c>
      <c r="F141" s="4" t="s">
        <v>33</v>
      </c>
      <c r="G141" s="4" t="s">
        <v>137</v>
      </c>
      <c r="H141" s="4" t="s">
        <v>2231</v>
      </c>
      <c r="I141" s="5">
        <v>24149</v>
      </c>
      <c r="J141" s="4" t="s">
        <v>2466</v>
      </c>
      <c r="K141" s="4" t="s">
        <v>276</v>
      </c>
      <c r="L141" s="4">
        <v>2019</v>
      </c>
      <c r="M141" s="4" t="s">
        <v>27</v>
      </c>
      <c r="N141" s="4">
        <v>9.4600000000000009</v>
      </c>
      <c r="O141" s="4">
        <v>9.4600000000000009</v>
      </c>
      <c r="P141" s="4" t="s">
        <v>2234</v>
      </c>
      <c r="Q141" s="4">
        <v>9.4600000000000009</v>
      </c>
      <c r="R141" s="4" t="s">
        <v>2235</v>
      </c>
    </row>
    <row r="142" spans="1:18" x14ac:dyDescent="0.35">
      <c r="A142" s="4" t="s">
        <v>2501</v>
      </c>
      <c r="B142" s="4" t="s">
        <v>4080</v>
      </c>
      <c r="C142" s="4" t="s">
        <v>2463</v>
      </c>
      <c r="D142" s="4" t="s">
        <v>2470</v>
      </c>
      <c r="E142" s="4" t="s">
        <v>2502</v>
      </c>
      <c r="F142" s="4" t="s">
        <v>33</v>
      </c>
      <c r="G142" s="4" t="s">
        <v>137</v>
      </c>
      <c r="H142" s="4" t="s">
        <v>2231</v>
      </c>
      <c r="I142" s="5">
        <v>24149</v>
      </c>
      <c r="J142" s="4" t="s">
        <v>2466</v>
      </c>
      <c r="K142" s="4" t="s">
        <v>276</v>
      </c>
      <c r="L142" s="4">
        <v>2019</v>
      </c>
      <c r="M142" s="4" t="s">
        <v>27</v>
      </c>
      <c r="N142" s="4">
        <v>9.4600000000000009</v>
      </c>
      <c r="O142" s="4">
        <v>9.4600000000000009</v>
      </c>
      <c r="P142" s="4" t="s">
        <v>2234</v>
      </c>
      <c r="Q142" s="4">
        <v>9.4600000000000009</v>
      </c>
      <c r="R142" s="4" t="s">
        <v>2235</v>
      </c>
    </row>
    <row r="143" spans="1:18" x14ac:dyDescent="0.35">
      <c r="A143" s="4" t="s">
        <v>2503</v>
      </c>
      <c r="B143" s="4" t="s">
        <v>4080</v>
      </c>
      <c r="C143" s="4" t="s">
        <v>2463</v>
      </c>
      <c r="D143" s="4" t="s">
        <v>2470</v>
      </c>
      <c r="E143" s="4" t="s">
        <v>2504</v>
      </c>
      <c r="F143" s="4" t="s">
        <v>33</v>
      </c>
      <c r="G143" s="4" t="s">
        <v>137</v>
      </c>
      <c r="H143" s="4" t="s">
        <v>2231</v>
      </c>
      <c r="I143" s="5">
        <v>24149</v>
      </c>
      <c r="J143" s="4" t="s">
        <v>2466</v>
      </c>
      <c r="K143" s="4" t="s">
        <v>276</v>
      </c>
      <c r="L143" s="4">
        <v>2019</v>
      </c>
      <c r="M143" s="4" t="s">
        <v>27</v>
      </c>
      <c r="N143" s="4">
        <v>9.4600000000000009</v>
      </c>
      <c r="O143" s="4">
        <v>9.4600000000000009</v>
      </c>
      <c r="P143" s="4" t="s">
        <v>2234</v>
      </c>
      <c r="Q143" s="4">
        <v>9.4600000000000009</v>
      </c>
      <c r="R143" s="4" t="s">
        <v>2235</v>
      </c>
    </row>
    <row r="144" spans="1:18" x14ac:dyDescent="0.35">
      <c r="A144" s="4" t="s">
        <v>2505</v>
      </c>
      <c r="B144" s="4" t="s">
        <v>4080</v>
      </c>
      <c r="C144" s="4" t="s">
        <v>2463</v>
      </c>
      <c r="D144" s="4" t="s">
        <v>2470</v>
      </c>
      <c r="E144" s="4" t="s">
        <v>2506</v>
      </c>
      <c r="F144" s="4" t="s">
        <v>33</v>
      </c>
      <c r="G144" s="4" t="s">
        <v>137</v>
      </c>
      <c r="H144" s="4" t="s">
        <v>2231</v>
      </c>
      <c r="I144" s="5">
        <v>24149</v>
      </c>
      <c r="J144" s="4" t="s">
        <v>2466</v>
      </c>
      <c r="K144" s="4" t="s">
        <v>276</v>
      </c>
      <c r="L144" s="4">
        <v>2019</v>
      </c>
      <c r="M144" s="4" t="s">
        <v>27</v>
      </c>
      <c r="N144" s="4">
        <v>9.4600000000000009</v>
      </c>
      <c r="O144" s="4">
        <v>9.4600000000000009</v>
      </c>
      <c r="P144" s="4" t="s">
        <v>2234</v>
      </c>
      <c r="Q144" s="4">
        <v>9.4600000000000009</v>
      </c>
      <c r="R144" s="4" t="s">
        <v>2235</v>
      </c>
    </row>
    <row r="145" spans="1:18" hidden="1" x14ac:dyDescent="0.35">
      <c r="A145" s="4" t="s">
        <v>1815</v>
      </c>
      <c r="B145" s="4" t="s">
        <v>4081</v>
      </c>
      <c r="C145" s="4" t="s">
        <v>1816</v>
      </c>
      <c r="D145" s="4" t="s">
        <v>2507</v>
      </c>
      <c r="E145" s="4">
        <v>1</v>
      </c>
      <c r="F145" s="4" t="s">
        <v>173</v>
      </c>
      <c r="G145" s="4" t="s">
        <v>409</v>
      </c>
      <c r="H145" s="4" t="s">
        <v>2231</v>
      </c>
      <c r="I145" s="5">
        <v>85774</v>
      </c>
      <c r="J145" s="4" t="s">
        <v>1818</v>
      </c>
      <c r="K145" s="4" t="s">
        <v>701</v>
      </c>
      <c r="L145" s="4">
        <v>1992</v>
      </c>
      <c r="M145" s="4" t="s">
        <v>27</v>
      </c>
      <c r="N145" s="4">
        <v>18</v>
      </c>
      <c r="O145" s="4">
        <v>18</v>
      </c>
      <c r="P145" s="4" t="s">
        <v>173</v>
      </c>
      <c r="Q145" s="4">
        <v>18</v>
      </c>
      <c r="R145" s="4" t="s">
        <v>173</v>
      </c>
    </row>
    <row r="146" spans="1:18" hidden="1" x14ac:dyDescent="0.35">
      <c r="A146" s="4" t="s">
        <v>1820</v>
      </c>
      <c r="B146" s="4" t="s">
        <v>4081</v>
      </c>
      <c r="C146" s="4" t="s">
        <v>1816</v>
      </c>
      <c r="D146" s="4" t="s">
        <v>2508</v>
      </c>
      <c r="E146" s="4">
        <v>3</v>
      </c>
      <c r="F146" s="4" t="s">
        <v>173</v>
      </c>
      <c r="G146" s="4" t="s">
        <v>409</v>
      </c>
      <c r="H146" s="4" t="s">
        <v>2231</v>
      </c>
      <c r="I146" s="5">
        <v>85774</v>
      </c>
      <c r="J146" s="4" t="s">
        <v>1818</v>
      </c>
      <c r="K146" s="4" t="s">
        <v>701</v>
      </c>
      <c r="L146" s="4">
        <v>1984</v>
      </c>
      <c r="M146" s="4" t="s">
        <v>27</v>
      </c>
      <c r="N146" s="4">
        <v>22</v>
      </c>
      <c r="O146" s="4">
        <v>22</v>
      </c>
      <c r="P146" s="4" t="s">
        <v>173</v>
      </c>
      <c r="Q146" s="4">
        <v>22</v>
      </c>
      <c r="R146" s="4" t="s">
        <v>173</v>
      </c>
    </row>
    <row r="147" spans="1:18" hidden="1" x14ac:dyDescent="0.35">
      <c r="A147" s="4" t="s">
        <v>2509</v>
      </c>
      <c r="B147" s="4" t="s">
        <v>4081</v>
      </c>
      <c r="C147" s="4" t="s">
        <v>2510</v>
      </c>
      <c r="D147" s="4" t="s">
        <v>2511</v>
      </c>
      <c r="E147" s="4" t="s">
        <v>2512</v>
      </c>
      <c r="F147" s="4" t="s">
        <v>33</v>
      </c>
      <c r="G147" s="4" t="s">
        <v>409</v>
      </c>
      <c r="H147" s="4" t="s">
        <v>2231</v>
      </c>
      <c r="I147" s="5">
        <v>85092</v>
      </c>
      <c r="J147" s="4" t="s">
        <v>2513</v>
      </c>
      <c r="K147" s="4" t="s">
        <v>701</v>
      </c>
      <c r="L147" s="4">
        <v>1964</v>
      </c>
      <c r="M147" s="4" t="s">
        <v>27</v>
      </c>
      <c r="N147" s="4">
        <v>7.8</v>
      </c>
      <c r="O147" s="4">
        <v>7.8</v>
      </c>
      <c r="P147" s="4" t="s">
        <v>2234</v>
      </c>
      <c r="Q147" s="4">
        <v>7.8</v>
      </c>
      <c r="R147" s="4" t="s">
        <v>2235</v>
      </c>
    </row>
    <row r="148" spans="1:18" hidden="1" x14ac:dyDescent="0.35">
      <c r="A148" s="4" t="s">
        <v>2514</v>
      </c>
      <c r="B148" s="4" t="s">
        <v>4081</v>
      </c>
      <c r="C148" s="4" t="s">
        <v>2510</v>
      </c>
      <c r="D148" s="4" t="s">
        <v>2511</v>
      </c>
      <c r="E148" s="4" t="s">
        <v>2515</v>
      </c>
      <c r="F148" s="4" t="s">
        <v>33</v>
      </c>
      <c r="G148" s="4" t="s">
        <v>409</v>
      </c>
      <c r="H148" s="4" t="s">
        <v>2231</v>
      </c>
      <c r="I148" s="5">
        <v>85092</v>
      </c>
      <c r="J148" s="4" t="s">
        <v>2513</v>
      </c>
      <c r="K148" s="4" t="s">
        <v>701</v>
      </c>
      <c r="L148" s="4">
        <v>1964</v>
      </c>
      <c r="M148" s="4" t="s">
        <v>27</v>
      </c>
      <c r="N148" s="4">
        <v>10</v>
      </c>
      <c r="O148" s="4">
        <v>10</v>
      </c>
      <c r="P148" s="4" t="s">
        <v>2234</v>
      </c>
      <c r="Q148" s="4">
        <v>10</v>
      </c>
      <c r="R148" s="4" t="s">
        <v>2235</v>
      </c>
    </row>
    <row r="149" spans="1:18" hidden="1" x14ac:dyDescent="0.35">
      <c r="A149" s="4" t="s">
        <v>2516</v>
      </c>
      <c r="B149" s="4" t="s">
        <v>4081</v>
      </c>
      <c r="C149" s="4" t="s">
        <v>2510</v>
      </c>
      <c r="D149" s="4" t="s">
        <v>2511</v>
      </c>
      <c r="E149" s="4" t="s">
        <v>2517</v>
      </c>
      <c r="F149" s="4" t="s">
        <v>33</v>
      </c>
      <c r="G149" s="4" t="s">
        <v>409</v>
      </c>
      <c r="H149" s="4" t="s">
        <v>2231</v>
      </c>
      <c r="I149" s="5">
        <v>85092</v>
      </c>
      <c r="J149" s="4" t="s">
        <v>2513</v>
      </c>
      <c r="K149" s="4" t="s">
        <v>701</v>
      </c>
      <c r="L149" s="4">
        <v>1964</v>
      </c>
      <c r="M149" s="4" t="s">
        <v>27</v>
      </c>
      <c r="N149" s="4">
        <v>7.2</v>
      </c>
      <c r="O149" s="4">
        <v>7.2</v>
      </c>
      <c r="P149" s="4" t="s">
        <v>2234</v>
      </c>
      <c r="Q149" s="4">
        <v>7.2</v>
      </c>
      <c r="R149" s="4" t="s">
        <v>2235</v>
      </c>
    </row>
    <row r="150" spans="1:18" x14ac:dyDescent="0.35">
      <c r="A150" s="4" t="s">
        <v>1611</v>
      </c>
      <c r="B150" s="4" t="s">
        <v>4080</v>
      </c>
      <c r="C150" s="4" t="s">
        <v>1612</v>
      </c>
      <c r="D150" s="4" t="s">
        <v>2518</v>
      </c>
      <c r="E150" s="4" t="s">
        <v>2519</v>
      </c>
      <c r="F150" s="4" t="s">
        <v>33</v>
      </c>
      <c r="G150" s="4" t="s">
        <v>409</v>
      </c>
      <c r="H150" s="4" t="s">
        <v>2231</v>
      </c>
      <c r="I150" s="5">
        <v>60327</v>
      </c>
      <c r="J150" s="4" t="s">
        <v>2356</v>
      </c>
      <c r="K150" s="4" t="s">
        <v>865</v>
      </c>
      <c r="L150" s="4">
        <v>2018</v>
      </c>
      <c r="M150" s="4" t="s">
        <v>27</v>
      </c>
      <c r="N150" s="4">
        <v>39.1</v>
      </c>
      <c r="O150" s="4">
        <v>39.1</v>
      </c>
      <c r="P150" s="4" t="s">
        <v>2234</v>
      </c>
      <c r="Q150" s="4">
        <v>39.1</v>
      </c>
      <c r="R150" s="4" t="s">
        <v>2235</v>
      </c>
    </row>
    <row r="151" spans="1:18" x14ac:dyDescent="0.35">
      <c r="A151" s="4" t="s">
        <v>2520</v>
      </c>
      <c r="B151" s="4" t="s">
        <v>4080</v>
      </c>
      <c r="C151" s="4" t="s">
        <v>2521</v>
      </c>
      <c r="D151" s="4" t="s">
        <v>2522</v>
      </c>
      <c r="E151" s="4" t="s">
        <v>2523</v>
      </c>
      <c r="F151" s="4" t="s">
        <v>33</v>
      </c>
      <c r="G151" s="4" t="s">
        <v>137</v>
      </c>
      <c r="H151" s="4" t="s">
        <v>2231</v>
      </c>
      <c r="I151" s="5">
        <v>29699</v>
      </c>
      <c r="J151" s="4" t="s">
        <v>2524</v>
      </c>
      <c r="K151" s="4" t="s">
        <v>765</v>
      </c>
      <c r="L151" s="4">
        <v>1912</v>
      </c>
      <c r="M151" s="4" t="s">
        <v>27</v>
      </c>
      <c r="N151" s="4">
        <v>3.2</v>
      </c>
      <c r="O151" s="4">
        <v>3.2</v>
      </c>
      <c r="P151" s="4" t="s">
        <v>2234</v>
      </c>
      <c r="Q151" s="4">
        <v>3.2</v>
      </c>
      <c r="R151" s="4" t="s">
        <v>2235</v>
      </c>
    </row>
    <row r="152" spans="1:18" x14ac:dyDescent="0.35">
      <c r="A152" s="4" t="s">
        <v>2525</v>
      </c>
      <c r="B152" s="4" t="s">
        <v>4080</v>
      </c>
      <c r="C152" s="4" t="s">
        <v>2521</v>
      </c>
      <c r="D152" s="4" t="s">
        <v>2522</v>
      </c>
      <c r="E152" s="4" t="s">
        <v>2526</v>
      </c>
      <c r="F152" s="4" t="s">
        <v>33</v>
      </c>
      <c r="G152" s="4" t="s">
        <v>137</v>
      </c>
      <c r="H152" s="4" t="s">
        <v>2231</v>
      </c>
      <c r="I152" s="5">
        <v>29699</v>
      </c>
      <c r="J152" s="4" t="s">
        <v>2524</v>
      </c>
      <c r="K152" s="4" t="s">
        <v>765</v>
      </c>
      <c r="L152" s="4">
        <v>1912</v>
      </c>
      <c r="M152" s="4" t="s">
        <v>27</v>
      </c>
      <c r="N152" s="4">
        <v>3.2</v>
      </c>
      <c r="O152" s="4">
        <v>3.2</v>
      </c>
      <c r="P152" s="4" t="s">
        <v>2234</v>
      </c>
      <c r="Q152" s="4">
        <v>3.2</v>
      </c>
      <c r="R152" s="4" t="s">
        <v>2235</v>
      </c>
    </row>
    <row r="153" spans="1:18" x14ac:dyDescent="0.35">
      <c r="A153" s="4" t="s">
        <v>2527</v>
      </c>
      <c r="B153" s="4" t="s">
        <v>4080</v>
      </c>
      <c r="C153" s="4" t="s">
        <v>2521</v>
      </c>
      <c r="D153" s="4" t="s">
        <v>2522</v>
      </c>
      <c r="E153" s="4" t="s">
        <v>2528</v>
      </c>
      <c r="F153" s="4" t="s">
        <v>33</v>
      </c>
      <c r="G153" s="4" t="s">
        <v>36</v>
      </c>
      <c r="H153" s="4" t="s">
        <v>2231</v>
      </c>
      <c r="I153" s="5">
        <v>29699</v>
      </c>
      <c r="J153" s="4" t="s">
        <v>2524</v>
      </c>
      <c r="K153" s="4" t="s">
        <v>765</v>
      </c>
      <c r="L153" s="4">
        <v>1912</v>
      </c>
      <c r="M153" s="4" t="s">
        <v>27</v>
      </c>
      <c r="N153" s="4">
        <v>6.35</v>
      </c>
      <c r="O153" s="4">
        <v>6.35</v>
      </c>
      <c r="P153" s="4" t="s">
        <v>2234</v>
      </c>
      <c r="Q153" s="4">
        <v>6.35</v>
      </c>
      <c r="R153" s="4" t="s">
        <v>2235</v>
      </c>
    </row>
    <row r="154" spans="1:18" x14ac:dyDescent="0.35">
      <c r="A154" s="4" t="s">
        <v>2529</v>
      </c>
      <c r="B154" s="4" t="s">
        <v>4080</v>
      </c>
      <c r="C154" s="4" t="s">
        <v>2530</v>
      </c>
      <c r="D154" s="4" t="s">
        <v>2531</v>
      </c>
      <c r="E154" s="4" t="s">
        <v>525</v>
      </c>
      <c r="F154" s="4" t="s">
        <v>33</v>
      </c>
      <c r="G154" s="4" t="s">
        <v>36</v>
      </c>
      <c r="H154" s="4" t="s">
        <v>2231</v>
      </c>
      <c r="I154" s="5">
        <v>28237</v>
      </c>
      <c r="J154" s="4" t="s">
        <v>1531</v>
      </c>
      <c r="K154" s="4" t="s">
        <v>1531</v>
      </c>
      <c r="L154" s="4">
        <v>2002</v>
      </c>
      <c r="M154" s="4" t="s">
        <v>27</v>
      </c>
      <c r="N154" s="4">
        <v>4.8</v>
      </c>
      <c r="O154" s="4">
        <v>4.8</v>
      </c>
      <c r="P154" s="4" t="s">
        <v>2234</v>
      </c>
      <c r="Q154" s="4">
        <v>4.8</v>
      </c>
      <c r="R154" s="4" t="s">
        <v>2235</v>
      </c>
    </row>
    <row r="155" spans="1:18" x14ac:dyDescent="0.35">
      <c r="A155" s="4" t="s">
        <v>2532</v>
      </c>
      <c r="B155" s="4" t="s">
        <v>4080</v>
      </c>
      <c r="C155" s="4" t="s">
        <v>2246</v>
      </c>
      <c r="D155" s="4" t="s">
        <v>2533</v>
      </c>
      <c r="E155" s="4" t="s">
        <v>2534</v>
      </c>
      <c r="F155" s="4" t="s">
        <v>2255</v>
      </c>
      <c r="G155" s="4" t="s">
        <v>2535</v>
      </c>
      <c r="H155" s="4" t="s">
        <v>2249</v>
      </c>
      <c r="I155" s="5">
        <v>34549</v>
      </c>
      <c r="J155" s="4" t="s">
        <v>2257</v>
      </c>
      <c r="K155" s="4" t="s">
        <v>865</v>
      </c>
      <c r="L155" s="4">
        <v>1915</v>
      </c>
      <c r="M155" s="4" t="s">
        <v>27</v>
      </c>
      <c r="N155" s="4">
        <v>10</v>
      </c>
      <c r="O155" s="4">
        <v>10</v>
      </c>
      <c r="P155" s="4" t="s">
        <v>2255</v>
      </c>
      <c r="Q155" s="4">
        <v>10</v>
      </c>
      <c r="R155" s="4" t="s">
        <v>2255</v>
      </c>
    </row>
    <row r="156" spans="1:18" x14ac:dyDescent="0.35">
      <c r="A156" s="4" t="s">
        <v>2536</v>
      </c>
      <c r="B156" s="4" t="s">
        <v>4080</v>
      </c>
      <c r="C156" s="4" t="s">
        <v>2246</v>
      </c>
      <c r="D156" s="4" t="s">
        <v>2533</v>
      </c>
      <c r="E156" s="4" t="s">
        <v>2537</v>
      </c>
      <c r="F156" s="4" t="s">
        <v>2255</v>
      </c>
      <c r="G156" s="4" t="s">
        <v>2535</v>
      </c>
      <c r="H156" s="4" t="s">
        <v>2249</v>
      </c>
      <c r="I156" s="5">
        <v>34549</v>
      </c>
      <c r="J156" s="4" t="s">
        <v>2257</v>
      </c>
      <c r="K156" s="4" t="s">
        <v>865</v>
      </c>
      <c r="L156" s="4">
        <v>1915</v>
      </c>
      <c r="M156" s="4" t="s">
        <v>27</v>
      </c>
      <c r="N156" s="4">
        <v>10</v>
      </c>
      <c r="O156" s="4">
        <v>10</v>
      </c>
      <c r="P156" s="4" t="s">
        <v>2255</v>
      </c>
      <c r="Q156" s="4">
        <v>10</v>
      </c>
      <c r="R156" s="4" t="s">
        <v>2255</v>
      </c>
    </row>
    <row r="157" spans="1:18" hidden="1" x14ac:dyDescent="0.35">
      <c r="A157" s="4" t="s">
        <v>2538</v>
      </c>
      <c r="B157" s="4" t="s">
        <v>4081</v>
      </c>
      <c r="C157" s="4" t="s">
        <v>2246</v>
      </c>
      <c r="D157" s="4" t="s">
        <v>2539</v>
      </c>
      <c r="E157" s="4" t="s">
        <v>2540</v>
      </c>
      <c r="F157" s="4" t="s">
        <v>2255</v>
      </c>
      <c r="G157" s="4" t="s">
        <v>2535</v>
      </c>
      <c r="H157" s="4" t="s">
        <v>2249</v>
      </c>
      <c r="I157" s="5">
        <v>82431</v>
      </c>
      <c r="J157" s="4" t="s">
        <v>2541</v>
      </c>
      <c r="K157" s="4" t="s">
        <v>701</v>
      </c>
      <c r="L157" s="4">
        <v>1924</v>
      </c>
      <c r="M157" s="4" t="s">
        <v>27</v>
      </c>
      <c r="N157" s="4">
        <v>18</v>
      </c>
      <c r="O157" s="4">
        <v>18</v>
      </c>
      <c r="P157" s="4" t="s">
        <v>2255</v>
      </c>
      <c r="Q157" s="4">
        <v>18</v>
      </c>
      <c r="R157" s="4" t="s">
        <v>2255</v>
      </c>
    </row>
    <row r="158" spans="1:18" hidden="1" x14ac:dyDescent="0.35">
      <c r="A158" s="4" t="s">
        <v>2542</v>
      </c>
      <c r="B158" s="4" t="s">
        <v>4081</v>
      </c>
      <c r="C158" s="4" t="s">
        <v>2246</v>
      </c>
      <c r="D158" s="4" t="s">
        <v>2539</v>
      </c>
      <c r="E158" s="4" t="s">
        <v>2543</v>
      </c>
      <c r="F158" s="4" t="s">
        <v>2255</v>
      </c>
      <c r="G158" s="4" t="s">
        <v>2535</v>
      </c>
      <c r="H158" s="4" t="s">
        <v>2249</v>
      </c>
      <c r="I158" s="5">
        <v>82431</v>
      </c>
      <c r="J158" s="4" t="s">
        <v>2541</v>
      </c>
      <c r="K158" s="4" t="s">
        <v>701</v>
      </c>
      <c r="L158" s="4">
        <v>1924</v>
      </c>
      <c r="M158" s="4" t="s">
        <v>27</v>
      </c>
      <c r="N158" s="4">
        <v>18</v>
      </c>
      <c r="O158" s="4">
        <v>18</v>
      </c>
      <c r="P158" s="4" t="s">
        <v>2255</v>
      </c>
      <c r="Q158" s="4">
        <v>18</v>
      </c>
      <c r="R158" s="4" t="s">
        <v>2255</v>
      </c>
    </row>
    <row r="159" spans="1:18" hidden="1" x14ac:dyDescent="0.35">
      <c r="A159" s="4" t="s">
        <v>2544</v>
      </c>
      <c r="B159" s="4" t="s">
        <v>4081</v>
      </c>
      <c r="C159" s="4" t="s">
        <v>2246</v>
      </c>
      <c r="D159" s="4" t="s">
        <v>2539</v>
      </c>
      <c r="E159" s="4" t="s">
        <v>2545</v>
      </c>
      <c r="F159" s="4" t="s">
        <v>2255</v>
      </c>
      <c r="G159" s="4" t="s">
        <v>2535</v>
      </c>
      <c r="H159" s="4" t="s">
        <v>2249</v>
      </c>
      <c r="I159" s="5">
        <v>82431</v>
      </c>
      <c r="J159" s="4" t="s">
        <v>2541</v>
      </c>
      <c r="K159" s="4" t="s">
        <v>701</v>
      </c>
      <c r="L159" s="4">
        <v>1924</v>
      </c>
      <c r="M159" s="4" t="s">
        <v>27</v>
      </c>
      <c r="N159" s="4">
        <v>18</v>
      </c>
      <c r="O159" s="4">
        <v>18</v>
      </c>
      <c r="P159" s="4" t="s">
        <v>2255</v>
      </c>
      <c r="Q159" s="4">
        <v>18</v>
      </c>
      <c r="R159" s="4" t="s">
        <v>2255</v>
      </c>
    </row>
    <row r="160" spans="1:18" hidden="1" x14ac:dyDescent="0.35">
      <c r="A160" s="4" t="s">
        <v>2546</v>
      </c>
      <c r="B160" s="4" t="s">
        <v>4081</v>
      </c>
      <c r="C160" s="4" t="s">
        <v>2246</v>
      </c>
      <c r="D160" s="4" t="s">
        <v>2539</v>
      </c>
      <c r="E160" s="4" t="s">
        <v>2547</v>
      </c>
      <c r="F160" s="4" t="s">
        <v>2255</v>
      </c>
      <c r="G160" s="4" t="s">
        <v>2535</v>
      </c>
      <c r="H160" s="4" t="s">
        <v>2249</v>
      </c>
      <c r="I160" s="5">
        <v>82431</v>
      </c>
      <c r="J160" s="4" t="s">
        <v>2541</v>
      </c>
      <c r="K160" s="4" t="s">
        <v>701</v>
      </c>
      <c r="L160" s="4">
        <v>1924</v>
      </c>
      <c r="M160" s="4" t="s">
        <v>27</v>
      </c>
      <c r="N160" s="4">
        <v>18</v>
      </c>
      <c r="O160" s="4">
        <v>18</v>
      </c>
      <c r="P160" s="4" t="s">
        <v>2255</v>
      </c>
      <c r="Q160" s="4">
        <v>18</v>
      </c>
      <c r="R160" s="4" t="s">
        <v>2255</v>
      </c>
    </row>
    <row r="161" spans="1:18" hidden="1" x14ac:dyDescent="0.35">
      <c r="A161" s="4" t="s">
        <v>2548</v>
      </c>
      <c r="B161" s="4" t="s">
        <v>4081</v>
      </c>
      <c r="C161" s="4" t="s">
        <v>2246</v>
      </c>
      <c r="D161" s="4" t="s">
        <v>2539</v>
      </c>
      <c r="E161" s="4" t="s">
        <v>2549</v>
      </c>
      <c r="F161" s="4" t="s">
        <v>2255</v>
      </c>
      <c r="G161" s="4" t="s">
        <v>2535</v>
      </c>
      <c r="H161" s="4" t="s">
        <v>2249</v>
      </c>
      <c r="I161" s="5">
        <v>82431</v>
      </c>
      <c r="J161" s="4" t="s">
        <v>2541</v>
      </c>
      <c r="K161" s="4" t="s">
        <v>701</v>
      </c>
      <c r="L161" s="4">
        <v>1924</v>
      </c>
      <c r="M161" s="4" t="s">
        <v>27</v>
      </c>
      <c r="N161" s="4">
        <v>13</v>
      </c>
      <c r="O161" s="4">
        <v>13</v>
      </c>
      <c r="P161" s="4" t="s">
        <v>2255</v>
      </c>
      <c r="Q161" s="4">
        <v>13</v>
      </c>
      <c r="R161" s="4" t="s">
        <v>2255</v>
      </c>
    </row>
    <row r="162" spans="1:18" hidden="1" x14ac:dyDescent="0.35">
      <c r="A162" s="4" t="s">
        <v>2550</v>
      </c>
      <c r="B162" s="4" t="s">
        <v>4081</v>
      </c>
      <c r="C162" s="4" t="s">
        <v>2246</v>
      </c>
      <c r="D162" s="4" t="s">
        <v>2539</v>
      </c>
      <c r="E162" s="4" t="s">
        <v>2551</v>
      </c>
      <c r="F162" s="4" t="s">
        <v>2255</v>
      </c>
      <c r="G162" s="4" t="s">
        <v>2535</v>
      </c>
      <c r="H162" s="4" t="s">
        <v>2249</v>
      </c>
      <c r="I162" s="5">
        <v>82431</v>
      </c>
      <c r="J162" s="4" t="s">
        <v>2541</v>
      </c>
      <c r="K162" s="4" t="s">
        <v>701</v>
      </c>
      <c r="L162" s="4">
        <v>1924</v>
      </c>
      <c r="M162" s="4" t="s">
        <v>27</v>
      </c>
      <c r="N162" s="4">
        <v>13</v>
      </c>
      <c r="O162" s="4">
        <v>13</v>
      </c>
      <c r="P162" s="4" t="s">
        <v>2255</v>
      </c>
      <c r="Q162" s="4">
        <v>13</v>
      </c>
      <c r="R162" s="4" t="s">
        <v>2255</v>
      </c>
    </row>
    <row r="163" spans="1:18" hidden="1" x14ac:dyDescent="0.35">
      <c r="A163" s="4" t="s">
        <v>2552</v>
      </c>
      <c r="B163" s="4" t="s">
        <v>4081</v>
      </c>
      <c r="C163" s="4" t="s">
        <v>2246</v>
      </c>
      <c r="D163" s="4" t="s">
        <v>2539</v>
      </c>
      <c r="E163" s="4" t="s">
        <v>2553</v>
      </c>
      <c r="F163" s="4" t="s">
        <v>2255</v>
      </c>
      <c r="G163" s="4" t="s">
        <v>2535</v>
      </c>
      <c r="H163" s="4" t="s">
        <v>2249</v>
      </c>
      <c r="I163" s="5">
        <v>82431</v>
      </c>
      <c r="J163" s="4" t="s">
        <v>2541</v>
      </c>
      <c r="K163" s="4" t="s">
        <v>701</v>
      </c>
      <c r="L163" s="4">
        <v>1924</v>
      </c>
      <c r="M163" s="4" t="s">
        <v>27</v>
      </c>
      <c r="N163" s="4">
        <v>13</v>
      </c>
      <c r="O163" s="4">
        <v>13</v>
      </c>
      <c r="P163" s="4" t="s">
        <v>2255</v>
      </c>
      <c r="Q163" s="4">
        <v>13</v>
      </c>
      <c r="R163" s="4" t="s">
        <v>2255</v>
      </c>
    </row>
    <row r="164" spans="1:18" hidden="1" x14ac:dyDescent="0.35">
      <c r="A164" s="4" t="s">
        <v>2554</v>
      </c>
      <c r="B164" s="4" t="s">
        <v>4081</v>
      </c>
      <c r="C164" s="4" t="s">
        <v>2246</v>
      </c>
      <c r="D164" s="4" t="s">
        <v>2539</v>
      </c>
      <c r="E164" s="4" t="s">
        <v>2555</v>
      </c>
      <c r="F164" s="4" t="s">
        <v>2255</v>
      </c>
      <c r="G164" s="4" t="s">
        <v>2535</v>
      </c>
      <c r="H164" s="4" t="s">
        <v>2249</v>
      </c>
      <c r="I164" s="5">
        <v>82431</v>
      </c>
      <c r="J164" s="4" t="s">
        <v>2541</v>
      </c>
      <c r="K164" s="4" t="s">
        <v>701</v>
      </c>
      <c r="L164" s="4">
        <v>1924</v>
      </c>
      <c r="M164" s="4" t="s">
        <v>27</v>
      </c>
      <c r="N164" s="4">
        <v>13</v>
      </c>
      <c r="O164" s="4">
        <v>13</v>
      </c>
      <c r="P164" s="4" t="s">
        <v>2255</v>
      </c>
      <c r="Q164" s="4">
        <v>13</v>
      </c>
      <c r="R164" s="4" t="s">
        <v>2255</v>
      </c>
    </row>
    <row r="165" spans="1:18" x14ac:dyDescent="0.35">
      <c r="A165" s="4" t="s">
        <v>1518</v>
      </c>
      <c r="B165" s="4" t="s">
        <v>4080</v>
      </c>
      <c r="C165" s="4" t="s">
        <v>2556</v>
      </c>
      <c r="D165" s="4" t="s">
        <v>2557</v>
      </c>
      <c r="E165" s="4" t="s">
        <v>2227</v>
      </c>
      <c r="F165" s="4" t="s">
        <v>33</v>
      </c>
      <c r="G165" s="4" t="s">
        <v>36</v>
      </c>
      <c r="H165" s="4" t="s">
        <v>2231</v>
      </c>
      <c r="I165" s="5">
        <v>30659</v>
      </c>
      <c r="J165" s="4" t="s">
        <v>1479</v>
      </c>
      <c r="K165" s="4" t="s">
        <v>765</v>
      </c>
      <c r="L165" s="4">
        <v>2014</v>
      </c>
      <c r="M165" s="4" t="s">
        <v>27</v>
      </c>
      <c r="N165" s="4">
        <v>30.2</v>
      </c>
      <c r="O165" s="4">
        <v>30.2</v>
      </c>
      <c r="P165" s="4" t="s">
        <v>2234</v>
      </c>
      <c r="Q165" s="4">
        <v>30.2</v>
      </c>
      <c r="R165" s="4" t="s">
        <v>2235</v>
      </c>
    </row>
    <row r="166" spans="1:18" hidden="1" x14ac:dyDescent="0.35">
      <c r="A166" s="4" t="s">
        <v>2558</v>
      </c>
      <c r="B166" s="4" t="s">
        <v>4081</v>
      </c>
      <c r="C166" s="4" t="s">
        <v>2559</v>
      </c>
      <c r="D166" s="4" t="s">
        <v>2560</v>
      </c>
      <c r="E166" s="4" t="s">
        <v>2561</v>
      </c>
      <c r="F166" s="4" t="s">
        <v>33</v>
      </c>
      <c r="G166" s="4" t="s">
        <v>137</v>
      </c>
      <c r="H166" s="4" t="s">
        <v>2231</v>
      </c>
      <c r="I166" s="5">
        <v>93055</v>
      </c>
      <c r="J166" s="4" t="s">
        <v>2560</v>
      </c>
      <c r="K166" s="4" t="s">
        <v>701</v>
      </c>
      <c r="L166" s="4">
        <v>2011</v>
      </c>
      <c r="M166" s="4" t="s">
        <v>27</v>
      </c>
      <c r="N166" s="4">
        <v>2.62</v>
      </c>
      <c r="O166" s="4">
        <v>2.62</v>
      </c>
      <c r="P166" s="4" t="s">
        <v>2234</v>
      </c>
      <c r="Q166" s="4">
        <v>2.62</v>
      </c>
      <c r="R166" s="4" t="s">
        <v>2235</v>
      </c>
    </row>
    <row r="167" spans="1:18" hidden="1" x14ac:dyDescent="0.35">
      <c r="A167" s="4" t="s">
        <v>2562</v>
      </c>
      <c r="B167" s="4" t="s">
        <v>4081</v>
      </c>
      <c r="C167" s="4" t="s">
        <v>2559</v>
      </c>
      <c r="D167" s="4" t="s">
        <v>2560</v>
      </c>
      <c r="E167" s="4" t="s">
        <v>2563</v>
      </c>
      <c r="F167" s="4" t="s">
        <v>33</v>
      </c>
      <c r="G167" s="4" t="s">
        <v>137</v>
      </c>
      <c r="H167" s="4" t="s">
        <v>2231</v>
      </c>
      <c r="I167" s="5">
        <v>93055</v>
      </c>
      <c r="J167" s="4" t="s">
        <v>2560</v>
      </c>
      <c r="K167" s="4" t="s">
        <v>701</v>
      </c>
      <c r="L167" s="4">
        <v>2011</v>
      </c>
      <c r="M167" s="4" t="s">
        <v>27</v>
      </c>
      <c r="N167" s="4">
        <v>2.62</v>
      </c>
      <c r="O167" s="4">
        <v>2.62</v>
      </c>
      <c r="P167" s="4" t="s">
        <v>2234</v>
      </c>
      <c r="Q167" s="4">
        <v>2.62</v>
      </c>
      <c r="R167" s="4" t="s">
        <v>2235</v>
      </c>
    </row>
    <row r="168" spans="1:18" hidden="1" x14ac:dyDescent="0.35">
      <c r="A168" s="4" t="s">
        <v>2564</v>
      </c>
      <c r="B168" s="4" t="s">
        <v>4081</v>
      </c>
      <c r="C168" s="4" t="s">
        <v>2559</v>
      </c>
      <c r="D168" s="4" t="s">
        <v>2560</v>
      </c>
      <c r="E168" s="4" t="s">
        <v>2565</v>
      </c>
      <c r="F168" s="4" t="s">
        <v>33</v>
      </c>
      <c r="G168" s="4" t="s">
        <v>137</v>
      </c>
      <c r="H168" s="4" t="s">
        <v>2231</v>
      </c>
      <c r="I168" s="5">
        <v>93055</v>
      </c>
      <c r="J168" s="4" t="s">
        <v>2560</v>
      </c>
      <c r="K168" s="4" t="s">
        <v>701</v>
      </c>
      <c r="L168" s="4">
        <v>2011</v>
      </c>
      <c r="M168" s="4" t="s">
        <v>27</v>
      </c>
      <c r="N168" s="4">
        <v>2.62</v>
      </c>
      <c r="O168" s="4">
        <v>2.62</v>
      </c>
      <c r="P168" s="4" t="s">
        <v>2234</v>
      </c>
      <c r="Q168" s="4">
        <v>2.62</v>
      </c>
      <c r="R168" s="4" t="s">
        <v>2235</v>
      </c>
    </row>
    <row r="169" spans="1:18" hidden="1" x14ac:dyDescent="0.35">
      <c r="A169" s="4" t="s">
        <v>2566</v>
      </c>
      <c r="B169" s="4" t="s">
        <v>4081</v>
      </c>
      <c r="C169" s="4" t="s">
        <v>2559</v>
      </c>
      <c r="D169" s="4" t="s">
        <v>2560</v>
      </c>
      <c r="E169" s="4" t="s">
        <v>2567</v>
      </c>
      <c r="F169" s="4" t="s">
        <v>33</v>
      </c>
      <c r="G169" s="4" t="s">
        <v>137</v>
      </c>
      <c r="H169" s="4" t="s">
        <v>2231</v>
      </c>
      <c r="I169" s="5">
        <v>93055</v>
      </c>
      <c r="J169" s="4" t="s">
        <v>2560</v>
      </c>
      <c r="K169" s="4" t="s">
        <v>701</v>
      </c>
      <c r="L169" s="4">
        <v>2011</v>
      </c>
      <c r="M169" s="4" t="s">
        <v>27</v>
      </c>
      <c r="N169" s="4">
        <v>2.62</v>
      </c>
      <c r="O169" s="4">
        <v>2.62</v>
      </c>
      <c r="P169" s="4" t="s">
        <v>2234</v>
      </c>
      <c r="Q169" s="4">
        <v>2.62</v>
      </c>
      <c r="R169" s="4" t="s">
        <v>2235</v>
      </c>
    </row>
    <row r="170" spans="1:18" hidden="1" x14ac:dyDescent="0.35">
      <c r="A170" s="4" t="s">
        <v>2568</v>
      </c>
      <c r="B170" s="4" t="s">
        <v>4081</v>
      </c>
      <c r="C170" s="4" t="s">
        <v>2559</v>
      </c>
      <c r="D170" s="4" t="s">
        <v>2560</v>
      </c>
      <c r="E170" s="4" t="s">
        <v>2227</v>
      </c>
      <c r="F170" s="4" t="s">
        <v>33</v>
      </c>
      <c r="G170" s="4" t="s">
        <v>137</v>
      </c>
      <c r="H170" s="4" t="s">
        <v>2231</v>
      </c>
      <c r="I170" s="5">
        <v>93055</v>
      </c>
      <c r="J170" s="4" t="s">
        <v>2560</v>
      </c>
      <c r="K170" s="4" t="s">
        <v>701</v>
      </c>
      <c r="L170" s="4">
        <v>2016</v>
      </c>
      <c r="M170" s="4" t="s">
        <v>27</v>
      </c>
      <c r="N170" s="4">
        <v>2.7</v>
      </c>
      <c r="O170" s="4">
        <v>2.7</v>
      </c>
      <c r="P170" s="4" t="s">
        <v>2234</v>
      </c>
      <c r="Q170" s="4">
        <v>2.7</v>
      </c>
      <c r="R170" s="4" t="s">
        <v>2235</v>
      </c>
    </row>
    <row r="171" spans="1:18" hidden="1" x14ac:dyDescent="0.35">
      <c r="A171" s="4" t="s">
        <v>2569</v>
      </c>
      <c r="B171" s="4" t="s">
        <v>4081</v>
      </c>
      <c r="C171" s="4" t="s">
        <v>2559</v>
      </c>
      <c r="D171" s="4" t="s">
        <v>2570</v>
      </c>
      <c r="E171" s="4" t="s">
        <v>2571</v>
      </c>
      <c r="F171" s="4" t="s">
        <v>33</v>
      </c>
      <c r="G171" s="4" t="s">
        <v>137</v>
      </c>
      <c r="H171" s="4" t="s">
        <v>2231</v>
      </c>
      <c r="I171" s="5">
        <v>84130</v>
      </c>
      <c r="J171" s="4" t="s">
        <v>2572</v>
      </c>
      <c r="K171" s="4" t="s">
        <v>701</v>
      </c>
      <c r="L171" s="4">
        <v>2017</v>
      </c>
      <c r="M171" s="4" t="s">
        <v>27</v>
      </c>
      <c r="N171" s="4">
        <v>4.09</v>
      </c>
      <c r="O171" s="4">
        <v>4.09</v>
      </c>
      <c r="P171" s="4" t="s">
        <v>2234</v>
      </c>
      <c r="Q171" s="4">
        <v>4.09</v>
      </c>
      <c r="R171" s="4" t="s">
        <v>2235</v>
      </c>
    </row>
    <row r="172" spans="1:18" hidden="1" x14ac:dyDescent="0.35">
      <c r="A172" s="4" t="s">
        <v>2573</v>
      </c>
      <c r="B172" s="4" t="s">
        <v>4081</v>
      </c>
      <c r="C172" s="4" t="s">
        <v>2559</v>
      </c>
      <c r="D172" s="4" t="s">
        <v>2570</v>
      </c>
      <c r="E172" s="4" t="s">
        <v>2574</v>
      </c>
      <c r="F172" s="4" t="s">
        <v>33</v>
      </c>
      <c r="G172" s="4" t="s">
        <v>137</v>
      </c>
      <c r="H172" s="4" t="s">
        <v>2231</v>
      </c>
      <c r="I172" s="5">
        <v>84130</v>
      </c>
      <c r="J172" s="4" t="s">
        <v>2572</v>
      </c>
      <c r="K172" s="4" t="s">
        <v>701</v>
      </c>
      <c r="L172" s="4">
        <v>2017</v>
      </c>
      <c r="M172" s="4" t="s">
        <v>27</v>
      </c>
      <c r="N172" s="4">
        <v>4.09</v>
      </c>
      <c r="O172" s="4">
        <v>4.09</v>
      </c>
      <c r="P172" s="4" t="s">
        <v>2234</v>
      </c>
      <c r="Q172" s="4">
        <v>4.09</v>
      </c>
      <c r="R172" s="4" t="s">
        <v>2235</v>
      </c>
    </row>
    <row r="173" spans="1:18" hidden="1" x14ac:dyDescent="0.35">
      <c r="A173" s="4" t="s">
        <v>2575</v>
      </c>
      <c r="B173" s="4" t="s">
        <v>4081</v>
      </c>
      <c r="C173" s="4" t="s">
        <v>2559</v>
      </c>
      <c r="D173" s="4" t="s">
        <v>2570</v>
      </c>
      <c r="E173" s="4" t="s">
        <v>2576</v>
      </c>
      <c r="F173" s="4" t="s">
        <v>33</v>
      </c>
      <c r="G173" s="4" t="s">
        <v>137</v>
      </c>
      <c r="H173" s="4" t="s">
        <v>2231</v>
      </c>
      <c r="I173" s="5">
        <v>84130</v>
      </c>
      <c r="J173" s="4" t="s">
        <v>2572</v>
      </c>
      <c r="K173" s="4" t="s">
        <v>701</v>
      </c>
      <c r="L173" s="4">
        <v>2017</v>
      </c>
      <c r="M173" s="4" t="s">
        <v>27</v>
      </c>
      <c r="N173" s="4">
        <v>4.09</v>
      </c>
      <c r="O173" s="4">
        <v>4.09</v>
      </c>
      <c r="P173" s="4" t="s">
        <v>2234</v>
      </c>
      <c r="Q173" s="4">
        <v>4.09</v>
      </c>
      <c r="R173" s="4" t="s">
        <v>2235</v>
      </c>
    </row>
    <row r="174" spans="1:18" hidden="1" x14ac:dyDescent="0.35">
      <c r="A174" s="4" t="s">
        <v>2577</v>
      </c>
      <c r="B174" s="4" t="s">
        <v>4081</v>
      </c>
      <c r="C174" s="4" t="s">
        <v>2559</v>
      </c>
      <c r="D174" s="4" t="s">
        <v>2570</v>
      </c>
      <c r="E174" s="4" t="s">
        <v>2578</v>
      </c>
      <c r="F174" s="4" t="s">
        <v>33</v>
      </c>
      <c r="G174" s="4" t="s">
        <v>137</v>
      </c>
      <c r="H174" s="4" t="s">
        <v>2231</v>
      </c>
      <c r="I174" s="5">
        <v>84130</v>
      </c>
      <c r="J174" s="4" t="s">
        <v>2572</v>
      </c>
      <c r="K174" s="4" t="s">
        <v>701</v>
      </c>
      <c r="L174" s="4">
        <v>2017</v>
      </c>
      <c r="M174" s="4" t="s">
        <v>27</v>
      </c>
      <c r="N174" s="4">
        <v>4.09</v>
      </c>
      <c r="O174" s="4">
        <v>4.09</v>
      </c>
      <c r="P174" s="4" t="s">
        <v>2234</v>
      </c>
      <c r="Q174" s="4">
        <v>4.09</v>
      </c>
      <c r="R174" s="4" t="s">
        <v>2235</v>
      </c>
    </row>
    <row r="175" spans="1:18" x14ac:dyDescent="0.35">
      <c r="A175" s="4" t="s">
        <v>2579</v>
      </c>
      <c r="B175" s="4" t="s">
        <v>4080</v>
      </c>
      <c r="C175" s="4" t="s">
        <v>2530</v>
      </c>
      <c r="D175" s="4" t="s">
        <v>2531</v>
      </c>
      <c r="E175" s="4" t="s">
        <v>527</v>
      </c>
      <c r="F175" s="4" t="s">
        <v>33</v>
      </c>
      <c r="G175" s="4" t="s">
        <v>36</v>
      </c>
      <c r="H175" s="4" t="s">
        <v>2231</v>
      </c>
      <c r="I175" s="5">
        <v>28237</v>
      </c>
      <c r="J175" s="4" t="s">
        <v>1531</v>
      </c>
      <c r="K175" s="4" t="s">
        <v>1531</v>
      </c>
      <c r="L175" s="4">
        <v>2002</v>
      </c>
      <c r="M175" s="4" t="s">
        <v>27</v>
      </c>
      <c r="N175" s="4">
        <v>5</v>
      </c>
      <c r="O175" s="4">
        <v>5</v>
      </c>
      <c r="P175" s="4" t="s">
        <v>2234</v>
      </c>
      <c r="Q175" s="4">
        <v>5</v>
      </c>
      <c r="R175" s="4" t="s">
        <v>2235</v>
      </c>
    </row>
    <row r="176" spans="1:18" hidden="1" x14ac:dyDescent="0.35">
      <c r="A176" s="4" t="s">
        <v>2580</v>
      </c>
      <c r="B176" s="4" t="s">
        <v>4081</v>
      </c>
      <c r="C176" s="4" t="s">
        <v>2581</v>
      </c>
      <c r="D176" s="4" t="s">
        <v>2582</v>
      </c>
      <c r="E176" s="4" t="s">
        <v>2561</v>
      </c>
      <c r="F176" s="4" t="s">
        <v>33</v>
      </c>
      <c r="G176" s="4" t="s">
        <v>137</v>
      </c>
      <c r="H176" s="4" t="s">
        <v>2231</v>
      </c>
      <c r="I176" s="5">
        <v>84030</v>
      </c>
      <c r="J176" s="4" t="s">
        <v>2583</v>
      </c>
      <c r="K176" s="4" t="s">
        <v>701</v>
      </c>
      <c r="L176" s="4">
        <v>2019</v>
      </c>
      <c r="M176" s="4" t="s">
        <v>27</v>
      </c>
      <c r="N176" s="4">
        <v>4.3</v>
      </c>
      <c r="O176" s="4">
        <v>4.3</v>
      </c>
      <c r="P176" s="4" t="s">
        <v>2234</v>
      </c>
      <c r="Q176" s="4">
        <v>4.3</v>
      </c>
      <c r="R176" s="4" t="s">
        <v>2235</v>
      </c>
    </row>
    <row r="177" spans="1:18" hidden="1" x14ac:dyDescent="0.35">
      <c r="A177" s="4" t="s">
        <v>2584</v>
      </c>
      <c r="B177" s="4" t="s">
        <v>4081</v>
      </c>
      <c r="C177" s="4" t="s">
        <v>2581</v>
      </c>
      <c r="D177" s="4" t="s">
        <v>2582</v>
      </c>
      <c r="E177" s="4" t="s">
        <v>2585</v>
      </c>
      <c r="F177" s="4" t="s">
        <v>33</v>
      </c>
      <c r="G177" s="4" t="s">
        <v>137</v>
      </c>
      <c r="H177" s="4" t="s">
        <v>2231</v>
      </c>
      <c r="I177" s="5">
        <v>84030</v>
      </c>
      <c r="J177" s="4" t="s">
        <v>2583</v>
      </c>
      <c r="K177" s="4" t="s">
        <v>701</v>
      </c>
      <c r="L177" s="4">
        <v>2019</v>
      </c>
      <c r="M177" s="4" t="s">
        <v>27</v>
      </c>
      <c r="N177" s="4">
        <v>4.3</v>
      </c>
      <c r="O177" s="4">
        <v>4.3</v>
      </c>
      <c r="P177" s="4" t="s">
        <v>2234</v>
      </c>
      <c r="Q177" s="4">
        <v>4.3</v>
      </c>
      <c r="R177" s="4" t="s">
        <v>2235</v>
      </c>
    </row>
    <row r="178" spans="1:18" hidden="1" x14ac:dyDescent="0.35">
      <c r="A178" s="4" t="s">
        <v>2586</v>
      </c>
      <c r="B178" s="4" t="s">
        <v>4081</v>
      </c>
      <c r="C178" s="4" t="s">
        <v>2581</v>
      </c>
      <c r="D178" s="4" t="s">
        <v>2582</v>
      </c>
      <c r="E178" s="4" t="s">
        <v>2587</v>
      </c>
      <c r="F178" s="4" t="s">
        <v>33</v>
      </c>
      <c r="G178" s="4" t="s">
        <v>137</v>
      </c>
      <c r="H178" s="4" t="s">
        <v>2231</v>
      </c>
      <c r="I178" s="5">
        <v>84030</v>
      </c>
      <c r="J178" s="4" t="s">
        <v>2583</v>
      </c>
      <c r="K178" s="4" t="s">
        <v>701</v>
      </c>
      <c r="L178" s="4">
        <v>2019</v>
      </c>
      <c r="M178" s="4" t="s">
        <v>27</v>
      </c>
      <c r="N178" s="4">
        <v>4.3</v>
      </c>
      <c r="O178" s="4">
        <v>4.3</v>
      </c>
      <c r="P178" s="4" t="s">
        <v>2234</v>
      </c>
      <c r="Q178" s="4">
        <v>4.3</v>
      </c>
      <c r="R178" s="4" t="s">
        <v>2235</v>
      </c>
    </row>
    <row r="179" spans="1:18" x14ac:dyDescent="0.35">
      <c r="A179" s="4" t="s">
        <v>2588</v>
      </c>
      <c r="B179" s="4" t="s">
        <v>4080</v>
      </c>
      <c r="C179" s="4" t="s">
        <v>2530</v>
      </c>
      <c r="D179" s="4" t="s">
        <v>2531</v>
      </c>
      <c r="E179" s="4" t="s">
        <v>529</v>
      </c>
      <c r="F179" s="4" t="s">
        <v>33</v>
      </c>
      <c r="G179" s="4" t="s">
        <v>36</v>
      </c>
      <c r="H179" s="4" t="s">
        <v>2231</v>
      </c>
      <c r="I179" s="5">
        <v>28237</v>
      </c>
      <c r="J179" s="4" t="s">
        <v>1531</v>
      </c>
      <c r="K179" s="4" t="s">
        <v>1531</v>
      </c>
      <c r="L179" s="4">
        <v>2002</v>
      </c>
      <c r="M179" s="4" t="s">
        <v>27</v>
      </c>
      <c r="N179" s="4">
        <v>5</v>
      </c>
      <c r="O179" s="4">
        <v>5</v>
      </c>
      <c r="P179" s="4" t="s">
        <v>2234</v>
      </c>
      <c r="Q179" s="4">
        <v>5</v>
      </c>
      <c r="R179" s="4" t="s">
        <v>2235</v>
      </c>
    </row>
    <row r="180" spans="1:18" x14ac:dyDescent="0.35">
      <c r="A180" s="4" t="s">
        <v>2589</v>
      </c>
      <c r="B180" s="4" t="s">
        <v>4080</v>
      </c>
      <c r="C180" s="4" t="s">
        <v>2590</v>
      </c>
      <c r="D180" s="4" t="s">
        <v>2591</v>
      </c>
      <c r="E180" s="4" t="s">
        <v>2592</v>
      </c>
      <c r="F180" s="4" t="s">
        <v>71</v>
      </c>
      <c r="G180" s="4" t="s">
        <v>409</v>
      </c>
      <c r="H180" s="4" t="s">
        <v>2249</v>
      </c>
      <c r="I180" s="5">
        <v>28207</v>
      </c>
      <c r="J180" s="4" t="s">
        <v>1531</v>
      </c>
      <c r="K180" s="4" t="s">
        <v>1531</v>
      </c>
      <c r="L180" s="4">
        <v>2019</v>
      </c>
      <c r="M180" s="4" t="s">
        <v>27</v>
      </c>
      <c r="N180" s="4">
        <v>18</v>
      </c>
      <c r="O180" s="4">
        <v>18</v>
      </c>
      <c r="P180" s="4" t="s">
        <v>71</v>
      </c>
      <c r="Q180" s="4">
        <v>18</v>
      </c>
      <c r="R180" s="4" t="s">
        <v>71</v>
      </c>
    </row>
    <row r="181" spans="1:18" x14ac:dyDescent="0.35">
      <c r="A181" s="4" t="s">
        <v>1744</v>
      </c>
      <c r="B181" s="4" t="s">
        <v>4080</v>
      </c>
      <c r="C181" s="4" t="s">
        <v>2267</v>
      </c>
      <c r="D181" s="4" t="s">
        <v>2268</v>
      </c>
      <c r="E181" s="4" t="s">
        <v>773</v>
      </c>
      <c r="F181" s="4" t="s">
        <v>33</v>
      </c>
      <c r="G181" s="4" t="s">
        <v>46</v>
      </c>
      <c r="H181" s="4" t="s">
        <v>2231</v>
      </c>
      <c r="I181" s="5">
        <v>24939</v>
      </c>
      <c r="J181" s="4" t="s">
        <v>1742</v>
      </c>
      <c r="K181" s="4" t="s">
        <v>276</v>
      </c>
      <c r="L181" s="4">
        <v>2016</v>
      </c>
      <c r="M181" s="4" t="s">
        <v>27</v>
      </c>
      <c r="N181" s="4">
        <v>28</v>
      </c>
      <c r="O181" s="4">
        <v>28</v>
      </c>
      <c r="P181" s="4" t="s">
        <v>2234</v>
      </c>
      <c r="Q181" s="4">
        <v>28</v>
      </c>
      <c r="R181" s="4" t="s">
        <v>2235</v>
      </c>
    </row>
    <row r="182" spans="1:18" x14ac:dyDescent="0.35">
      <c r="A182" s="4" t="s">
        <v>1873</v>
      </c>
      <c r="B182" s="4" t="s">
        <v>4080</v>
      </c>
      <c r="C182" s="4" t="s">
        <v>1861</v>
      </c>
      <c r="D182" s="4" t="s">
        <v>2593</v>
      </c>
      <c r="E182" s="4" t="s">
        <v>36</v>
      </c>
      <c r="F182" s="4" t="s">
        <v>33</v>
      </c>
      <c r="G182" s="4" t="s">
        <v>46</v>
      </c>
      <c r="H182" s="4" t="s">
        <v>2231</v>
      </c>
      <c r="I182" s="5">
        <v>38436</v>
      </c>
      <c r="J182" s="4" t="s">
        <v>1863</v>
      </c>
      <c r="K182" s="4" t="s">
        <v>765</v>
      </c>
      <c r="L182" s="4">
        <v>2024</v>
      </c>
      <c r="M182" s="4" t="s">
        <v>27</v>
      </c>
      <c r="N182" s="4">
        <v>90.51</v>
      </c>
      <c r="O182" s="4">
        <v>90.51</v>
      </c>
      <c r="P182" s="4" t="s">
        <v>2234</v>
      </c>
      <c r="Q182" s="4">
        <v>90.51</v>
      </c>
      <c r="R182" s="4" t="s">
        <v>2235</v>
      </c>
    </row>
    <row r="183" spans="1:18" x14ac:dyDescent="0.35">
      <c r="A183" s="4" t="s">
        <v>1865</v>
      </c>
      <c r="B183" s="4" t="s">
        <v>4080</v>
      </c>
      <c r="C183" s="4" t="s">
        <v>1861</v>
      </c>
      <c r="D183" s="4" t="s">
        <v>2593</v>
      </c>
      <c r="E183" s="4" t="s">
        <v>409</v>
      </c>
      <c r="F183" s="4" t="s">
        <v>33</v>
      </c>
      <c r="G183" s="4" t="s">
        <v>46</v>
      </c>
      <c r="H183" s="4" t="s">
        <v>2231</v>
      </c>
      <c r="I183" s="5">
        <v>38436</v>
      </c>
      <c r="J183" s="4" t="s">
        <v>1863</v>
      </c>
      <c r="K183" s="4" t="s">
        <v>765</v>
      </c>
      <c r="L183" s="4">
        <v>2024</v>
      </c>
      <c r="M183" s="4" t="s">
        <v>27</v>
      </c>
      <c r="N183" s="4">
        <v>44</v>
      </c>
      <c r="O183" s="4">
        <v>44</v>
      </c>
      <c r="P183" s="4" t="s">
        <v>2234</v>
      </c>
      <c r="Q183" s="4">
        <v>44</v>
      </c>
      <c r="R183" s="4" t="s">
        <v>2235</v>
      </c>
    </row>
    <row r="184" spans="1:18" x14ac:dyDescent="0.35">
      <c r="A184" s="4" t="s">
        <v>1875</v>
      </c>
      <c r="B184" s="4" t="s">
        <v>4080</v>
      </c>
      <c r="C184" s="4" t="s">
        <v>1861</v>
      </c>
      <c r="D184" s="4" t="s">
        <v>2594</v>
      </c>
      <c r="E184" s="4" t="s">
        <v>36</v>
      </c>
      <c r="F184" s="4" t="s">
        <v>33</v>
      </c>
      <c r="G184" s="4" t="s">
        <v>46</v>
      </c>
      <c r="H184" s="4" t="s">
        <v>2231</v>
      </c>
      <c r="I184" s="5">
        <v>38436</v>
      </c>
      <c r="J184" s="4" t="s">
        <v>1863</v>
      </c>
      <c r="K184" s="4" t="s">
        <v>765</v>
      </c>
      <c r="L184" s="4">
        <v>2024</v>
      </c>
      <c r="M184" s="4" t="s">
        <v>27</v>
      </c>
      <c r="N184" s="4">
        <v>99.99</v>
      </c>
      <c r="O184" s="4">
        <v>99.99</v>
      </c>
      <c r="P184" s="4" t="s">
        <v>2234</v>
      </c>
      <c r="Q184" s="4">
        <v>99.99</v>
      </c>
      <c r="R184" s="4" t="s">
        <v>2235</v>
      </c>
    </row>
    <row r="185" spans="1:18" x14ac:dyDescent="0.35">
      <c r="A185" s="4" t="s">
        <v>1867</v>
      </c>
      <c r="B185" s="4" t="s">
        <v>4080</v>
      </c>
      <c r="C185" s="4" t="s">
        <v>1861</v>
      </c>
      <c r="D185" s="4" t="s">
        <v>2594</v>
      </c>
      <c r="E185" s="4" t="s">
        <v>409</v>
      </c>
      <c r="F185" s="4" t="s">
        <v>33</v>
      </c>
      <c r="G185" s="4" t="s">
        <v>46</v>
      </c>
      <c r="H185" s="4" t="s">
        <v>2231</v>
      </c>
      <c r="I185" s="5">
        <v>38436</v>
      </c>
      <c r="J185" s="4" t="s">
        <v>1863</v>
      </c>
      <c r="K185" s="4" t="s">
        <v>765</v>
      </c>
      <c r="L185" s="4">
        <v>2024</v>
      </c>
      <c r="M185" s="4" t="s">
        <v>27</v>
      </c>
      <c r="N185" s="4">
        <v>48.9</v>
      </c>
      <c r="O185" s="4">
        <v>48.9</v>
      </c>
      <c r="P185" s="4" t="s">
        <v>2234</v>
      </c>
      <c r="Q185" s="4">
        <v>48.9</v>
      </c>
      <c r="R185" s="4" t="s">
        <v>2235</v>
      </c>
    </row>
    <row r="186" spans="1:18" x14ac:dyDescent="0.35">
      <c r="A186" s="4" t="s">
        <v>1455</v>
      </c>
      <c r="B186" s="4" t="s">
        <v>4080</v>
      </c>
      <c r="C186" s="4" t="s">
        <v>1451</v>
      </c>
      <c r="D186" s="4" t="s">
        <v>2595</v>
      </c>
      <c r="E186" s="4" t="s">
        <v>2596</v>
      </c>
      <c r="F186" s="4" t="s">
        <v>33</v>
      </c>
      <c r="G186" s="4" t="s">
        <v>36</v>
      </c>
      <c r="H186" s="4" t="s">
        <v>2231</v>
      </c>
      <c r="I186" s="5">
        <v>38114</v>
      </c>
      <c r="J186" s="4" t="s">
        <v>1453</v>
      </c>
      <c r="K186" s="4" t="s">
        <v>765</v>
      </c>
      <c r="L186" s="4">
        <v>2023</v>
      </c>
      <c r="M186" s="4" t="s">
        <v>27</v>
      </c>
      <c r="N186" s="4">
        <v>62</v>
      </c>
      <c r="O186" s="4">
        <v>62</v>
      </c>
      <c r="P186" s="4" t="s">
        <v>2234</v>
      </c>
      <c r="Q186" s="4">
        <v>62</v>
      </c>
      <c r="R186" s="4" t="s">
        <v>2235</v>
      </c>
    </row>
    <row r="187" spans="1:18" x14ac:dyDescent="0.35">
      <c r="A187" s="4" t="s">
        <v>1749</v>
      </c>
      <c r="B187" s="4" t="s">
        <v>4080</v>
      </c>
      <c r="C187" s="4" t="s">
        <v>2267</v>
      </c>
      <c r="D187" s="4" t="s">
        <v>2268</v>
      </c>
      <c r="E187" s="4" t="s">
        <v>1750</v>
      </c>
      <c r="F187" s="4" t="s">
        <v>33</v>
      </c>
      <c r="G187" s="4" t="s">
        <v>36</v>
      </c>
      <c r="H187" s="4" t="s">
        <v>2231</v>
      </c>
      <c r="I187" s="5">
        <v>24939</v>
      </c>
      <c r="J187" s="4" t="s">
        <v>1742</v>
      </c>
      <c r="K187" s="4" t="s">
        <v>276</v>
      </c>
      <c r="L187" s="4">
        <v>2022</v>
      </c>
      <c r="M187" s="4" t="s">
        <v>27</v>
      </c>
      <c r="N187" s="4">
        <v>60</v>
      </c>
      <c r="O187" s="4">
        <v>60</v>
      </c>
      <c r="P187" s="4" t="s">
        <v>2234</v>
      </c>
      <c r="Q187" s="4">
        <v>60</v>
      </c>
      <c r="R187" s="4" t="s">
        <v>2235</v>
      </c>
    </row>
    <row r="188" spans="1:18" hidden="1" x14ac:dyDescent="0.35">
      <c r="A188" s="4" t="s">
        <v>2597</v>
      </c>
      <c r="B188" s="4" t="s">
        <v>4081</v>
      </c>
      <c r="C188" s="4" t="s">
        <v>2598</v>
      </c>
      <c r="D188" s="4" t="s">
        <v>2599</v>
      </c>
      <c r="E188" s="4" t="s">
        <v>2600</v>
      </c>
      <c r="F188" s="4" t="s">
        <v>33</v>
      </c>
      <c r="G188" s="4" t="s">
        <v>137</v>
      </c>
      <c r="H188" s="4" t="s">
        <v>2249</v>
      </c>
      <c r="I188" s="5">
        <v>85406</v>
      </c>
      <c r="J188" s="4" t="s">
        <v>1693</v>
      </c>
      <c r="K188" s="4" t="s">
        <v>701</v>
      </c>
      <c r="L188" s="4">
        <v>2025</v>
      </c>
      <c r="M188" s="4" t="s">
        <v>2459</v>
      </c>
      <c r="N188" s="4">
        <v>10.39</v>
      </c>
      <c r="O188" s="4">
        <v>10.39</v>
      </c>
      <c r="P188" s="4" t="s">
        <v>2234</v>
      </c>
      <c r="Q188" s="4">
        <v>10.39</v>
      </c>
      <c r="R188" s="4" t="s">
        <v>2235</v>
      </c>
    </row>
    <row r="189" spans="1:18" hidden="1" x14ac:dyDescent="0.35">
      <c r="A189" s="4" t="s">
        <v>2601</v>
      </c>
      <c r="B189" s="4" t="s">
        <v>4081</v>
      </c>
      <c r="C189" s="4" t="s">
        <v>2598</v>
      </c>
      <c r="D189" s="4" t="s">
        <v>2599</v>
      </c>
      <c r="E189" s="4" t="s">
        <v>2602</v>
      </c>
      <c r="F189" s="4" t="s">
        <v>33</v>
      </c>
      <c r="G189" s="4" t="s">
        <v>137</v>
      </c>
      <c r="H189" s="4" t="s">
        <v>2249</v>
      </c>
      <c r="I189" s="5">
        <v>85406</v>
      </c>
      <c r="J189" s="4" t="s">
        <v>1693</v>
      </c>
      <c r="K189" s="4" t="s">
        <v>701</v>
      </c>
      <c r="L189" s="4">
        <v>2025</v>
      </c>
      <c r="M189" s="4" t="s">
        <v>2459</v>
      </c>
      <c r="N189" s="4">
        <v>10.39</v>
      </c>
      <c r="O189" s="4">
        <v>10.39</v>
      </c>
      <c r="P189" s="4" t="s">
        <v>2234</v>
      </c>
      <c r="Q189" s="4">
        <v>10.39</v>
      </c>
      <c r="R189" s="4" t="s">
        <v>2235</v>
      </c>
    </row>
    <row r="190" spans="1:18" hidden="1" x14ac:dyDescent="0.35">
      <c r="A190" s="4" t="s">
        <v>2603</v>
      </c>
      <c r="B190" s="4" t="s">
        <v>4081</v>
      </c>
      <c r="C190" s="4" t="s">
        <v>2598</v>
      </c>
      <c r="D190" s="4" t="s">
        <v>2599</v>
      </c>
      <c r="E190" s="4" t="s">
        <v>2604</v>
      </c>
      <c r="F190" s="4" t="s">
        <v>33</v>
      </c>
      <c r="G190" s="4" t="s">
        <v>137</v>
      </c>
      <c r="H190" s="4" t="s">
        <v>2249</v>
      </c>
      <c r="I190" s="5">
        <v>85406</v>
      </c>
      <c r="J190" s="4" t="s">
        <v>1693</v>
      </c>
      <c r="K190" s="4" t="s">
        <v>701</v>
      </c>
      <c r="L190" s="4">
        <v>2025</v>
      </c>
      <c r="M190" s="4" t="s">
        <v>2459</v>
      </c>
      <c r="N190" s="4">
        <v>10.39</v>
      </c>
      <c r="O190" s="4">
        <v>10.39</v>
      </c>
      <c r="P190" s="4" t="s">
        <v>2234</v>
      </c>
      <c r="Q190" s="4">
        <v>10.39</v>
      </c>
      <c r="R190" s="4" t="s">
        <v>2235</v>
      </c>
    </row>
    <row r="191" spans="1:18" hidden="1" x14ac:dyDescent="0.35">
      <c r="A191" s="4" t="s">
        <v>2605</v>
      </c>
      <c r="B191" s="4" t="s">
        <v>4081</v>
      </c>
      <c r="C191" s="4" t="s">
        <v>2598</v>
      </c>
      <c r="D191" s="4" t="s">
        <v>2599</v>
      </c>
      <c r="E191" s="4" t="s">
        <v>2606</v>
      </c>
      <c r="F191" s="4" t="s">
        <v>33</v>
      </c>
      <c r="G191" s="4" t="s">
        <v>137</v>
      </c>
      <c r="H191" s="4" t="s">
        <v>2249</v>
      </c>
      <c r="I191" s="5">
        <v>85406</v>
      </c>
      <c r="J191" s="4" t="s">
        <v>1693</v>
      </c>
      <c r="K191" s="4" t="s">
        <v>701</v>
      </c>
      <c r="L191" s="4">
        <v>2025</v>
      </c>
      <c r="M191" s="4" t="s">
        <v>2459</v>
      </c>
      <c r="N191" s="4">
        <v>10.39</v>
      </c>
      <c r="O191" s="4">
        <v>10.39</v>
      </c>
      <c r="P191" s="4" t="s">
        <v>2234</v>
      </c>
      <c r="Q191" s="4">
        <v>10.39</v>
      </c>
      <c r="R191" s="4" t="s">
        <v>2235</v>
      </c>
    </row>
    <row r="192" spans="1:18" hidden="1" x14ac:dyDescent="0.35">
      <c r="A192" s="4" t="s">
        <v>1822</v>
      </c>
      <c r="B192" s="4" t="s">
        <v>4081</v>
      </c>
      <c r="C192" s="4" t="s">
        <v>1816</v>
      </c>
      <c r="D192" s="4" t="s">
        <v>2607</v>
      </c>
      <c r="E192" s="4">
        <v>11</v>
      </c>
      <c r="F192" s="4" t="s">
        <v>33</v>
      </c>
      <c r="G192" s="4" t="s">
        <v>36</v>
      </c>
      <c r="H192" s="4" t="s">
        <v>2231</v>
      </c>
      <c r="I192" s="5">
        <v>80807</v>
      </c>
      <c r="J192" s="4" t="s">
        <v>1824</v>
      </c>
      <c r="K192" s="4" t="s">
        <v>701</v>
      </c>
      <c r="L192" s="4">
        <v>2020</v>
      </c>
      <c r="M192" s="4" t="s">
        <v>27</v>
      </c>
      <c r="N192" s="4">
        <v>50.9</v>
      </c>
      <c r="O192" s="4">
        <v>50.9</v>
      </c>
      <c r="P192" s="4" t="s">
        <v>2234</v>
      </c>
      <c r="Q192" s="4">
        <v>50.9</v>
      </c>
      <c r="R192" s="4" t="s">
        <v>2235</v>
      </c>
    </row>
    <row r="193" spans="1:18" hidden="1" x14ac:dyDescent="0.35">
      <c r="A193" s="4" t="s">
        <v>1826</v>
      </c>
      <c r="B193" s="4" t="s">
        <v>4081</v>
      </c>
      <c r="C193" s="4" t="s">
        <v>1816</v>
      </c>
      <c r="D193" s="4" t="s">
        <v>2608</v>
      </c>
      <c r="E193" s="4">
        <v>12</v>
      </c>
      <c r="F193" s="4" t="s">
        <v>33</v>
      </c>
      <c r="G193" s="4" t="s">
        <v>36</v>
      </c>
      <c r="H193" s="4" t="s">
        <v>2231</v>
      </c>
      <c r="I193" s="5">
        <v>80807</v>
      </c>
      <c r="J193" s="4" t="s">
        <v>1824</v>
      </c>
      <c r="K193" s="4" t="s">
        <v>701</v>
      </c>
      <c r="L193" s="4">
        <v>2020</v>
      </c>
      <c r="M193" s="4" t="s">
        <v>27</v>
      </c>
      <c r="N193" s="4">
        <v>50.9</v>
      </c>
      <c r="O193" s="4">
        <v>50.9</v>
      </c>
      <c r="P193" s="4" t="s">
        <v>2234</v>
      </c>
      <c r="Q193" s="4">
        <v>50.9</v>
      </c>
      <c r="R193" s="4" t="s">
        <v>2235</v>
      </c>
    </row>
    <row r="194" spans="1:18" hidden="1" x14ac:dyDescent="0.35">
      <c r="A194" s="4" t="s">
        <v>2192</v>
      </c>
      <c r="B194" s="4" t="s">
        <v>4081</v>
      </c>
      <c r="C194" s="4" t="s">
        <v>2609</v>
      </c>
      <c r="D194" s="4" t="s">
        <v>2194</v>
      </c>
      <c r="E194" s="4" t="s">
        <v>2227</v>
      </c>
      <c r="F194" s="4" t="s">
        <v>33</v>
      </c>
      <c r="G194" s="4" t="s">
        <v>46</v>
      </c>
      <c r="H194" s="4" t="s">
        <v>2231</v>
      </c>
      <c r="I194" s="5">
        <v>69120</v>
      </c>
      <c r="J194" s="4" t="s">
        <v>2195</v>
      </c>
      <c r="K194" s="4" t="s">
        <v>2232</v>
      </c>
      <c r="L194" s="4">
        <v>2002</v>
      </c>
      <c r="M194" s="4" t="s">
        <v>27</v>
      </c>
      <c r="N194" s="4">
        <v>13.5</v>
      </c>
      <c r="O194" s="4">
        <v>13.5</v>
      </c>
      <c r="P194" s="4" t="s">
        <v>2234</v>
      </c>
      <c r="Q194" s="4">
        <v>13.5</v>
      </c>
      <c r="R194" s="4" t="s">
        <v>2235</v>
      </c>
    </row>
    <row r="195" spans="1:18" x14ac:dyDescent="0.35">
      <c r="A195" s="4" t="s">
        <v>1739</v>
      </c>
      <c r="B195" s="4" t="s">
        <v>4080</v>
      </c>
      <c r="C195" s="4" t="s">
        <v>2267</v>
      </c>
      <c r="D195" s="4" t="s">
        <v>2268</v>
      </c>
      <c r="E195" s="4" t="s">
        <v>1741</v>
      </c>
      <c r="F195" s="4" t="s">
        <v>33</v>
      </c>
      <c r="G195" s="4" t="s">
        <v>46</v>
      </c>
      <c r="H195" s="4" t="s">
        <v>2231</v>
      </c>
      <c r="I195" s="5">
        <v>24939</v>
      </c>
      <c r="J195" s="4" t="s">
        <v>1742</v>
      </c>
      <c r="K195" s="4" t="s">
        <v>276</v>
      </c>
      <c r="L195" s="4">
        <v>2016</v>
      </c>
      <c r="M195" s="4" t="s">
        <v>27</v>
      </c>
      <c r="N195" s="4">
        <v>27.2</v>
      </c>
      <c r="O195" s="4">
        <v>27.2</v>
      </c>
      <c r="P195" s="4" t="s">
        <v>2234</v>
      </c>
      <c r="Q195" s="4">
        <v>27.2</v>
      </c>
      <c r="R195" s="4" t="s">
        <v>2235</v>
      </c>
    </row>
    <row r="196" spans="1:18" x14ac:dyDescent="0.35">
      <c r="A196" s="4" t="s">
        <v>1574</v>
      </c>
      <c r="B196" s="4" t="s">
        <v>4080</v>
      </c>
      <c r="C196" s="4" t="s">
        <v>2394</v>
      </c>
      <c r="D196" s="4" t="s">
        <v>2395</v>
      </c>
      <c r="E196" s="4" t="s">
        <v>2610</v>
      </c>
      <c r="F196" s="4" t="s">
        <v>33</v>
      </c>
      <c r="G196" s="4" t="s">
        <v>46</v>
      </c>
      <c r="H196" s="4" t="s">
        <v>2231</v>
      </c>
      <c r="I196" s="5">
        <v>36269</v>
      </c>
      <c r="J196" s="4" t="s">
        <v>1570</v>
      </c>
      <c r="K196" s="4" t="s">
        <v>865</v>
      </c>
      <c r="L196" s="4">
        <v>1967</v>
      </c>
      <c r="M196" s="4" t="s">
        <v>27</v>
      </c>
      <c r="N196" s="4">
        <v>28</v>
      </c>
      <c r="O196" s="4">
        <v>28</v>
      </c>
      <c r="P196" s="4" t="s">
        <v>2234</v>
      </c>
      <c r="Q196" s="4">
        <v>28</v>
      </c>
      <c r="R196" s="4" t="s">
        <v>2235</v>
      </c>
    </row>
    <row r="197" spans="1:18" x14ac:dyDescent="0.35">
      <c r="A197" s="4" t="s">
        <v>1572</v>
      </c>
      <c r="B197" s="4" t="s">
        <v>4080</v>
      </c>
      <c r="C197" s="4" t="s">
        <v>2394</v>
      </c>
      <c r="D197" s="4" t="s">
        <v>2395</v>
      </c>
      <c r="E197" s="4" t="s">
        <v>2611</v>
      </c>
      <c r="F197" s="4" t="s">
        <v>33</v>
      </c>
      <c r="G197" s="4" t="s">
        <v>46</v>
      </c>
      <c r="H197" s="4" t="s">
        <v>2231</v>
      </c>
      <c r="I197" s="5">
        <v>36269</v>
      </c>
      <c r="J197" s="4" t="s">
        <v>1570</v>
      </c>
      <c r="K197" s="4" t="s">
        <v>865</v>
      </c>
      <c r="L197" s="4">
        <v>2017</v>
      </c>
      <c r="M197" s="4" t="s">
        <v>27</v>
      </c>
      <c r="N197" s="4">
        <v>22.5</v>
      </c>
      <c r="O197" s="4">
        <v>22.5</v>
      </c>
      <c r="P197" s="4" t="s">
        <v>2234</v>
      </c>
      <c r="Q197" s="4">
        <v>22.5</v>
      </c>
      <c r="R197" s="4" t="s">
        <v>2235</v>
      </c>
    </row>
    <row r="198" spans="1:18" x14ac:dyDescent="0.35">
      <c r="A198" s="4" t="s">
        <v>2612</v>
      </c>
      <c r="B198" s="4" t="s">
        <v>4080</v>
      </c>
      <c r="C198" s="4" t="s">
        <v>2463</v>
      </c>
      <c r="D198" s="4" t="s">
        <v>2613</v>
      </c>
      <c r="E198" s="4" t="s">
        <v>2425</v>
      </c>
      <c r="F198" s="4" t="s">
        <v>33</v>
      </c>
      <c r="G198" s="4" t="s">
        <v>36</v>
      </c>
      <c r="H198" s="4" t="s">
        <v>2231</v>
      </c>
      <c r="I198" s="5">
        <v>24116</v>
      </c>
      <c r="J198" s="4" t="s">
        <v>2466</v>
      </c>
      <c r="K198" s="4" t="s">
        <v>276</v>
      </c>
      <c r="L198" s="4">
        <v>2005</v>
      </c>
      <c r="M198" s="4" t="s">
        <v>27</v>
      </c>
      <c r="N198" s="4">
        <v>5.4</v>
      </c>
      <c r="O198" s="4">
        <v>5.4</v>
      </c>
      <c r="P198" s="4" t="s">
        <v>2234</v>
      </c>
      <c r="Q198" s="4">
        <v>5.4</v>
      </c>
      <c r="R198" s="4" t="s">
        <v>2235</v>
      </c>
    </row>
    <row r="199" spans="1:18" x14ac:dyDescent="0.35">
      <c r="A199" s="4" t="s">
        <v>2462</v>
      </c>
      <c r="B199" s="4" t="s">
        <v>4080</v>
      </c>
      <c r="C199" s="4" t="s">
        <v>2463</v>
      </c>
      <c r="D199" s="4" t="s">
        <v>2613</v>
      </c>
      <c r="E199" s="4" t="s">
        <v>2423</v>
      </c>
      <c r="F199" s="4" t="s">
        <v>33</v>
      </c>
      <c r="G199" s="4" t="s">
        <v>36</v>
      </c>
      <c r="H199" s="4" t="s">
        <v>2231</v>
      </c>
      <c r="I199" s="5">
        <v>24116</v>
      </c>
      <c r="J199" s="4" t="s">
        <v>2466</v>
      </c>
      <c r="K199" s="4" t="s">
        <v>276</v>
      </c>
      <c r="L199" s="4">
        <v>2005</v>
      </c>
      <c r="M199" s="4" t="s">
        <v>27</v>
      </c>
      <c r="N199" s="4">
        <v>5.4</v>
      </c>
      <c r="O199" s="4">
        <v>5.4</v>
      </c>
      <c r="P199" s="4" t="s">
        <v>2234</v>
      </c>
      <c r="Q199" s="4">
        <v>5.4</v>
      </c>
      <c r="R199" s="4" t="s">
        <v>2235</v>
      </c>
    </row>
    <row r="200" spans="1:18" hidden="1" x14ac:dyDescent="0.35">
      <c r="A200" s="4" t="s">
        <v>1516</v>
      </c>
      <c r="B200" s="4" t="s">
        <v>4081</v>
      </c>
      <c r="C200" s="4" t="s">
        <v>1512</v>
      </c>
      <c r="D200" s="4" t="s">
        <v>2287</v>
      </c>
      <c r="E200" s="4" t="s">
        <v>2287</v>
      </c>
      <c r="F200" s="4" t="s">
        <v>33</v>
      </c>
      <c r="G200" s="4" t="s">
        <v>409</v>
      </c>
      <c r="H200" s="4" t="s">
        <v>2231</v>
      </c>
      <c r="I200" s="5">
        <v>91052</v>
      </c>
      <c r="J200" s="4" t="s">
        <v>1514</v>
      </c>
      <c r="K200" s="4" t="s">
        <v>701</v>
      </c>
      <c r="L200" s="4">
        <v>2022</v>
      </c>
      <c r="M200" s="4" t="s">
        <v>27</v>
      </c>
      <c r="N200" s="4">
        <v>14.8</v>
      </c>
      <c r="O200" s="4">
        <v>14.8</v>
      </c>
      <c r="P200" s="4" t="s">
        <v>2234</v>
      </c>
      <c r="Q200" s="4">
        <v>14.8</v>
      </c>
      <c r="R200" s="4" t="s">
        <v>2235</v>
      </c>
    </row>
    <row r="201" spans="1:18" x14ac:dyDescent="0.35">
      <c r="A201" s="4" t="s">
        <v>2614</v>
      </c>
      <c r="B201" s="4" t="s">
        <v>4080</v>
      </c>
      <c r="C201" s="4" t="s">
        <v>2615</v>
      </c>
      <c r="D201" s="4" t="s">
        <v>2616</v>
      </c>
      <c r="E201" s="4" t="s">
        <v>2616</v>
      </c>
      <c r="F201" s="4" t="s">
        <v>33</v>
      </c>
      <c r="G201" s="4" t="s">
        <v>137</v>
      </c>
      <c r="H201" s="4" t="s">
        <v>2231</v>
      </c>
      <c r="I201" s="5">
        <v>28207</v>
      </c>
      <c r="J201" s="4" t="s">
        <v>1531</v>
      </c>
      <c r="K201" s="4" t="s">
        <v>1531</v>
      </c>
      <c r="L201" s="4">
        <v>2022</v>
      </c>
      <c r="M201" s="4" t="s">
        <v>27</v>
      </c>
      <c r="N201" s="4">
        <v>104</v>
      </c>
      <c r="O201" s="4">
        <v>104</v>
      </c>
      <c r="P201" s="4" t="s">
        <v>2234</v>
      </c>
      <c r="Q201" s="4">
        <v>104</v>
      </c>
      <c r="R201" s="4" t="s">
        <v>2235</v>
      </c>
    </row>
    <row r="202" spans="1:18" hidden="1" x14ac:dyDescent="0.35">
      <c r="A202" s="4" t="s">
        <v>2617</v>
      </c>
      <c r="B202" s="4" t="s">
        <v>4081</v>
      </c>
      <c r="C202" s="4" t="s">
        <v>2618</v>
      </c>
      <c r="D202" s="4" t="s">
        <v>2619</v>
      </c>
      <c r="E202" s="4" t="s">
        <v>2619</v>
      </c>
      <c r="F202" s="4" t="s">
        <v>33</v>
      </c>
      <c r="G202" s="4" t="s">
        <v>137</v>
      </c>
      <c r="H202" s="4" t="s">
        <v>2231</v>
      </c>
      <c r="I202" s="5">
        <v>83026</v>
      </c>
      <c r="J202" s="4" t="s">
        <v>1754</v>
      </c>
      <c r="K202" s="4" t="s">
        <v>701</v>
      </c>
      <c r="L202" s="4">
        <v>2022</v>
      </c>
      <c r="M202" s="4" t="s">
        <v>27</v>
      </c>
      <c r="N202" s="4">
        <v>4.5</v>
      </c>
      <c r="O202" s="4">
        <v>4.5</v>
      </c>
      <c r="P202" s="4" t="s">
        <v>2234</v>
      </c>
      <c r="Q202" s="4">
        <v>4.5</v>
      </c>
      <c r="R202" s="4" t="s">
        <v>2235</v>
      </c>
    </row>
    <row r="203" spans="1:18" hidden="1" x14ac:dyDescent="0.35">
      <c r="A203" s="4" t="s">
        <v>2620</v>
      </c>
      <c r="B203" s="4" t="s">
        <v>4081</v>
      </c>
      <c r="C203" s="4" t="s">
        <v>2618</v>
      </c>
      <c r="D203" s="4" t="s">
        <v>2621</v>
      </c>
      <c r="E203" s="4" t="s">
        <v>2621</v>
      </c>
      <c r="F203" s="4" t="s">
        <v>33</v>
      </c>
      <c r="G203" s="4" t="s">
        <v>137</v>
      </c>
      <c r="H203" s="4" t="s">
        <v>2231</v>
      </c>
      <c r="I203" s="5">
        <v>83026</v>
      </c>
      <c r="J203" s="4" t="s">
        <v>1754</v>
      </c>
      <c r="K203" s="4" t="s">
        <v>701</v>
      </c>
      <c r="L203" s="4">
        <v>2022</v>
      </c>
      <c r="M203" s="4" t="s">
        <v>27</v>
      </c>
      <c r="N203" s="4">
        <v>4.5</v>
      </c>
      <c r="O203" s="4">
        <v>4.5</v>
      </c>
      <c r="P203" s="4" t="s">
        <v>2234</v>
      </c>
      <c r="Q203" s="4">
        <v>4.5</v>
      </c>
      <c r="R203" s="4" t="s">
        <v>2235</v>
      </c>
    </row>
    <row r="204" spans="1:18" hidden="1" x14ac:dyDescent="0.35">
      <c r="A204" s="4" t="s">
        <v>2622</v>
      </c>
      <c r="B204" s="4" t="s">
        <v>4081</v>
      </c>
      <c r="C204" s="4" t="s">
        <v>2618</v>
      </c>
      <c r="D204" s="4" t="s">
        <v>2623</v>
      </c>
      <c r="E204" s="4" t="s">
        <v>2623</v>
      </c>
      <c r="F204" s="4" t="s">
        <v>33</v>
      </c>
      <c r="G204" s="4" t="s">
        <v>137</v>
      </c>
      <c r="H204" s="4" t="s">
        <v>2231</v>
      </c>
      <c r="I204" s="5">
        <v>83026</v>
      </c>
      <c r="J204" s="4" t="s">
        <v>1754</v>
      </c>
      <c r="K204" s="4" t="s">
        <v>701</v>
      </c>
      <c r="L204" s="4">
        <v>2023</v>
      </c>
      <c r="M204" s="4" t="s">
        <v>27</v>
      </c>
      <c r="N204" s="4">
        <v>4.5</v>
      </c>
      <c r="O204" s="4">
        <v>4.5</v>
      </c>
      <c r="P204" s="4" t="s">
        <v>2234</v>
      </c>
      <c r="Q204" s="4">
        <v>4.5</v>
      </c>
      <c r="R204" s="4" t="s">
        <v>2235</v>
      </c>
    </row>
    <row r="205" spans="1:18" hidden="1" x14ac:dyDescent="0.35">
      <c r="A205" s="4" t="s">
        <v>2227</v>
      </c>
      <c r="B205" s="4" t="s">
        <v>4081</v>
      </c>
      <c r="C205" s="4" t="s">
        <v>2228</v>
      </c>
      <c r="D205" s="4" t="s">
        <v>2624</v>
      </c>
      <c r="E205" s="4" t="s">
        <v>2625</v>
      </c>
      <c r="F205" s="4" t="s">
        <v>33</v>
      </c>
      <c r="G205" s="4" t="s">
        <v>46</v>
      </c>
      <c r="H205" s="4" t="s">
        <v>2231</v>
      </c>
      <c r="I205" s="5">
        <v>74076</v>
      </c>
      <c r="J205" s="4" t="s">
        <v>2075</v>
      </c>
      <c r="K205" s="4" t="s">
        <v>2232</v>
      </c>
      <c r="L205" s="4">
        <v>2026</v>
      </c>
      <c r="M205" s="4" t="s">
        <v>2233</v>
      </c>
      <c r="N205" s="4">
        <v>648</v>
      </c>
      <c r="O205" s="4">
        <v>648</v>
      </c>
      <c r="P205" s="4" t="s">
        <v>2234</v>
      </c>
      <c r="Q205" s="4">
        <v>648</v>
      </c>
      <c r="R205" s="4" t="s">
        <v>2235</v>
      </c>
    </row>
    <row r="206" spans="1:18" hidden="1" x14ac:dyDescent="0.35">
      <c r="A206" s="4" t="s">
        <v>2626</v>
      </c>
      <c r="B206" s="4" t="s">
        <v>4081</v>
      </c>
      <c r="C206" s="4" t="s">
        <v>2228</v>
      </c>
      <c r="D206" s="4" t="s">
        <v>2627</v>
      </c>
      <c r="E206" s="4" t="s">
        <v>2628</v>
      </c>
      <c r="F206" s="4" t="s">
        <v>2255</v>
      </c>
      <c r="G206" s="4" t="s">
        <v>2256</v>
      </c>
      <c r="H206" s="4" t="s">
        <v>2249</v>
      </c>
      <c r="I206" s="5" t="s">
        <v>2629</v>
      </c>
      <c r="J206" s="4" t="s">
        <v>2630</v>
      </c>
      <c r="K206" s="4" t="s">
        <v>2227</v>
      </c>
      <c r="L206" s="4">
        <v>2011</v>
      </c>
      <c r="M206" s="4" t="s">
        <v>27</v>
      </c>
      <c r="N206" s="4">
        <v>295</v>
      </c>
      <c r="O206" s="4">
        <v>295</v>
      </c>
      <c r="P206" s="4" t="s">
        <v>2255</v>
      </c>
      <c r="Q206" s="4">
        <v>295</v>
      </c>
      <c r="R206" s="4" t="s">
        <v>2255</v>
      </c>
    </row>
    <row r="207" spans="1:18" hidden="1" x14ac:dyDescent="0.35">
      <c r="A207" s="4" t="s">
        <v>2227</v>
      </c>
      <c r="B207" s="4" t="s">
        <v>4081</v>
      </c>
      <c r="C207" s="4" t="s">
        <v>2228</v>
      </c>
      <c r="D207" s="4" t="s">
        <v>2631</v>
      </c>
      <c r="E207" s="4" t="s">
        <v>2632</v>
      </c>
      <c r="F207" s="4" t="s">
        <v>33</v>
      </c>
      <c r="G207" s="4" t="s">
        <v>36</v>
      </c>
      <c r="H207" s="4" t="s">
        <v>2231</v>
      </c>
      <c r="I207" s="5">
        <v>70376</v>
      </c>
      <c r="J207" s="4" t="s">
        <v>2044</v>
      </c>
      <c r="K207" s="4" t="s">
        <v>2232</v>
      </c>
      <c r="L207" s="4">
        <v>2026</v>
      </c>
      <c r="M207" s="4" t="s">
        <v>2233</v>
      </c>
      <c r="N207" s="4">
        <v>124</v>
      </c>
      <c r="O207" s="4">
        <v>124</v>
      </c>
      <c r="P207" s="4" t="s">
        <v>2234</v>
      </c>
      <c r="Q207" s="4">
        <v>124</v>
      </c>
      <c r="R207" s="4" t="s">
        <v>2235</v>
      </c>
    </row>
    <row r="208" spans="1:18" hidden="1" x14ac:dyDescent="0.35">
      <c r="A208" s="4" t="s">
        <v>2633</v>
      </c>
      <c r="B208" s="4" t="s">
        <v>4080</v>
      </c>
      <c r="C208" s="4" t="s">
        <v>2410</v>
      </c>
      <c r="D208" s="4" t="s">
        <v>2411</v>
      </c>
      <c r="E208" s="4" t="s">
        <v>2299</v>
      </c>
      <c r="F208" s="4" t="s">
        <v>33</v>
      </c>
      <c r="G208" s="4" t="s">
        <v>137</v>
      </c>
      <c r="H208" s="4" t="s">
        <v>2231</v>
      </c>
      <c r="I208" s="5" t="s">
        <v>2293</v>
      </c>
      <c r="J208" s="4" t="s">
        <v>2294</v>
      </c>
      <c r="K208" s="4" t="s">
        <v>132</v>
      </c>
      <c r="L208" s="4">
        <v>2005</v>
      </c>
      <c r="M208" s="4" t="s">
        <v>27</v>
      </c>
      <c r="N208" s="4">
        <v>3.8</v>
      </c>
      <c r="O208" s="4">
        <v>3.8</v>
      </c>
      <c r="P208" s="4" t="s">
        <v>2234</v>
      </c>
      <c r="Q208" s="4">
        <v>3.8</v>
      </c>
      <c r="R208" s="4" t="s">
        <v>2235</v>
      </c>
    </row>
    <row r="209" spans="1:18" hidden="1" x14ac:dyDescent="0.35">
      <c r="A209" s="4" t="s">
        <v>2634</v>
      </c>
      <c r="B209" s="4" t="s">
        <v>4081</v>
      </c>
      <c r="C209" s="4" t="s">
        <v>2635</v>
      </c>
      <c r="D209" s="4" t="s">
        <v>2636</v>
      </c>
      <c r="E209" s="4" t="s">
        <v>2637</v>
      </c>
      <c r="F209" s="4" t="s">
        <v>2255</v>
      </c>
      <c r="G209" s="4" t="s">
        <v>2256</v>
      </c>
      <c r="H209" s="4" t="s">
        <v>2249</v>
      </c>
      <c r="I209" s="5">
        <v>79664</v>
      </c>
      <c r="J209" s="4" t="s">
        <v>2636</v>
      </c>
      <c r="K209" s="4" t="s">
        <v>2232</v>
      </c>
      <c r="L209" s="4">
        <v>1975</v>
      </c>
      <c r="M209" s="4" t="s">
        <v>27</v>
      </c>
      <c r="N209" s="4">
        <v>228</v>
      </c>
      <c r="O209" s="4">
        <v>228</v>
      </c>
      <c r="P209" s="4" t="s">
        <v>2255</v>
      </c>
      <c r="Q209" s="4">
        <v>228</v>
      </c>
      <c r="R209" s="4" t="s">
        <v>2255</v>
      </c>
    </row>
    <row r="210" spans="1:18" hidden="1" x14ac:dyDescent="0.35">
      <c r="A210" s="4" t="s">
        <v>2638</v>
      </c>
      <c r="B210" s="4" t="s">
        <v>4080</v>
      </c>
      <c r="C210" s="4" t="s">
        <v>2410</v>
      </c>
      <c r="D210" s="4" t="s">
        <v>2411</v>
      </c>
      <c r="E210" s="4" t="s">
        <v>992</v>
      </c>
      <c r="F210" s="4" t="s">
        <v>33</v>
      </c>
      <c r="G210" s="4" t="s">
        <v>137</v>
      </c>
      <c r="H210" s="4" t="s">
        <v>2231</v>
      </c>
      <c r="I210" s="5" t="s">
        <v>2293</v>
      </c>
      <c r="J210" s="4" t="s">
        <v>2294</v>
      </c>
      <c r="K210" s="4" t="s">
        <v>132</v>
      </c>
      <c r="L210" s="4">
        <v>2005</v>
      </c>
      <c r="M210" s="4" t="s">
        <v>27</v>
      </c>
      <c r="N210" s="4">
        <v>3.8</v>
      </c>
      <c r="O210" s="4">
        <v>3.8</v>
      </c>
      <c r="P210" s="4" t="s">
        <v>2234</v>
      </c>
      <c r="Q210" s="4">
        <v>3.8</v>
      </c>
      <c r="R210" s="4" t="s">
        <v>2235</v>
      </c>
    </row>
    <row r="211" spans="1:18" hidden="1" x14ac:dyDescent="0.35">
      <c r="A211" s="4" t="s">
        <v>2639</v>
      </c>
      <c r="B211" s="4" t="s">
        <v>4081</v>
      </c>
      <c r="C211" s="4" t="s">
        <v>2635</v>
      </c>
      <c r="D211" s="4" t="s">
        <v>2636</v>
      </c>
      <c r="E211" s="4" t="s">
        <v>2640</v>
      </c>
      <c r="F211" s="4" t="s">
        <v>2255</v>
      </c>
      <c r="G211" s="4" t="s">
        <v>2256</v>
      </c>
      <c r="H211" s="4" t="s">
        <v>2249</v>
      </c>
      <c r="I211" s="5">
        <v>79664</v>
      </c>
      <c r="J211" s="4" t="s">
        <v>2636</v>
      </c>
      <c r="K211" s="4" t="s">
        <v>2232</v>
      </c>
      <c r="L211" s="4">
        <v>1975</v>
      </c>
      <c r="M211" s="4" t="s">
        <v>27</v>
      </c>
      <c r="N211" s="4">
        <v>227</v>
      </c>
      <c r="O211" s="4">
        <v>227</v>
      </c>
      <c r="P211" s="4" t="s">
        <v>2255</v>
      </c>
      <c r="Q211" s="4">
        <v>227</v>
      </c>
      <c r="R211" s="4" t="s">
        <v>2255</v>
      </c>
    </row>
    <row r="212" spans="1:18" hidden="1" x14ac:dyDescent="0.35">
      <c r="A212" s="4" t="s">
        <v>2227</v>
      </c>
      <c r="B212" s="4" t="s">
        <v>4081</v>
      </c>
      <c r="C212" s="4" t="s">
        <v>2228</v>
      </c>
      <c r="D212" s="4" t="s">
        <v>2641</v>
      </c>
      <c r="E212" s="4" t="s">
        <v>2642</v>
      </c>
      <c r="F212" s="4" t="s">
        <v>2255</v>
      </c>
      <c r="G212" s="4" t="s">
        <v>2256</v>
      </c>
      <c r="H212" s="4" t="s">
        <v>2249</v>
      </c>
      <c r="I212" s="5">
        <v>76596</v>
      </c>
      <c r="J212" s="4" t="s">
        <v>2643</v>
      </c>
      <c r="K212" s="4" t="s">
        <v>2232</v>
      </c>
      <c r="L212" s="4">
        <v>2037</v>
      </c>
      <c r="M212" s="4" t="s">
        <v>2459</v>
      </c>
      <c r="N212" s="4">
        <v>220</v>
      </c>
      <c r="O212" s="4">
        <v>220</v>
      </c>
      <c r="P212" s="4" t="s">
        <v>2255</v>
      </c>
      <c r="Q212" s="4">
        <v>220</v>
      </c>
      <c r="R212" s="4" t="s">
        <v>2255</v>
      </c>
    </row>
    <row r="213" spans="1:18" hidden="1" x14ac:dyDescent="0.35">
      <c r="A213" s="4" t="s">
        <v>2644</v>
      </c>
      <c r="B213" s="4" t="s">
        <v>4081</v>
      </c>
      <c r="C213" s="4" t="s">
        <v>2228</v>
      </c>
      <c r="D213" s="4" t="s">
        <v>2645</v>
      </c>
      <c r="E213" s="4" t="s">
        <v>2646</v>
      </c>
      <c r="F213" s="4" t="s">
        <v>2255</v>
      </c>
      <c r="G213" s="4" t="s">
        <v>2256</v>
      </c>
      <c r="H213" s="4" t="s">
        <v>2249</v>
      </c>
      <c r="I213" s="5" t="s">
        <v>2647</v>
      </c>
      <c r="J213" s="4" t="s">
        <v>2648</v>
      </c>
      <c r="K213" s="4" t="s">
        <v>2227</v>
      </c>
      <c r="L213" s="4">
        <v>2019</v>
      </c>
      <c r="M213" s="4" t="s">
        <v>27</v>
      </c>
      <c r="N213" s="4">
        <v>190</v>
      </c>
      <c r="O213" s="4">
        <v>190</v>
      </c>
      <c r="P213" s="4" t="s">
        <v>2255</v>
      </c>
      <c r="Q213" s="4">
        <v>190</v>
      </c>
      <c r="R213" s="4" t="s">
        <v>2255</v>
      </c>
    </row>
    <row r="214" spans="1:18" hidden="1" x14ac:dyDescent="0.35">
      <c r="A214" s="4" t="s">
        <v>2649</v>
      </c>
      <c r="B214" s="4" t="s">
        <v>4081</v>
      </c>
      <c r="C214" s="4" t="s">
        <v>2228</v>
      </c>
      <c r="D214" s="4" t="s">
        <v>2645</v>
      </c>
      <c r="E214" s="4" t="s">
        <v>2650</v>
      </c>
      <c r="F214" s="4" t="s">
        <v>2255</v>
      </c>
      <c r="G214" s="4" t="s">
        <v>2256</v>
      </c>
      <c r="H214" s="4" t="s">
        <v>2249</v>
      </c>
      <c r="I214" s="5" t="s">
        <v>2647</v>
      </c>
      <c r="J214" s="4" t="s">
        <v>2648</v>
      </c>
      <c r="K214" s="4" t="s">
        <v>2227</v>
      </c>
      <c r="L214" s="4">
        <v>2019</v>
      </c>
      <c r="M214" s="4" t="s">
        <v>27</v>
      </c>
      <c r="N214" s="4">
        <v>190</v>
      </c>
      <c r="O214" s="4">
        <v>190</v>
      </c>
      <c r="P214" s="4" t="s">
        <v>2255</v>
      </c>
      <c r="Q214" s="4">
        <v>190</v>
      </c>
      <c r="R214" s="4" t="s">
        <v>2255</v>
      </c>
    </row>
    <row r="215" spans="1:18" hidden="1" x14ac:dyDescent="0.35">
      <c r="A215" s="4" t="s">
        <v>2651</v>
      </c>
      <c r="B215" s="4" t="s">
        <v>4081</v>
      </c>
      <c r="C215" s="4" t="s">
        <v>2228</v>
      </c>
      <c r="D215" s="4" t="s">
        <v>2652</v>
      </c>
      <c r="E215" s="4" t="s">
        <v>2653</v>
      </c>
      <c r="F215" s="4" t="s">
        <v>2255</v>
      </c>
      <c r="G215" s="4" t="s">
        <v>2256</v>
      </c>
      <c r="H215" s="4" t="s">
        <v>2249</v>
      </c>
      <c r="I215" s="5" t="s">
        <v>2647</v>
      </c>
      <c r="J215" s="4" t="s">
        <v>2648</v>
      </c>
      <c r="K215" s="4" t="s">
        <v>2227</v>
      </c>
      <c r="L215" s="4">
        <v>2008</v>
      </c>
      <c r="M215" s="4" t="s">
        <v>27</v>
      </c>
      <c r="N215" s="4">
        <v>175</v>
      </c>
      <c r="O215" s="4">
        <v>175</v>
      </c>
      <c r="P215" s="4" t="s">
        <v>2255</v>
      </c>
      <c r="Q215" s="4">
        <v>175</v>
      </c>
      <c r="R215" s="4" t="s">
        <v>2255</v>
      </c>
    </row>
    <row r="216" spans="1:18" hidden="1" x14ac:dyDescent="0.35">
      <c r="A216" s="4" t="s">
        <v>2654</v>
      </c>
      <c r="B216" s="4" t="s">
        <v>4081</v>
      </c>
      <c r="C216" s="4" t="s">
        <v>2228</v>
      </c>
      <c r="D216" s="4" t="s">
        <v>2652</v>
      </c>
      <c r="E216" s="4" t="s">
        <v>2655</v>
      </c>
      <c r="F216" s="4" t="s">
        <v>2255</v>
      </c>
      <c r="G216" s="4" t="s">
        <v>2256</v>
      </c>
      <c r="H216" s="4" t="s">
        <v>2249</v>
      </c>
      <c r="I216" s="5" t="s">
        <v>2647</v>
      </c>
      <c r="J216" s="4" t="s">
        <v>2648</v>
      </c>
      <c r="K216" s="4" t="s">
        <v>2227</v>
      </c>
      <c r="L216" s="4">
        <v>2008</v>
      </c>
      <c r="M216" s="4" t="s">
        <v>27</v>
      </c>
      <c r="N216" s="4">
        <v>175</v>
      </c>
      <c r="O216" s="4">
        <v>175</v>
      </c>
      <c r="P216" s="4" t="s">
        <v>2255</v>
      </c>
      <c r="Q216" s="4">
        <v>175</v>
      </c>
      <c r="R216" s="4" t="s">
        <v>2255</v>
      </c>
    </row>
    <row r="217" spans="1:18" hidden="1" x14ac:dyDescent="0.35">
      <c r="A217" s="4" t="s">
        <v>2656</v>
      </c>
      <c r="B217" s="4" t="s">
        <v>4081</v>
      </c>
      <c r="C217" s="4" t="s">
        <v>2228</v>
      </c>
      <c r="D217" s="4" t="s">
        <v>2652</v>
      </c>
      <c r="E217" s="4" t="s">
        <v>2657</v>
      </c>
      <c r="F217" s="4" t="s">
        <v>2255</v>
      </c>
      <c r="G217" s="4" t="s">
        <v>2256</v>
      </c>
      <c r="H217" s="4" t="s">
        <v>2249</v>
      </c>
      <c r="I217" s="5" t="s">
        <v>2647</v>
      </c>
      <c r="J217" s="4" t="s">
        <v>2648</v>
      </c>
      <c r="K217" s="4" t="s">
        <v>2227</v>
      </c>
      <c r="L217" s="4">
        <v>2008</v>
      </c>
      <c r="M217" s="4" t="s">
        <v>27</v>
      </c>
      <c r="N217" s="4">
        <v>175</v>
      </c>
      <c r="O217" s="4">
        <v>175</v>
      </c>
      <c r="P217" s="4" t="s">
        <v>2255</v>
      </c>
      <c r="Q217" s="4">
        <v>175</v>
      </c>
      <c r="R217" s="4" t="s">
        <v>2255</v>
      </c>
    </row>
    <row r="218" spans="1:18" hidden="1" x14ac:dyDescent="0.35">
      <c r="A218" s="4" t="s">
        <v>2658</v>
      </c>
      <c r="B218" s="4" t="s">
        <v>4080</v>
      </c>
      <c r="C218" s="4" t="s">
        <v>2410</v>
      </c>
      <c r="D218" s="4" t="s">
        <v>2411</v>
      </c>
      <c r="E218" s="4" t="s">
        <v>994</v>
      </c>
      <c r="F218" s="4" t="s">
        <v>33</v>
      </c>
      <c r="G218" s="4" t="s">
        <v>137</v>
      </c>
      <c r="H218" s="4" t="s">
        <v>2231</v>
      </c>
      <c r="I218" s="5" t="s">
        <v>2293</v>
      </c>
      <c r="J218" s="4" t="s">
        <v>2294</v>
      </c>
      <c r="K218" s="4" t="s">
        <v>132</v>
      </c>
      <c r="L218" s="4">
        <v>2005</v>
      </c>
      <c r="M218" s="4" t="s">
        <v>27</v>
      </c>
      <c r="N218" s="4">
        <v>3.8</v>
      </c>
      <c r="O218" s="4">
        <v>3.8</v>
      </c>
      <c r="P218" s="4" t="s">
        <v>2234</v>
      </c>
      <c r="Q218" s="4">
        <v>3.8</v>
      </c>
      <c r="R218" s="4" t="s">
        <v>2235</v>
      </c>
    </row>
    <row r="219" spans="1:18" hidden="1" x14ac:dyDescent="0.35">
      <c r="A219" s="4" t="s">
        <v>2659</v>
      </c>
      <c r="B219" s="4" t="s">
        <v>4080</v>
      </c>
      <c r="C219" s="4" t="s">
        <v>2410</v>
      </c>
      <c r="D219" s="4" t="s">
        <v>2411</v>
      </c>
      <c r="E219" s="4" t="s">
        <v>2398</v>
      </c>
      <c r="F219" s="4" t="s">
        <v>33</v>
      </c>
      <c r="G219" s="4" t="s">
        <v>137</v>
      </c>
      <c r="H219" s="4" t="s">
        <v>2231</v>
      </c>
      <c r="I219" s="5" t="s">
        <v>2293</v>
      </c>
      <c r="J219" s="4" t="s">
        <v>2294</v>
      </c>
      <c r="K219" s="4" t="s">
        <v>132</v>
      </c>
      <c r="L219" s="4">
        <v>2005</v>
      </c>
      <c r="M219" s="4" t="s">
        <v>27</v>
      </c>
      <c r="N219" s="4">
        <v>3.8</v>
      </c>
      <c r="O219" s="4">
        <v>3.8</v>
      </c>
      <c r="P219" s="4" t="s">
        <v>2234</v>
      </c>
      <c r="Q219" s="4">
        <v>3.8</v>
      </c>
      <c r="R219" s="4" t="s">
        <v>2235</v>
      </c>
    </row>
    <row r="220" spans="1:18" hidden="1" x14ac:dyDescent="0.35">
      <c r="A220" s="4" t="s">
        <v>2660</v>
      </c>
      <c r="B220" s="4" t="s">
        <v>4081</v>
      </c>
      <c r="C220" s="4" t="s">
        <v>2635</v>
      </c>
      <c r="D220" s="4" t="s">
        <v>2661</v>
      </c>
      <c r="E220" s="4" t="s">
        <v>2662</v>
      </c>
      <c r="F220" s="4" t="s">
        <v>2255</v>
      </c>
      <c r="G220" s="4" t="s">
        <v>2256</v>
      </c>
      <c r="H220" s="4" t="s">
        <v>2249</v>
      </c>
      <c r="I220" s="5">
        <v>79713</v>
      </c>
      <c r="J220" s="4" t="s">
        <v>2663</v>
      </c>
      <c r="K220" s="4" t="s">
        <v>2232</v>
      </c>
      <c r="L220" s="4">
        <v>1966</v>
      </c>
      <c r="M220" s="4" t="s">
        <v>27</v>
      </c>
      <c r="N220" s="4">
        <v>90</v>
      </c>
      <c r="O220" s="4">
        <v>90</v>
      </c>
      <c r="P220" s="4" t="s">
        <v>2255</v>
      </c>
      <c r="Q220" s="4">
        <v>90</v>
      </c>
      <c r="R220" s="4" t="s">
        <v>2255</v>
      </c>
    </row>
    <row r="221" spans="1:18" hidden="1" x14ac:dyDescent="0.35">
      <c r="A221" s="4" t="s">
        <v>2664</v>
      </c>
      <c r="B221" s="4" t="s">
        <v>4081</v>
      </c>
      <c r="C221" s="4" t="s">
        <v>2635</v>
      </c>
      <c r="D221" s="4" t="s">
        <v>2661</v>
      </c>
      <c r="E221" s="4" t="s">
        <v>2665</v>
      </c>
      <c r="F221" s="4" t="s">
        <v>2255</v>
      </c>
      <c r="G221" s="4" t="s">
        <v>2256</v>
      </c>
      <c r="H221" s="4" t="s">
        <v>2249</v>
      </c>
      <c r="I221" s="5">
        <v>79713</v>
      </c>
      <c r="J221" s="4" t="s">
        <v>2663</v>
      </c>
      <c r="K221" s="4" t="s">
        <v>2232</v>
      </c>
      <c r="L221" s="4">
        <v>1966</v>
      </c>
      <c r="M221" s="4" t="s">
        <v>27</v>
      </c>
      <c r="N221" s="4">
        <v>90</v>
      </c>
      <c r="O221" s="4">
        <v>90</v>
      </c>
      <c r="P221" s="4" t="s">
        <v>2255</v>
      </c>
      <c r="Q221" s="4">
        <v>90</v>
      </c>
      <c r="R221" s="4" t="s">
        <v>2255</v>
      </c>
    </row>
    <row r="222" spans="1:18" hidden="1" x14ac:dyDescent="0.35">
      <c r="A222" s="4" t="s">
        <v>2666</v>
      </c>
      <c r="B222" s="4" t="s">
        <v>4081</v>
      </c>
      <c r="C222" s="4" t="s">
        <v>2228</v>
      </c>
      <c r="D222" s="4" t="s">
        <v>2667</v>
      </c>
      <c r="E222" s="4" t="s">
        <v>2668</v>
      </c>
      <c r="F222" s="4" t="s">
        <v>2255</v>
      </c>
      <c r="G222" s="4" t="s">
        <v>2535</v>
      </c>
      <c r="H222" s="4" t="s">
        <v>2249</v>
      </c>
      <c r="I222" s="5" t="s">
        <v>2647</v>
      </c>
      <c r="J222" s="4" t="s">
        <v>2648</v>
      </c>
      <c r="K222" s="4" t="s">
        <v>2227</v>
      </c>
      <c r="L222" s="4">
        <v>1968</v>
      </c>
      <c r="M222" s="4" t="s">
        <v>27</v>
      </c>
      <c r="N222" s="4">
        <v>96</v>
      </c>
      <c r="O222" s="4">
        <v>96</v>
      </c>
      <c r="P222" s="4" t="s">
        <v>2255</v>
      </c>
      <c r="Q222" s="4">
        <v>96</v>
      </c>
      <c r="R222" s="4" t="s">
        <v>2255</v>
      </c>
    </row>
    <row r="223" spans="1:18" hidden="1" x14ac:dyDescent="0.35">
      <c r="A223" s="4" t="s">
        <v>2669</v>
      </c>
      <c r="B223" s="4" t="s">
        <v>4081</v>
      </c>
      <c r="C223" s="4" t="s">
        <v>2228</v>
      </c>
      <c r="D223" s="4" t="s">
        <v>2667</v>
      </c>
      <c r="E223" s="4" t="s">
        <v>2670</v>
      </c>
      <c r="F223" s="4" t="s">
        <v>2255</v>
      </c>
      <c r="G223" s="4" t="s">
        <v>2535</v>
      </c>
      <c r="H223" s="4" t="s">
        <v>2249</v>
      </c>
      <c r="I223" s="5" t="s">
        <v>2647</v>
      </c>
      <c r="J223" s="4" t="s">
        <v>2648</v>
      </c>
      <c r="K223" s="4" t="s">
        <v>2227</v>
      </c>
      <c r="L223" s="4">
        <v>1968</v>
      </c>
      <c r="M223" s="4" t="s">
        <v>27</v>
      </c>
      <c r="N223" s="4">
        <v>96</v>
      </c>
      <c r="O223" s="4">
        <v>96</v>
      </c>
      <c r="P223" s="4" t="s">
        <v>2255</v>
      </c>
      <c r="Q223" s="4">
        <v>96</v>
      </c>
      <c r="R223" s="4" t="s">
        <v>2255</v>
      </c>
    </row>
    <row r="224" spans="1:18" hidden="1" x14ac:dyDescent="0.35">
      <c r="A224" s="4" t="s">
        <v>2062</v>
      </c>
      <c r="B224" s="4" t="s">
        <v>4081</v>
      </c>
      <c r="C224" s="4" t="s">
        <v>2228</v>
      </c>
      <c r="D224" s="4" t="s">
        <v>2229</v>
      </c>
      <c r="E224" s="4" t="s">
        <v>2671</v>
      </c>
      <c r="F224" s="4" t="s">
        <v>33</v>
      </c>
      <c r="G224" s="4" t="s">
        <v>36</v>
      </c>
      <c r="H224" s="4" t="s">
        <v>2249</v>
      </c>
      <c r="I224" s="5">
        <v>73776</v>
      </c>
      <c r="J224" s="4" t="s">
        <v>2052</v>
      </c>
      <c r="K224" s="4" t="s">
        <v>2232</v>
      </c>
      <c r="L224" s="4">
        <v>1975</v>
      </c>
      <c r="M224" s="4" t="s">
        <v>27</v>
      </c>
      <c r="N224" s="4">
        <v>81</v>
      </c>
      <c r="O224" s="4">
        <v>81</v>
      </c>
      <c r="P224" s="4" t="s">
        <v>2234</v>
      </c>
      <c r="Q224" s="4">
        <v>81</v>
      </c>
      <c r="R224" s="4" t="s">
        <v>2235</v>
      </c>
    </row>
    <row r="225" spans="1:18" hidden="1" x14ac:dyDescent="0.35">
      <c r="A225" s="4" t="s">
        <v>2164</v>
      </c>
      <c r="B225" s="4" t="s">
        <v>4081</v>
      </c>
      <c r="C225" s="4" t="s">
        <v>1059</v>
      </c>
      <c r="D225" s="4" t="s">
        <v>2672</v>
      </c>
      <c r="E225" s="4" t="s">
        <v>2227</v>
      </c>
      <c r="F225" s="4" t="s">
        <v>33</v>
      </c>
      <c r="G225" s="4" t="s">
        <v>409</v>
      </c>
      <c r="H225" s="4" t="s">
        <v>2231</v>
      </c>
      <c r="I225" s="5">
        <v>73432</v>
      </c>
      <c r="J225" s="4" t="s">
        <v>2166</v>
      </c>
      <c r="K225" s="4" t="s">
        <v>2232</v>
      </c>
      <c r="L225" s="4">
        <v>2021</v>
      </c>
      <c r="M225" s="4" t="s">
        <v>27</v>
      </c>
      <c r="N225" s="4">
        <v>77.150000000000006</v>
      </c>
      <c r="O225" s="4">
        <v>77.150000000000006</v>
      </c>
      <c r="P225" s="4" t="s">
        <v>2234</v>
      </c>
      <c r="Q225" s="4">
        <v>77.150000000000006</v>
      </c>
      <c r="R225" s="4" t="s">
        <v>2235</v>
      </c>
    </row>
    <row r="226" spans="1:18" hidden="1" x14ac:dyDescent="0.35">
      <c r="A226" s="4" t="s">
        <v>2673</v>
      </c>
      <c r="B226" s="4" t="s">
        <v>4081</v>
      </c>
      <c r="C226" s="4" t="s">
        <v>2228</v>
      </c>
      <c r="D226" s="4" t="s">
        <v>2667</v>
      </c>
      <c r="E226" s="4" t="s">
        <v>2674</v>
      </c>
      <c r="F226" s="4" t="s">
        <v>2255</v>
      </c>
      <c r="G226" s="4" t="s">
        <v>2535</v>
      </c>
      <c r="H226" s="4" t="s">
        <v>2249</v>
      </c>
      <c r="I226" s="5" t="s">
        <v>2647</v>
      </c>
      <c r="J226" s="4" t="s">
        <v>2648</v>
      </c>
      <c r="K226" s="4" t="s">
        <v>2227</v>
      </c>
      <c r="L226" s="4">
        <v>1968</v>
      </c>
      <c r="M226" s="4" t="s">
        <v>27</v>
      </c>
      <c r="N226" s="4">
        <v>96</v>
      </c>
      <c r="O226" s="4">
        <v>96</v>
      </c>
      <c r="P226" s="4" t="s">
        <v>2255</v>
      </c>
      <c r="Q226" s="4">
        <v>96</v>
      </c>
      <c r="R226" s="4" t="s">
        <v>2255</v>
      </c>
    </row>
    <row r="227" spans="1:18" hidden="1" x14ac:dyDescent="0.35">
      <c r="A227" s="4" t="s">
        <v>2058</v>
      </c>
      <c r="B227" s="4" t="s">
        <v>4081</v>
      </c>
      <c r="C227" s="4" t="s">
        <v>2228</v>
      </c>
      <c r="D227" s="4" t="s">
        <v>2229</v>
      </c>
      <c r="E227" s="4" t="s">
        <v>2675</v>
      </c>
      <c r="F227" s="4" t="s">
        <v>33</v>
      </c>
      <c r="G227" s="4" t="s">
        <v>36</v>
      </c>
      <c r="H227" s="4" t="s">
        <v>2249</v>
      </c>
      <c r="I227" s="5">
        <v>73776</v>
      </c>
      <c r="J227" s="4" t="s">
        <v>2052</v>
      </c>
      <c r="K227" s="4" t="s">
        <v>2232</v>
      </c>
      <c r="L227" s="4">
        <v>1973</v>
      </c>
      <c r="M227" s="4" t="s">
        <v>27</v>
      </c>
      <c r="N227" s="4">
        <v>57</v>
      </c>
      <c r="O227" s="4">
        <v>57</v>
      </c>
      <c r="P227" s="4" t="s">
        <v>2234</v>
      </c>
      <c r="Q227" s="4">
        <v>57</v>
      </c>
      <c r="R227" s="4" t="s">
        <v>2235</v>
      </c>
    </row>
    <row r="228" spans="1:18" hidden="1" x14ac:dyDescent="0.35">
      <c r="A228" s="4" t="s">
        <v>2676</v>
      </c>
      <c r="B228" s="4" t="s">
        <v>4081</v>
      </c>
      <c r="C228" s="4" t="s">
        <v>2635</v>
      </c>
      <c r="D228" s="4" t="s">
        <v>2677</v>
      </c>
      <c r="E228" s="4" t="s">
        <v>2678</v>
      </c>
      <c r="F228" s="4" t="s">
        <v>2255</v>
      </c>
      <c r="G228" s="4" t="s">
        <v>2256</v>
      </c>
      <c r="H228" s="4" t="s">
        <v>2249</v>
      </c>
      <c r="I228" s="5">
        <v>79777</v>
      </c>
      <c r="J228" s="4" t="s">
        <v>2677</v>
      </c>
      <c r="K228" s="4" t="s">
        <v>2232</v>
      </c>
      <c r="L228" s="4">
        <v>1950</v>
      </c>
      <c r="M228" s="4" t="s">
        <v>27</v>
      </c>
      <c r="N228" s="4">
        <v>55</v>
      </c>
      <c r="O228" s="4">
        <v>55</v>
      </c>
      <c r="P228" s="4" t="s">
        <v>2255</v>
      </c>
      <c r="Q228" s="4">
        <v>55</v>
      </c>
      <c r="R228" s="4" t="s">
        <v>2255</v>
      </c>
    </row>
    <row r="229" spans="1:18" hidden="1" x14ac:dyDescent="0.35">
      <c r="A229" s="4" t="s">
        <v>2679</v>
      </c>
      <c r="B229" s="4" t="s">
        <v>4081</v>
      </c>
      <c r="C229" s="4" t="s">
        <v>2635</v>
      </c>
      <c r="D229" s="4" t="s">
        <v>2677</v>
      </c>
      <c r="E229" s="4" t="s">
        <v>2680</v>
      </c>
      <c r="F229" s="4" t="s">
        <v>2255</v>
      </c>
      <c r="G229" s="4" t="s">
        <v>2256</v>
      </c>
      <c r="H229" s="4" t="s">
        <v>2249</v>
      </c>
      <c r="I229" s="5">
        <v>79777</v>
      </c>
      <c r="J229" s="4" t="s">
        <v>2677</v>
      </c>
      <c r="K229" s="4" t="s">
        <v>2232</v>
      </c>
      <c r="L229" s="4">
        <v>1950</v>
      </c>
      <c r="M229" s="4" t="s">
        <v>27</v>
      </c>
      <c r="N229" s="4">
        <v>55</v>
      </c>
      <c r="O229" s="4">
        <v>55</v>
      </c>
      <c r="P229" s="4" t="s">
        <v>2255</v>
      </c>
      <c r="Q229" s="4">
        <v>55</v>
      </c>
      <c r="R229" s="4" t="s">
        <v>2255</v>
      </c>
    </row>
    <row r="230" spans="1:18" hidden="1" x14ac:dyDescent="0.35">
      <c r="A230" s="4" t="s">
        <v>2172</v>
      </c>
      <c r="B230" s="4" t="s">
        <v>4081</v>
      </c>
      <c r="C230" s="4" t="s">
        <v>2681</v>
      </c>
      <c r="D230" s="4" t="s">
        <v>2682</v>
      </c>
      <c r="E230" s="4" t="s">
        <v>2174</v>
      </c>
      <c r="F230" s="4" t="s">
        <v>33</v>
      </c>
      <c r="G230" s="4" t="s">
        <v>137</v>
      </c>
      <c r="H230" s="4" t="s">
        <v>2231</v>
      </c>
      <c r="I230" s="5">
        <v>75175</v>
      </c>
      <c r="J230" s="4" t="s">
        <v>2175</v>
      </c>
      <c r="K230" s="4" t="s">
        <v>2232</v>
      </c>
      <c r="L230" s="4">
        <v>2021</v>
      </c>
      <c r="M230" s="4" t="s">
        <v>27</v>
      </c>
      <c r="N230" s="4">
        <v>10.199999999999999</v>
      </c>
      <c r="O230" s="4">
        <v>10.199999999999999</v>
      </c>
      <c r="P230" s="4" t="s">
        <v>2234</v>
      </c>
      <c r="Q230" s="4">
        <v>10.199999999999999</v>
      </c>
      <c r="R230" s="4" t="s">
        <v>2235</v>
      </c>
    </row>
    <row r="231" spans="1:18" hidden="1" x14ac:dyDescent="0.35">
      <c r="A231" s="4" t="s">
        <v>2178</v>
      </c>
      <c r="B231" s="4" t="s">
        <v>4081</v>
      </c>
      <c r="C231" s="4" t="s">
        <v>2681</v>
      </c>
      <c r="D231" s="4" t="s">
        <v>2682</v>
      </c>
      <c r="E231" s="4" t="s">
        <v>2179</v>
      </c>
      <c r="F231" s="4" t="s">
        <v>33</v>
      </c>
      <c r="G231" s="4" t="s">
        <v>137</v>
      </c>
      <c r="H231" s="4" t="s">
        <v>2231</v>
      </c>
      <c r="I231" s="5">
        <v>75175</v>
      </c>
      <c r="J231" s="4" t="s">
        <v>2175</v>
      </c>
      <c r="K231" s="4" t="s">
        <v>2232</v>
      </c>
      <c r="L231" s="4">
        <v>2021</v>
      </c>
      <c r="M231" s="4" t="s">
        <v>27</v>
      </c>
      <c r="N231" s="4">
        <v>10.199999999999999</v>
      </c>
      <c r="O231" s="4">
        <v>10.199999999999999</v>
      </c>
      <c r="P231" s="4" t="s">
        <v>2234</v>
      </c>
      <c r="Q231" s="4">
        <v>10.199999999999999</v>
      </c>
      <c r="R231" s="4" t="s">
        <v>2235</v>
      </c>
    </row>
    <row r="232" spans="1:18" hidden="1" x14ac:dyDescent="0.35">
      <c r="A232" s="4" t="s">
        <v>2180</v>
      </c>
      <c r="B232" s="4" t="s">
        <v>4081</v>
      </c>
      <c r="C232" s="4" t="s">
        <v>2681</v>
      </c>
      <c r="D232" s="4" t="s">
        <v>2682</v>
      </c>
      <c r="E232" s="4" t="s">
        <v>2181</v>
      </c>
      <c r="F232" s="4" t="s">
        <v>33</v>
      </c>
      <c r="G232" s="4" t="s">
        <v>137</v>
      </c>
      <c r="H232" s="4" t="s">
        <v>2231</v>
      </c>
      <c r="I232" s="5">
        <v>75175</v>
      </c>
      <c r="J232" s="4" t="s">
        <v>2175</v>
      </c>
      <c r="K232" s="4" t="s">
        <v>2232</v>
      </c>
      <c r="L232" s="4">
        <v>2021</v>
      </c>
      <c r="M232" s="4" t="s">
        <v>27</v>
      </c>
      <c r="N232" s="4">
        <v>10.199999999999999</v>
      </c>
      <c r="O232" s="4">
        <v>10.199999999999999</v>
      </c>
      <c r="P232" s="4" t="s">
        <v>2234</v>
      </c>
      <c r="Q232" s="4">
        <v>10.199999999999999</v>
      </c>
      <c r="R232" s="4" t="s">
        <v>2235</v>
      </c>
    </row>
    <row r="233" spans="1:18" hidden="1" x14ac:dyDescent="0.35">
      <c r="A233" s="4" t="s">
        <v>2182</v>
      </c>
      <c r="B233" s="4" t="s">
        <v>4081</v>
      </c>
      <c r="C233" s="4" t="s">
        <v>2681</v>
      </c>
      <c r="D233" s="4" t="s">
        <v>2682</v>
      </c>
      <c r="E233" s="4" t="s">
        <v>2183</v>
      </c>
      <c r="F233" s="4" t="s">
        <v>33</v>
      </c>
      <c r="G233" s="4" t="s">
        <v>137</v>
      </c>
      <c r="H233" s="4" t="s">
        <v>2231</v>
      </c>
      <c r="I233" s="5">
        <v>75175</v>
      </c>
      <c r="J233" s="4" t="s">
        <v>2175</v>
      </c>
      <c r="K233" s="4" t="s">
        <v>2232</v>
      </c>
      <c r="L233" s="4">
        <v>2021</v>
      </c>
      <c r="M233" s="4" t="s">
        <v>27</v>
      </c>
      <c r="N233" s="4">
        <v>10.199999999999999</v>
      </c>
      <c r="O233" s="4">
        <v>10.199999999999999</v>
      </c>
      <c r="P233" s="4" t="s">
        <v>2234</v>
      </c>
      <c r="Q233" s="4">
        <v>10.199999999999999</v>
      </c>
      <c r="R233" s="4" t="s">
        <v>2235</v>
      </c>
    </row>
    <row r="234" spans="1:18" hidden="1" x14ac:dyDescent="0.35">
      <c r="A234" s="4" t="s">
        <v>2184</v>
      </c>
      <c r="B234" s="4" t="s">
        <v>4081</v>
      </c>
      <c r="C234" s="4" t="s">
        <v>2681</v>
      </c>
      <c r="D234" s="4" t="s">
        <v>2682</v>
      </c>
      <c r="E234" s="4" t="s">
        <v>2185</v>
      </c>
      <c r="F234" s="4" t="s">
        <v>33</v>
      </c>
      <c r="G234" s="4" t="s">
        <v>137</v>
      </c>
      <c r="H234" s="4" t="s">
        <v>2231</v>
      </c>
      <c r="I234" s="5">
        <v>75175</v>
      </c>
      <c r="J234" s="4" t="s">
        <v>2175</v>
      </c>
      <c r="K234" s="4" t="s">
        <v>2232</v>
      </c>
      <c r="L234" s="4">
        <v>2021</v>
      </c>
      <c r="M234" s="4" t="s">
        <v>27</v>
      </c>
      <c r="N234" s="4">
        <v>10.199999999999999</v>
      </c>
      <c r="O234" s="4">
        <v>10.199999999999999</v>
      </c>
      <c r="P234" s="4" t="s">
        <v>2234</v>
      </c>
      <c r="Q234" s="4">
        <v>10.199999999999999</v>
      </c>
      <c r="R234" s="4" t="s">
        <v>2235</v>
      </c>
    </row>
    <row r="235" spans="1:18" hidden="1" x14ac:dyDescent="0.35">
      <c r="A235" s="4" t="s">
        <v>2050</v>
      </c>
      <c r="B235" s="4" t="s">
        <v>4081</v>
      </c>
      <c r="C235" s="4" t="s">
        <v>2228</v>
      </c>
      <c r="D235" s="4" t="s">
        <v>2229</v>
      </c>
      <c r="E235" s="4" t="s">
        <v>2683</v>
      </c>
      <c r="F235" s="4" t="s">
        <v>33</v>
      </c>
      <c r="G235" s="4" t="s">
        <v>36</v>
      </c>
      <c r="H235" s="4" t="s">
        <v>2249</v>
      </c>
      <c r="I235" s="5">
        <v>73776</v>
      </c>
      <c r="J235" s="4" t="s">
        <v>2052</v>
      </c>
      <c r="K235" s="4" t="s">
        <v>2232</v>
      </c>
      <c r="L235" s="4">
        <v>1971</v>
      </c>
      <c r="M235" s="4" t="s">
        <v>27</v>
      </c>
      <c r="N235" s="4">
        <v>45</v>
      </c>
      <c r="O235" s="4">
        <v>45</v>
      </c>
      <c r="P235" s="4" t="s">
        <v>2234</v>
      </c>
      <c r="Q235" s="4">
        <v>45</v>
      </c>
      <c r="R235" s="4" t="s">
        <v>2235</v>
      </c>
    </row>
    <row r="236" spans="1:18" hidden="1" x14ac:dyDescent="0.35">
      <c r="A236" s="4" t="s">
        <v>2227</v>
      </c>
      <c r="B236" s="4" t="s">
        <v>4081</v>
      </c>
      <c r="C236" s="4" t="s">
        <v>2228</v>
      </c>
      <c r="D236" s="4" t="s">
        <v>2684</v>
      </c>
      <c r="E236" s="4" t="s">
        <v>2685</v>
      </c>
      <c r="F236" s="4" t="s">
        <v>2255</v>
      </c>
      <c r="G236" s="4" t="s">
        <v>2256</v>
      </c>
      <c r="H236" s="4" t="s">
        <v>2249</v>
      </c>
      <c r="I236" s="5">
        <v>76596</v>
      </c>
      <c r="J236" s="4" t="s">
        <v>2643</v>
      </c>
      <c r="K236" s="4" t="s">
        <v>2232</v>
      </c>
      <c r="L236" s="4">
        <v>2026</v>
      </c>
      <c r="M236" s="4" t="s">
        <v>2459</v>
      </c>
      <c r="N236" s="4">
        <v>68</v>
      </c>
      <c r="O236" s="4">
        <v>68</v>
      </c>
      <c r="P236" s="4" t="s">
        <v>2255</v>
      </c>
      <c r="Q236" s="4">
        <v>68</v>
      </c>
      <c r="R236" s="4" t="s">
        <v>2255</v>
      </c>
    </row>
    <row r="237" spans="1:18" hidden="1" x14ac:dyDescent="0.35">
      <c r="A237" s="4" t="s">
        <v>2686</v>
      </c>
      <c r="B237" s="4" t="s">
        <v>4081</v>
      </c>
      <c r="C237" s="4" t="s">
        <v>2687</v>
      </c>
      <c r="D237" s="4" t="s">
        <v>2688</v>
      </c>
      <c r="E237" s="4" t="s">
        <v>2227</v>
      </c>
      <c r="F237" s="4" t="s">
        <v>33</v>
      </c>
      <c r="G237" s="4" t="s">
        <v>137</v>
      </c>
      <c r="H237" s="4" t="s">
        <v>2231</v>
      </c>
      <c r="I237" s="5">
        <v>69123</v>
      </c>
      <c r="J237" s="4" t="s">
        <v>2195</v>
      </c>
      <c r="K237" s="4" t="s">
        <v>2232</v>
      </c>
      <c r="L237" s="4">
        <v>2022</v>
      </c>
      <c r="M237" s="4" t="s">
        <v>27</v>
      </c>
      <c r="N237" s="4">
        <v>50</v>
      </c>
      <c r="O237" s="4">
        <v>50</v>
      </c>
      <c r="P237" s="4" t="s">
        <v>2234</v>
      </c>
      <c r="Q237" s="4">
        <v>50</v>
      </c>
      <c r="R237" s="4" t="s">
        <v>2235</v>
      </c>
    </row>
    <row r="238" spans="1:18" hidden="1" x14ac:dyDescent="0.35">
      <c r="A238" s="4" t="s">
        <v>2689</v>
      </c>
      <c r="B238" s="4" t="s">
        <v>4081</v>
      </c>
      <c r="C238" s="4" t="s">
        <v>2228</v>
      </c>
      <c r="D238" s="4" t="s">
        <v>2690</v>
      </c>
      <c r="E238" s="4" t="s">
        <v>2691</v>
      </c>
      <c r="F238" s="4" t="s">
        <v>2255</v>
      </c>
      <c r="G238" s="4" t="s">
        <v>2535</v>
      </c>
      <c r="H238" s="4" t="s">
        <v>2249</v>
      </c>
      <c r="I238" s="5" t="s">
        <v>2629</v>
      </c>
      <c r="J238" s="4" t="s">
        <v>2630</v>
      </c>
      <c r="K238" s="4" t="s">
        <v>2227</v>
      </c>
      <c r="L238" s="4">
        <v>1943</v>
      </c>
      <c r="M238" s="4" t="s">
        <v>27</v>
      </c>
      <c r="N238" s="4">
        <v>49.5</v>
      </c>
      <c r="O238" s="4">
        <v>49.5</v>
      </c>
      <c r="P238" s="4" t="s">
        <v>2255</v>
      </c>
      <c r="Q238" s="4">
        <v>49.5</v>
      </c>
      <c r="R238" s="4" t="s">
        <v>2255</v>
      </c>
    </row>
    <row r="239" spans="1:18" hidden="1" x14ac:dyDescent="0.35">
      <c r="A239" s="4" t="s">
        <v>2692</v>
      </c>
      <c r="B239" s="4" t="s">
        <v>4081</v>
      </c>
      <c r="C239" s="4" t="s">
        <v>2228</v>
      </c>
      <c r="D239" s="4" t="s">
        <v>2690</v>
      </c>
      <c r="E239" s="4" t="s">
        <v>2693</v>
      </c>
      <c r="F239" s="4" t="s">
        <v>2255</v>
      </c>
      <c r="G239" s="4" t="s">
        <v>2535</v>
      </c>
      <c r="H239" s="4" t="s">
        <v>2249</v>
      </c>
      <c r="I239" s="5" t="s">
        <v>2629</v>
      </c>
      <c r="J239" s="4" t="s">
        <v>2630</v>
      </c>
      <c r="K239" s="4" t="s">
        <v>2227</v>
      </c>
      <c r="L239" s="4">
        <v>1943</v>
      </c>
      <c r="M239" s="4" t="s">
        <v>27</v>
      </c>
      <c r="N239" s="4">
        <v>49.5</v>
      </c>
      <c r="O239" s="4">
        <v>49.5</v>
      </c>
      <c r="P239" s="4" t="s">
        <v>2255</v>
      </c>
      <c r="Q239" s="4">
        <v>49.5</v>
      </c>
      <c r="R239" s="4" t="s">
        <v>2255</v>
      </c>
    </row>
    <row r="240" spans="1:18" hidden="1" x14ac:dyDescent="0.35">
      <c r="A240" s="4" t="s">
        <v>2694</v>
      </c>
      <c r="B240" s="4" t="s">
        <v>4081</v>
      </c>
      <c r="C240" s="4" t="s">
        <v>2228</v>
      </c>
      <c r="D240" s="4" t="s">
        <v>2690</v>
      </c>
      <c r="E240" s="4" t="s">
        <v>2695</v>
      </c>
      <c r="F240" s="4" t="s">
        <v>2255</v>
      </c>
      <c r="G240" s="4" t="s">
        <v>2535</v>
      </c>
      <c r="H240" s="4" t="s">
        <v>2249</v>
      </c>
      <c r="I240" s="5" t="s">
        <v>2629</v>
      </c>
      <c r="J240" s="4" t="s">
        <v>2630</v>
      </c>
      <c r="K240" s="4" t="s">
        <v>2227</v>
      </c>
      <c r="L240" s="4">
        <v>1943</v>
      </c>
      <c r="M240" s="4" t="s">
        <v>27</v>
      </c>
      <c r="N240" s="4">
        <v>49.5</v>
      </c>
      <c r="O240" s="4">
        <v>49.5</v>
      </c>
      <c r="P240" s="4" t="s">
        <v>2255</v>
      </c>
      <c r="Q240" s="4">
        <v>49.5</v>
      </c>
      <c r="R240" s="4" t="s">
        <v>2255</v>
      </c>
    </row>
    <row r="241" spans="1:18" hidden="1" x14ac:dyDescent="0.35">
      <c r="A241" s="4" t="s">
        <v>2696</v>
      </c>
      <c r="B241" s="4" t="s">
        <v>4081</v>
      </c>
      <c r="C241" s="4" t="s">
        <v>2228</v>
      </c>
      <c r="D241" s="4" t="s">
        <v>2690</v>
      </c>
      <c r="E241" s="4" t="s">
        <v>2697</v>
      </c>
      <c r="F241" s="4" t="s">
        <v>2255</v>
      </c>
      <c r="G241" s="4" t="s">
        <v>2256</v>
      </c>
      <c r="H241" s="4" t="s">
        <v>2249</v>
      </c>
      <c r="I241" s="5" t="s">
        <v>2629</v>
      </c>
      <c r="J241" s="4" t="s">
        <v>2630</v>
      </c>
      <c r="K241" s="4" t="s">
        <v>2227</v>
      </c>
      <c r="L241" s="4">
        <v>1943</v>
      </c>
      <c r="M241" s="4" t="s">
        <v>27</v>
      </c>
      <c r="N241" s="4">
        <v>49.5</v>
      </c>
      <c r="O241" s="4">
        <v>49.5</v>
      </c>
      <c r="P241" s="4" t="s">
        <v>2255</v>
      </c>
      <c r="Q241" s="4">
        <v>49.5</v>
      </c>
      <c r="R241" s="4" t="s">
        <v>2255</v>
      </c>
    </row>
    <row r="242" spans="1:18" hidden="1" x14ac:dyDescent="0.35">
      <c r="A242" s="4" t="s">
        <v>2698</v>
      </c>
      <c r="B242" s="4" t="s">
        <v>4081</v>
      </c>
      <c r="C242" s="4" t="s">
        <v>2228</v>
      </c>
      <c r="D242" s="4" t="s">
        <v>2699</v>
      </c>
      <c r="E242" s="4" t="s">
        <v>2700</v>
      </c>
      <c r="F242" s="4" t="s">
        <v>2255</v>
      </c>
      <c r="G242" s="4" t="s">
        <v>2256</v>
      </c>
      <c r="H242" s="4" t="s">
        <v>2249</v>
      </c>
      <c r="I242" s="5" t="s">
        <v>2701</v>
      </c>
      <c r="J242" s="4" t="s">
        <v>2702</v>
      </c>
      <c r="K242" s="4" t="s">
        <v>2227</v>
      </c>
      <c r="L242" s="4">
        <v>1957</v>
      </c>
      <c r="M242" s="4" t="s">
        <v>27</v>
      </c>
      <c r="N242" s="4">
        <v>56</v>
      </c>
      <c r="O242" s="4">
        <v>56</v>
      </c>
      <c r="P242" s="4" t="s">
        <v>2255</v>
      </c>
      <c r="Q242" s="4">
        <v>56</v>
      </c>
      <c r="R242" s="4" t="s">
        <v>2255</v>
      </c>
    </row>
    <row r="243" spans="1:18" hidden="1" x14ac:dyDescent="0.35">
      <c r="A243" s="4" t="s">
        <v>2703</v>
      </c>
      <c r="B243" s="4" t="s">
        <v>4081</v>
      </c>
      <c r="C243" s="4" t="s">
        <v>2228</v>
      </c>
      <c r="D243" s="4" t="s">
        <v>2699</v>
      </c>
      <c r="E243" s="4" t="s">
        <v>2704</v>
      </c>
      <c r="F243" s="4" t="s">
        <v>2255</v>
      </c>
      <c r="G243" s="4" t="s">
        <v>2256</v>
      </c>
      <c r="H243" s="4" t="s">
        <v>2249</v>
      </c>
      <c r="I243" s="5" t="s">
        <v>2701</v>
      </c>
      <c r="J243" s="4" t="s">
        <v>2702</v>
      </c>
      <c r="K243" s="4" t="s">
        <v>2227</v>
      </c>
      <c r="L243" s="4">
        <v>1957</v>
      </c>
      <c r="M243" s="4" t="s">
        <v>27</v>
      </c>
      <c r="N243" s="4">
        <v>56</v>
      </c>
      <c r="O243" s="4">
        <v>56</v>
      </c>
      <c r="P243" s="4" t="s">
        <v>2255</v>
      </c>
      <c r="Q243" s="4">
        <v>56</v>
      </c>
      <c r="R243" s="4" t="s">
        <v>2255</v>
      </c>
    </row>
    <row r="244" spans="1:18" hidden="1" x14ac:dyDescent="0.35">
      <c r="A244" s="4" t="s">
        <v>2705</v>
      </c>
      <c r="B244" s="4" t="s">
        <v>4081</v>
      </c>
      <c r="C244" s="4" t="s">
        <v>2228</v>
      </c>
      <c r="D244" s="4" t="s">
        <v>2699</v>
      </c>
      <c r="E244" s="4" t="s">
        <v>2706</v>
      </c>
      <c r="F244" s="4" t="s">
        <v>2255</v>
      </c>
      <c r="G244" s="4" t="s">
        <v>2256</v>
      </c>
      <c r="H244" s="4" t="s">
        <v>2249</v>
      </c>
      <c r="I244" s="5" t="s">
        <v>2701</v>
      </c>
      <c r="J244" s="4" t="s">
        <v>2702</v>
      </c>
      <c r="K244" s="4" t="s">
        <v>2227</v>
      </c>
      <c r="L244" s="4">
        <v>1957</v>
      </c>
      <c r="M244" s="4" t="s">
        <v>27</v>
      </c>
      <c r="N244" s="4">
        <v>56</v>
      </c>
      <c r="O244" s="4">
        <v>56</v>
      </c>
      <c r="P244" s="4" t="s">
        <v>2255</v>
      </c>
      <c r="Q244" s="4">
        <v>56</v>
      </c>
      <c r="R244" s="4" t="s">
        <v>2255</v>
      </c>
    </row>
    <row r="245" spans="1:18" hidden="1" x14ac:dyDescent="0.35">
      <c r="A245" s="4" t="s">
        <v>2707</v>
      </c>
      <c r="B245" s="4" t="s">
        <v>4081</v>
      </c>
      <c r="C245" s="4" t="s">
        <v>2228</v>
      </c>
      <c r="D245" s="4" t="s">
        <v>2699</v>
      </c>
      <c r="E245" s="4" t="s">
        <v>2708</v>
      </c>
      <c r="F245" s="4" t="s">
        <v>2255</v>
      </c>
      <c r="G245" s="4" t="s">
        <v>2256</v>
      </c>
      <c r="H245" s="4" t="s">
        <v>2249</v>
      </c>
      <c r="I245" s="5" t="s">
        <v>2701</v>
      </c>
      <c r="J245" s="4" t="s">
        <v>2702</v>
      </c>
      <c r="K245" s="4" t="s">
        <v>2227</v>
      </c>
      <c r="L245" s="4">
        <v>1957</v>
      </c>
      <c r="M245" s="4" t="s">
        <v>27</v>
      </c>
      <c r="N245" s="4">
        <v>56</v>
      </c>
      <c r="O245" s="4">
        <v>56</v>
      </c>
      <c r="P245" s="4" t="s">
        <v>2255</v>
      </c>
      <c r="Q245" s="4">
        <v>56</v>
      </c>
      <c r="R245" s="4" t="s">
        <v>2255</v>
      </c>
    </row>
    <row r="246" spans="1:18" hidden="1" x14ac:dyDescent="0.35">
      <c r="A246" s="4" t="s">
        <v>2709</v>
      </c>
      <c r="B246" s="4" t="s">
        <v>4081</v>
      </c>
      <c r="C246" s="4" t="s">
        <v>2228</v>
      </c>
      <c r="D246" s="4" t="s">
        <v>2699</v>
      </c>
      <c r="E246" s="4" t="s">
        <v>2710</v>
      </c>
      <c r="F246" s="4" t="s">
        <v>2255</v>
      </c>
      <c r="G246" s="4" t="s">
        <v>2256</v>
      </c>
      <c r="H246" s="4" t="s">
        <v>2249</v>
      </c>
      <c r="I246" s="5" t="s">
        <v>2701</v>
      </c>
      <c r="J246" s="4" t="s">
        <v>2702</v>
      </c>
      <c r="K246" s="4" t="s">
        <v>2227</v>
      </c>
      <c r="L246" s="4">
        <v>1957</v>
      </c>
      <c r="M246" s="4" t="s">
        <v>27</v>
      </c>
      <c r="N246" s="4">
        <v>56</v>
      </c>
      <c r="O246" s="4">
        <v>56</v>
      </c>
      <c r="P246" s="4" t="s">
        <v>2255</v>
      </c>
      <c r="Q246" s="4">
        <v>56</v>
      </c>
      <c r="R246" s="4" t="s">
        <v>2255</v>
      </c>
    </row>
    <row r="247" spans="1:18" hidden="1" x14ac:dyDescent="0.35">
      <c r="A247" s="4" t="s">
        <v>2711</v>
      </c>
      <c r="B247" s="4" t="s">
        <v>4081</v>
      </c>
      <c r="C247" s="4" t="s">
        <v>2228</v>
      </c>
      <c r="D247" s="4" t="s">
        <v>2712</v>
      </c>
      <c r="E247" s="4" t="s">
        <v>2713</v>
      </c>
      <c r="F247" s="4" t="s">
        <v>2255</v>
      </c>
      <c r="G247" s="4" t="s">
        <v>2256</v>
      </c>
      <c r="H247" s="4" t="s">
        <v>2249</v>
      </c>
      <c r="I247" s="5">
        <v>72555</v>
      </c>
      <c r="J247" s="4" t="s">
        <v>2714</v>
      </c>
      <c r="K247" s="4" t="s">
        <v>2232</v>
      </c>
      <c r="L247" s="4">
        <v>1964</v>
      </c>
      <c r="M247" s="4" t="s">
        <v>27</v>
      </c>
      <c r="N247" s="4">
        <v>45</v>
      </c>
      <c r="O247" s="4">
        <v>45</v>
      </c>
      <c r="P247" s="4" t="s">
        <v>2255</v>
      </c>
      <c r="Q247" s="4">
        <v>45</v>
      </c>
      <c r="R247" s="4" t="s">
        <v>2255</v>
      </c>
    </row>
    <row r="248" spans="1:18" hidden="1" x14ac:dyDescent="0.35">
      <c r="A248" s="4" t="s">
        <v>2715</v>
      </c>
      <c r="B248" s="4" t="s">
        <v>4081</v>
      </c>
      <c r="C248" s="4" t="s">
        <v>2228</v>
      </c>
      <c r="D248" s="4" t="s">
        <v>2712</v>
      </c>
      <c r="E248" s="4" t="s">
        <v>2716</v>
      </c>
      <c r="F248" s="4" t="s">
        <v>2255</v>
      </c>
      <c r="G248" s="4" t="s">
        <v>2256</v>
      </c>
      <c r="H248" s="4" t="s">
        <v>2249</v>
      </c>
      <c r="I248" s="5">
        <v>72555</v>
      </c>
      <c r="J248" s="4" t="s">
        <v>2714</v>
      </c>
      <c r="K248" s="4" t="s">
        <v>2232</v>
      </c>
      <c r="L248" s="4">
        <v>1964</v>
      </c>
      <c r="M248" s="4" t="s">
        <v>27</v>
      </c>
      <c r="N248" s="4">
        <v>45</v>
      </c>
      <c r="O248" s="4">
        <v>45</v>
      </c>
      <c r="P248" s="4" t="s">
        <v>2255</v>
      </c>
      <c r="Q248" s="4">
        <v>45</v>
      </c>
      <c r="R248" s="4" t="s">
        <v>2255</v>
      </c>
    </row>
    <row r="249" spans="1:18" hidden="1" x14ac:dyDescent="0.35">
      <c r="A249" s="4" t="s">
        <v>2017</v>
      </c>
      <c r="B249" s="4" t="s">
        <v>4081</v>
      </c>
      <c r="C249" s="4" t="s">
        <v>2013</v>
      </c>
      <c r="D249" s="4" t="s">
        <v>2717</v>
      </c>
      <c r="E249" s="4" t="s">
        <v>36</v>
      </c>
      <c r="F249" s="4" t="s">
        <v>33</v>
      </c>
      <c r="G249" s="4" t="s">
        <v>46</v>
      </c>
      <c r="H249" s="4" t="s">
        <v>2231</v>
      </c>
      <c r="I249" s="5">
        <v>79108</v>
      </c>
      <c r="J249" s="4" t="s">
        <v>2015</v>
      </c>
      <c r="K249" s="4" t="s">
        <v>2232</v>
      </c>
      <c r="L249" s="4">
        <v>1998</v>
      </c>
      <c r="M249" s="4" t="s">
        <v>27</v>
      </c>
      <c r="N249" s="4">
        <v>38.5</v>
      </c>
      <c r="O249" s="4">
        <v>38.5</v>
      </c>
      <c r="P249" s="4" t="s">
        <v>2234</v>
      </c>
      <c r="Q249" s="4">
        <v>38.5</v>
      </c>
      <c r="R249" s="4" t="s">
        <v>2235</v>
      </c>
    </row>
    <row r="250" spans="1:18" hidden="1" x14ac:dyDescent="0.35">
      <c r="A250" s="4" t="s">
        <v>2012</v>
      </c>
      <c r="B250" s="4" t="s">
        <v>4081</v>
      </c>
      <c r="C250" s="4" t="s">
        <v>2013</v>
      </c>
      <c r="D250" s="4" t="s">
        <v>2717</v>
      </c>
      <c r="E250" s="4" t="s">
        <v>2014</v>
      </c>
      <c r="F250" s="4" t="s">
        <v>33</v>
      </c>
      <c r="G250" s="4" t="s">
        <v>46</v>
      </c>
      <c r="H250" s="4" t="s">
        <v>2231</v>
      </c>
      <c r="I250" s="5">
        <v>79108</v>
      </c>
      <c r="J250" s="4" t="s">
        <v>2015</v>
      </c>
      <c r="K250" s="4" t="s">
        <v>2232</v>
      </c>
      <c r="L250" s="4">
        <v>1998</v>
      </c>
      <c r="M250" s="4" t="s">
        <v>27</v>
      </c>
      <c r="N250" s="4">
        <v>18.34</v>
      </c>
      <c r="O250" s="4">
        <v>18.34</v>
      </c>
      <c r="P250" s="4" t="s">
        <v>2234</v>
      </c>
      <c r="Q250" s="4">
        <v>18.34</v>
      </c>
      <c r="R250" s="4" t="s">
        <v>2235</v>
      </c>
    </row>
    <row r="251" spans="1:18" hidden="1" x14ac:dyDescent="0.35">
      <c r="A251" s="4" t="s">
        <v>2718</v>
      </c>
      <c r="B251" s="4" t="s">
        <v>4081</v>
      </c>
      <c r="C251" s="4" t="s">
        <v>2635</v>
      </c>
      <c r="D251" s="4" t="s">
        <v>2719</v>
      </c>
      <c r="E251" s="4" t="s">
        <v>2720</v>
      </c>
      <c r="F251" s="4" t="s">
        <v>2255</v>
      </c>
      <c r="G251" s="4" t="s">
        <v>2256</v>
      </c>
      <c r="H251" s="4" t="s">
        <v>2249</v>
      </c>
      <c r="I251" s="5">
        <v>79761</v>
      </c>
      <c r="J251" s="4" t="s">
        <v>2721</v>
      </c>
      <c r="K251" s="4" t="s">
        <v>2232</v>
      </c>
      <c r="L251" s="4">
        <v>1951</v>
      </c>
      <c r="M251" s="4" t="s">
        <v>27</v>
      </c>
      <c r="N251" s="4">
        <v>44</v>
      </c>
      <c r="O251" s="4">
        <v>44</v>
      </c>
      <c r="P251" s="4" t="s">
        <v>2255</v>
      </c>
      <c r="Q251" s="4">
        <v>44</v>
      </c>
      <c r="R251" s="4" t="s">
        <v>2255</v>
      </c>
    </row>
    <row r="252" spans="1:18" hidden="1" x14ac:dyDescent="0.35">
      <c r="A252" s="4" t="s">
        <v>2722</v>
      </c>
      <c r="B252" s="4" t="s">
        <v>4081</v>
      </c>
      <c r="C252" s="4" t="s">
        <v>2228</v>
      </c>
      <c r="D252" s="4" t="s">
        <v>2723</v>
      </c>
      <c r="E252" s="4" t="s">
        <v>2724</v>
      </c>
      <c r="F252" s="4" t="s">
        <v>2255</v>
      </c>
      <c r="G252" s="4" t="s">
        <v>2535</v>
      </c>
      <c r="H252" s="4" t="s">
        <v>2249</v>
      </c>
      <c r="I252" s="5" t="s">
        <v>2647</v>
      </c>
      <c r="J252" s="4" t="s">
        <v>2648</v>
      </c>
      <c r="K252" s="4" t="s">
        <v>2227</v>
      </c>
      <c r="L252" s="4">
        <v>1930</v>
      </c>
      <c r="M252" s="4" t="s">
        <v>27</v>
      </c>
      <c r="N252" s="4">
        <v>38</v>
      </c>
      <c r="O252" s="4">
        <v>38</v>
      </c>
      <c r="P252" s="4" t="s">
        <v>2255</v>
      </c>
      <c r="Q252" s="4">
        <v>38</v>
      </c>
      <c r="R252" s="4" t="s">
        <v>2255</v>
      </c>
    </row>
    <row r="253" spans="1:18" hidden="1" x14ac:dyDescent="0.35">
      <c r="A253" s="4" t="s">
        <v>2725</v>
      </c>
      <c r="B253" s="4" t="s">
        <v>4081</v>
      </c>
      <c r="C253" s="4" t="s">
        <v>2635</v>
      </c>
      <c r="D253" s="4" t="s">
        <v>2719</v>
      </c>
      <c r="E253" s="4" t="s">
        <v>2726</v>
      </c>
      <c r="F253" s="4" t="s">
        <v>2255</v>
      </c>
      <c r="G253" s="4" t="s">
        <v>2256</v>
      </c>
      <c r="H253" s="4" t="s">
        <v>2249</v>
      </c>
      <c r="I253" s="5">
        <v>79761</v>
      </c>
      <c r="J253" s="4" t="s">
        <v>2721</v>
      </c>
      <c r="K253" s="4" t="s">
        <v>2232</v>
      </c>
      <c r="L253" s="4">
        <v>1951</v>
      </c>
      <c r="M253" s="4" t="s">
        <v>27</v>
      </c>
      <c r="N253" s="4">
        <v>44</v>
      </c>
      <c r="O253" s="4">
        <v>44</v>
      </c>
      <c r="P253" s="4" t="s">
        <v>2255</v>
      </c>
      <c r="Q253" s="4">
        <v>44</v>
      </c>
      <c r="R253" s="4" t="s">
        <v>2255</v>
      </c>
    </row>
    <row r="254" spans="1:18" hidden="1" x14ac:dyDescent="0.35">
      <c r="A254" s="4" t="s">
        <v>2028</v>
      </c>
      <c r="B254" s="4" t="s">
        <v>4081</v>
      </c>
      <c r="C254" s="4" t="s">
        <v>2029</v>
      </c>
      <c r="D254" s="4" t="s">
        <v>2727</v>
      </c>
      <c r="E254" s="4" t="s">
        <v>2030</v>
      </c>
      <c r="F254" s="4" t="s">
        <v>33</v>
      </c>
      <c r="G254" s="4" t="s">
        <v>46</v>
      </c>
      <c r="H254" s="4" t="s">
        <v>2231</v>
      </c>
      <c r="I254" s="5">
        <v>79639</v>
      </c>
      <c r="J254" s="4" t="s">
        <v>2031</v>
      </c>
      <c r="K254" s="4" t="s">
        <v>2232</v>
      </c>
      <c r="L254" s="4">
        <v>2017</v>
      </c>
      <c r="M254" s="4" t="s">
        <v>27</v>
      </c>
      <c r="N254" s="4">
        <v>22</v>
      </c>
      <c r="O254" s="4">
        <v>22</v>
      </c>
      <c r="P254" s="4" t="s">
        <v>2234</v>
      </c>
      <c r="Q254" s="4">
        <v>22</v>
      </c>
      <c r="R254" s="4" t="s">
        <v>2235</v>
      </c>
    </row>
    <row r="255" spans="1:18" hidden="1" x14ac:dyDescent="0.35">
      <c r="A255" s="4" t="s">
        <v>2728</v>
      </c>
      <c r="B255" s="4" t="s">
        <v>4081</v>
      </c>
      <c r="C255" s="4" t="s">
        <v>2029</v>
      </c>
      <c r="D255" s="4" t="s">
        <v>2727</v>
      </c>
      <c r="E255" s="4" t="s">
        <v>2729</v>
      </c>
      <c r="F255" s="4" t="s">
        <v>33</v>
      </c>
      <c r="G255" s="4" t="s">
        <v>46</v>
      </c>
      <c r="H255" s="4" t="s">
        <v>2231</v>
      </c>
      <c r="I255" s="5">
        <v>79639</v>
      </c>
      <c r="J255" s="4" t="s">
        <v>2031</v>
      </c>
      <c r="K255" s="4" t="s">
        <v>2232</v>
      </c>
      <c r="L255" s="4">
        <v>2018</v>
      </c>
      <c r="M255" s="4" t="s">
        <v>27</v>
      </c>
      <c r="N255" s="4">
        <v>8.4</v>
      </c>
      <c r="O255" s="4">
        <v>8.4</v>
      </c>
      <c r="P255" s="4" t="s">
        <v>2234</v>
      </c>
      <c r="Q255" s="4">
        <v>8.4</v>
      </c>
      <c r="R255" s="4" t="s">
        <v>2235</v>
      </c>
    </row>
    <row r="256" spans="1:18" hidden="1" x14ac:dyDescent="0.35">
      <c r="A256" s="4" t="s">
        <v>2730</v>
      </c>
      <c r="B256" s="4" t="s">
        <v>4081</v>
      </c>
      <c r="C256" s="4" t="s">
        <v>2029</v>
      </c>
      <c r="D256" s="4" t="s">
        <v>2727</v>
      </c>
      <c r="E256" s="4" t="s">
        <v>2731</v>
      </c>
      <c r="F256" s="4" t="s">
        <v>33</v>
      </c>
      <c r="G256" s="4" t="s">
        <v>46</v>
      </c>
      <c r="H256" s="4" t="s">
        <v>2231</v>
      </c>
      <c r="I256" s="5">
        <v>79639</v>
      </c>
      <c r="J256" s="4" t="s">
        <v>2031</v>
      </c>
      <c r="K256" s="4" t="s">
        <v>2232</v>
      </c>
      <c r="L256" s="4">
        <v>1979</v>
      </c>
      <c r="M256" s="4" t="s">
        <v>27</v>
      </c>
      <c r="N256" s="4">
        <v>8</v>
      </c>
      <c r="O256" s="4">
        <v>8</v>
      </c>
      <c r="P256" s="4" t="s">
        <v>2234</v>
      </c>
      <c r="Q256" s="4">
        <v>8</v>
      </c>
      <c r="R256" s="4" t="s">
        <v>2235</v>
      </c>
    </row>
    <row r="257" spans="1:18" hidden="1" x14ac:dyDescent="0.35">
      <c r="A257" s="4" t="s">
        <v>2123</v>
      </c>
      <c r="B257" s="4" t="s">
        <v>4081</v>
      </c>
      <c r="C257" s="4" t="s">
        <v>2732</v>
      </c>
      <c r="D257" s="4" t="s">
        <v>2733</v>
      </c>
      <c r="E257" s="4" t="s">
        <v>2734</v>
      </c>
      <c r="F257" s="4" t="s">
        <v>33</v>
      </c>
      <c r="G257" s="4" t="s">
        <v>36</v>
      </c>
      <c r="H257" s="4" t="s">
        <v>2231</v>
      </c>
      <c r="I257" s="5">
        <v>71059</v>
      </c>
      <c r="J257" s="4" t="s">
        <v>2117</v>
      </c>
      <c r="K257" s="4" t="s">
        <v>2232</v>
      </c>
      <c r="L257" s="4">
        <v>2013</v>
      </c>
      <c r="M257" s="4" t="s">
        <v>27</v>
      </c>
      <c r="N257" s="4">
        <v>30</v>
      </c>
      <c r="O257" s="4">
        <v>30</v>
      </c>
      <c r="P257" s="4" t="s">
        <v>2234</v>
      </c>
      <c r="Q257" s="4">
        <v>30</v>
      </c>
      <c r="R257" s="4" t="s">
        <v>2235</v>
      </c>
    </row>
    <row r="258" spans="1:18" hidden="1" x14ac:dyDescent="0.35">
      <c r="A258" s="4" t="s">
        <v>2735</v>
      </c>
      <c r="B258" s="4" t="s">
        <v>4081</v>
      </c>
      <c r="C258" s="4" t="s">
        <v>2228</v>
      </c>
      <c r="D258" s="4" t="s">
        <v>2723</v>
      </c>
      <c r="E258" s="4" t="s">
        <v>2736</v>
      </c>
      <c r="F258" s="4" t="s">
        <v>2255</v>
      </c>
      <c r="G258" s="4" t="s">
        <v>2535</v>
      </c>
      <c r="H258" s="4" t="s">
        <v>2249</v>
      </c>
      <c r="I258" s="5" t="s">
        <v>2647</v>
      </c>
      <c r="J258" s="4" t="s">
        <v>2648</v>
      </c>
      <c r="K258" s="4" t="s">
        <v>2227</v>
      </c>
      <c r="L258" s="4">
        <v>1930</v>
      </c>
      <c r="M258" s="4" t="s">
        <v>27</v>
      </c>
      <c r="N258" s="4">
        <v>30</v>
      </c>
      <c r="O258" s="4">
        <v>30</v>
      </c>
      <c r="P258" s="4" t="s">
        <v>2255</v>
      </c>
      <c r="Q258" s="4">
        <v>30</v>
      </c>
      <c r="R258" s="4" t="s">
        <v>2255</v>
      </c>
    </row>
    <row r="259" spans="1:18" hidden="1" x14ac:dyDescent="0.35">
      <c r="A259" s="4" t="s">
        <v>2737</v>
      </c>
      <c r="B259" s="4" t="s">
        <v>4081</v>
      </c>
      <c r="C259" s="4" t="s">
        <v>2228</v>
      </c>
      <c r="D259" s="4" t="s">
        <v>2723</v>
      </c>
      <c r="E259" s="4" t="s">
        <v>2738</v>
      </c>
      <c r="F259" s="4" t="s">
        <v>2255</v>
      </c>
      <c r="G259" s="4" t="s">
        <v>2535</v>
      </c>
      <c r="H259" s="4" t="s">
        <v>2249</v>
      </c>
      <c r="I259" s="5" t="s">
        <v>2647</v>
      </c>
      <c r="J259" s="4" t="s">
        <v>2648</v>
      </c>
      <c r="K259" s="4" t="s">
        <v>2227</v>
      </c>
      <c r="L259" s="4">
        <v>1930</v>
      </c>
      <c r="M259" s="4" t="s">
        <v>27</v>
      </c>
      <c r="N259" s="4">
        <v>30</v>
      </c>
      <c r="O259" s="4">
        <v>30</v>
      </c>
      <c r="P259" s="4" t="s">
        <v>2255</v>
      </c>
      <c r="Q259" s="4">
        <v>30</v>
      </c>
      <c r="R259" s="4" t="s">
        <v>2255</v>
      </c>
    </row>
    <row r="260" spans="1:18" hidden="1" x14ac:dyDescent="0.35">
      <c r="A260" s="4" t="s">
        <v>2739</v>
      </c>
      <c r="B260" s="4" t="s">
        <v>4081</v>
      </c>
      <c r="C260" s="4" t="s">
        <v>2228</v>
      </c>
      <c r="D260" s="4" t="s">
        <v>2723</v>
      </c>
      <c r="E260" s="4" t="s">
        <v>2740</v>
      </c>
      <c r="F260" s="4" t="s">
        <v>2255</v>
      </c>
      <c r="G260" s="4" t="s">
        <v>2535</v>
      </c>
      <c r="H260" s="4" t="s">
        <v>2249</v>
      </c>
      <c r="I260" s="5" t="s">
        <v>2647</v>
      </c>
      <c r="J260" s="4" t="s">
        <v>2648</v>
      </c>
      <c r="K260" s="4" t="s">
        <v>2227</v>
      </c>
      <c r="L260" s="4">
        <v>1930</v>
      </c>
      <c r="M260" s="4" t="s">
        <v>27</v>
      </c>
      <c r="N260" s="4">
        <v>30</v>
      </c>
      <c r="O260" s="4">
        <v>30</v>
      </c>
      <c r="P260" s="4" t="s">
        <v>2255</v>
      </c>
      <c r="Q260" s="4">
        <v>30</v>
      </c>
      <c r="R260" s="4" t="s">
        <v>2255</v>
      </c>
    </row>
    <row r="261" spans="1:18" hidden="1" x14ac:dyDescent="0.35">
      <c r="A261" s="4" t="s">
        <v>2741</v>
      </c>
      <c r="B261" s="4" t="s">
        <v>4081</v>
      </c>
      <c r="C261" s="4" t="s">
        <v>2228</v>
      </c>
      <c r="D261" s="4" t="s">
        <v>2723</v>
      </c>
      <c r="E261" s="4" t="s">
        <v>2742</v>
      </c>
      <c r="F261" s="4" t="s">
        <v>2255</v>
      </c>
      <c r="G261" s="4" t="s">
        <v>2535</v>
      </c>
      <c r="H261" s="4" t="s">
        <v>2249</v>
      </c>
      <c r="I261" s="5" t="s">
        <v>2647</v>
      </c>
      <c r="J261" s="4" t="s">
        <v>2648</v>
      </c>
      <c r="K261" s="4" t="s">
        <v>2227</v>
      </c>
      <c r="L261" s="4">
        <v>1930</v>
      </c>
      <c r="M261" s="4" t="s">
        <v>27</v>
      </c>
      <c r="N261" s="4">
        <v>30</v>
      </c>
      <c r="O261" s="4">
        <v>30</v>
      </c>
      <c r="P261" s="4" t="s">
        <v>2255</v>
      </c>
      <c r="Q261" s="4">
        <v>30</v>
      </c>
      <c r="R261" s="4" t="s">
        <v>2255</v>
      </c>
    </row>
    <row r="262" spans="1:18" hidden="1" x14ac:dyDescent="0.35">
      <c r="A262" s="4" t="s">
        <v>2197</v>
      </c>
      <c r="B262" s="4" t="s">
        <v>4081</v>
      </c>
      <c r="C262" s="4" t="s">
        <v>2743</v>
      </c>
      <c r="D262" s="4" t="s">
        <v>2744</v>
      </c>
      <c r="E262" s="4" t="s">
        <v>2199</v>
      </c>
      <c r="F262" s="4" t="s">
        <v>33</v>
      </c>
      <c r="G262" s="4" t="s">
        <v>409</v>
      </c>
      <c r="H262" s="4" t="s">
        <v>2231</v>
      </c>
      <c r="I262" s="5">
        <v>79106</v>
      </c>
      <c r="J262" s="4" t="s">
        <v>2015</v>
      </c>
      <c r="K262" s="4" t="s">
        <v>2232</v>
      </c>
      <c r="L262" s="4">
        <v>2012</v>
      </c>
      <c r="M262" s="4" t="s">
        <v>27</v>
      </c>
      <c r="N262" s="4">
        <v>12.8</v>
      </c>
      <c r="O262" s="4">
        <v>12.8</v>
      </c>
      <c r="P262" s="4" t="s">
        <v>2234</v>
      </c>
      <c r="Q262" s="4">
        <v>12.8</v>
      </c>
      <c r="R262" s="4" t="s">
        <v>2235</v>
      </c>
    </row>
    <row r="263" spans="1:18" hidden="1" x14ac:dyDescent="0.35">
      <c r="A263" s="4" t="s">
        <v>2745</v>
      </c>
      <c r="B263" s="4" t="s">
        <v>4081</v>
      </c>
      <c r="C263" s="4" t="s">
        <v>2743</v>
      </c>
      <c r="D263" s="4" t="s">
        <v>2744</v>
      </c>
      <c r="E263" s="4" t="s">
        <v>1043</v>
      </c>
      <c r="F263" s="4" t="s">
        <v>33</v>
      </c>
      <c r="G263" s="4" t="s">
        <v>409</v>
      </c>
      <c r="H263" s="4" t="s">
        <v>2231</v>
      </c>
      <c r="I263" s="5">
        <v>79106</v>
      </c>
      <c r="J263" s="4" t="s">
        <v>2015</v>
      </c>
      <c r="K263" s="4" t="s">
        <v>2232</v>
      </c>
      <c r="L263" s="4">
        <v>1970</v>
      </c>
      <c r="M263" s="4" t="s">
        <v>27</v>
      </c>
      <c r="N263" s="4">
        <v>8.1300000000000008</v>
      </c>
      <c r="O263" s="4">
        <v>8.1300000000000008</v>
      </c>
      <c r="P263" s="4" t="s">
        <v>2234</v>
      </c>
      <c r="Q263" s="4">
        <v>8.1300000000000008</v>
      </c>
      <c r="R263" s="4" t="s">
        <v>2235</v>
      </c>
    </row>
    <row r="264" spans="1:18" hidden="1" x14ac:dyDescent="0.35">
      <c r="A264" s="4" t="s">
        <v>2746</v>
      </c>
      <c r="B264" s="4" t="s">
        <v>4081</v>
      </c>
      <c r="C264" s="4" t="s">
        <v>2743</v>
      </c>
      <c r="D264" s="4" t="s">
        <v>2744</v>
      </c>
      <c r="E264" s="4" t="s">
        <v>2747</v>
      </c>
      <c r="F264" s="4" t="s">
        <v>33</v>
      </c>
      <c r="G264" s="4" t="s">
        <v>36</v>
      </c>
      <c r="H264" s="4" t="s">
        <v>2231</v>
      </c>
      <c r="I264" s="5">
        <v>79106</v>
      </c>
      <c r="J264" s="4" t="s">
        <v>2015</v>
      </c>
      <c r="K264" s="4" t="s">
        <v>2232</v>
      </c>
      <c r="L264" s="4">
        <v>2001</v>
      </c>
      <c r="M264" s="4" t="s">
        <v>27</v>
      </c>
      <c r="N264" s="4">
        <v>5.49</v>
      </c>
      <c r="O264" s="4">
        <v>5.49</v>
      </c>
      <c r="P264" s="4" t="s">
        <v>2234</v>
      </c>
      <c r="Q264" s="4">
        <v>5.49</v>
      </c>
      <c r="R264" s="4" t="s">
        <v>2235</v>
      </c>
    </row>
    <row r="265" spans="1:18" hidden="1" x14ac:dyDescent="0.35">
      <c r="A265" s="4" t="s">
        <v>2748</v>
      </c>
      <c r="B265" s="4" t="s">
        <v>4081</v>
      </c>
      <c r="C265" s="4" t="s">
        <v>2743</v>
      </c>
      <c r="D265" s="4" t="s">
        <v>2744</v>
      </c>
      <c r="E265" s="4" t="s">
        <v>2749</v>
      </c>
      <c r="F265" s="4" t="s">
        <v>33</v>
      </c>
      <c r="G265" s="4" t="s">
        <v>137</v>
      </c>
      <c r="H265" s="4" t="s">
        <v>2231</v>
      </c>
      <c r="I265" s="5">
        <v>79106</v>
      </c>
      <c r="J265" s="4" t="s">
        <v>2015</v>
      </c>
      <c r="K265" s="4" t="s">
        <v>2232</v>
      </c>
      <c r="L265" s="4">
        <v>2015</v>
      </c>
      <c r="M265" s="4" t="s">
        <v>27</v>
      </c>
      <c r="N265" s="4">
        <v>2</v>
      </c>
      <c r="O265" s="4">
        <v>2</v>
      </c>
      <c r="P265" s="4" t="s">
        <v>2234</v>
      </c>
      <c r="Q265" s="4">
        <v>2</v>
      </c>
      <c r="R265" s="4" t="s">
        <v>2235</v>
      </c>
    </row>
    <row r="266" spans="1:18" hidden="1" x14ac:dyDescent="0.35">
      <c r="A266" s="4" t="s">
        <v>2112</v>
      </c>
      <c r="B266" s="4" t="s">
        <v>4081</v>
      </c>
      <c r="C266" s="4" t="s">
        <v>2750</v>
      </c>
      <c r="D266" s="4" t="s">
        <v>2113</v>
      </c>
      <c r="E266" s="4" t="s">
        <v>2227</v>
      </c>
      <c r="F266" s="4" t="s">
        <v>33</v>
      </c>
      <c r="G266" s="4" t="s">
        <v>137</v>
      </c>
      <c r="H266" s="4" t="s">
        <v>2231</v>
      </c>
      <c r="I266" s="5">
        <v>89077</v>
      </c>
      <c r="J266" s="4" t="s">
        <v>2109</v>
      </c>
      <c r="K266" s="4" t="s">
        <v>2232</v>
      </c>
      <c r="L266" s="4">
        <v>2022</v>
      </c>
      <c r="M266" s="4" t="s">
        <v>27</v>
      </c>
      <c r="N266" s="4">
        <v>20.54</v>
      </c>
      <c r="O266" s="4">
        <v>20.54</v>
      </c>
      <c r="P266" s="4" t="s">
        <v>2234</v>
      </c>
      <c r="Q266" s="4">
        <v>20.54</v>
      </c>
      <c r="R266" s="4" t="s">
        <v>2235</v>
      </c>
    </row>
    <row r="267" spans="1:18" hidden="1" x14ac:dyDescent="0.35">
      <c r="A267" s="4" t="s">
        <v>2751</v>
      </c>
      <c r="B267" s="4" t="s">
        <v>4081</v>
      </c>
      <c r="C267" s="4" t="s">
        <v>2635</v>
      </c>
      <c r="D267" s="4" t="s">
        <v>2752</v>
      </c>
      <c r="E267" s="4" t="s">
        <v>2753</v>
      </c>
      <c r="F267" s="4" t="s">
        <v>2255</v>
      </c>
      <c r="G267" s="4" t="s">
        <v>2256</v>
      </c>
      <c r="H267" s="4" t="s">
        <v>2249</v>
      </c>
      <c r="I267" s="5">
        <v>79837</v>
      </c>
      <c r="J267" s="4" t="s">
        <v>2754</v>
      </c>
      <c r="K267" s="4" t="s">
        <v>2232</v>
      </c>
      <c r="L267" s="4">
        <v>1931</v>
      </c>
      <c r="M267" s="4" t="s">
        <v>27</v>
      </c>
      <c r="N267" s="4">
        <v>30</v>
      </c>
      <c r="O267" s="4">
        <v>30</v>
      </c>
      <c r="P267" s="4" t="s">
        <v>2255</v>
      </c>
      <c r="Q267" s="4">
        <v>30</v>
      </c>
      <c r="R267" s="4" t="s">
        <v>2255</v>
      </c>
    </row>
    <row r="268" spans="1:18" hidden="1" x14ac:dyDescent="0.35">
      <c r="A268" s="4" t="s">
        <v>2755</v>
      </c>
      <c r="B268" s="4" t="s">
        <v>4081</v>
      </c>
      <c r="C268" s="4" t="s">
        <v>2635</v>
      </c>
      <c r="D268" s="4" t="s">
        <v>2752</v>
      </c>
      <c r="E268" s="4" t="s">
        <v>2756</v>
      </c>
      <c r="F268" s="4" t="s">
        <v>2255</v>
      </c>
      <c r="G268" s="4" t="s">
        <v>2256</v>
      </c>
      <c r="H268" s="4" t="s">
        <v>2249</v>
      </c>
      <c r="I268" s="5">
        <v>79837</v>
      </c>
      <c r="J268" s="4" t="s">
        <v>2754</v>
      </c>
      <c r="K268" s="4" t="s">
        <v>2232</v>
      </c>
      <c r="L268" s="4">
        <v>1931</v>
      </c>
      <c r="M268" s="4" t="s">
        <v>27</v>
      </c>
      <c r="N268" s="4">
        <v>30</v>
      </c>
      <c r="O268" s="4">
        <v>30</v>
      </c>
      <c r="P268" s="4" t="s">
        <v>2255</v>
      </c>
      <c r="Q268" s="4">
        <v>30</v>
      </c>
      <c r="R268" s="4" t="s">
        <v>2255</v>
      </c>
    </row>
    <row r="269" spans="1:18" hidden="1" x14ac:dyDescent="0.35">
      <c r="A269" s="4" t="s">
        <v>2162</v>
      </c>
      <c r="B269" s="4" t="s">
        <v>4081</v>
      </c>
      <c r="C269" s="4" t="s">
        <v>2757</v>
      </c>
      <c r="D269" s="4" t="s">
        <v>2758</v>
      </c>
      <c r="E269" s="4" t="s">
        <v>2759</v>
      </c>
      <c r="F269" s="4" t="s">
        <v>173</v>
      </c>
      <c r="G269" s="4" t="s">
        <v>409</v>
      </c>
      <c r="H269" s="4" t="s">
        <v>2231</v>
      </c>
      <c r="I269" s="5">
        <v>68169</v>
      </c>
      <c r="J269" s="4" t="s">
        <v>2010</v>
      </c>
      <c r="K269" s="4" t="s">
        <v>2232</v>
      </c>
      <c r="L269" s="4">
        <v>2009</v>
      </c>
      <c r="M269" s="4" t="s">
        <v>27</v>
      </c>
      <c r="N269" s="4">
        <v>25.6</v>
      </c>
      <c r="O269" s="4">
        <v>25.6</v>
      </c>
      <c r="P269" s="4" t="s">
        <v>173</v>
      </c>
      <c r="Q269" s="4">
        <v>25.6</v>
      </c>
      <c r="R269" s="4" t="s">
        <v>173</v>
      </c>
    </row>
    <row r="270" spans="1:18" x14ac:dyDescent="0.35">
      <c r="A270" s="4" t="s">
        <v>1568</v>
      </c>
      <c r="B270" s="4" t="s">
        <v>4080</v>
      </c>
      <c r="C270" s="4" t="s">
        <v>2394</v>
      </c>
      <c r="D270" s="4" t="s">
        <v>2395</v>
      </c>
      <c r="E270" s="4" t="s">
        <v>2760</v>
      </c>
      <c r="F270" s="4" t="s">
        <v>33</v>
      </c>
      <c r="G270" s="4" t="s">
        <v>46</v>
      </c>
      <c r="H270" s="4" t="s">
        <v>2231</v>
      </c>
      <c r="I270" s="5">
        <v>36269</v>
      </c>
      <c r="J270" s="4" t="s">
        <v>1570</v>
      </c>
      <c r="K270" s="4" t="s">
        <v>865</v>
      </c>
      <c r="L270" s="4">
        <v>1962</v>
      </c>
      <c r="M270" s="4" t="s">
        <v>27</v>
      </c>
      <c r="N270" s="4">
        <v>21</v>
      </c>
      <c r="O270" s="4">
        <v>21</v>
      </c>
      <c r="P270" s="4" t="s">
        <v>2234</v>
      </c>
      <c r="Q270" s="4">
        <v>21</v>
      </c>
      <c r="R270" s="4" t="s">
        <v>2235</v>
      </c>
    </row>
    <row r="271" spans="1:18" hidden="1" x14ac:dyDescent="0.35">
      <c r="A271" s="4" t="s">
        <v>2042</v>
      </c>
      <c r="B271" s="4" t="s">
        <v>4081</v>
      </c>
      <c r="C271" s="4" t="s">
        <v>2228</v>
      </c>
      <c r="D271" s="4" t="s">
        <v>2761</v>
      </c>
      <c r="E271" s="4" t="s">
        <v>2762</v>
      </c>
      <c r="F271" s="4" t="s">
        <v>173</v>
      </c>
      <c r="G271" s="4" t="s">
        <v>409</v>
      </c>
      <c r="H271" s="4" t="s">
        <v>2231</v>
      </c>
      <c r="I271" s="5">
        <v>70376</v>
      </c>
      <c r="J271" s="4" t="s">
        <v>2044</v>
      </c>
      <c r="K271" s="4" t="s">
        <v>2232</v>
      </c>
      <c r="L271" s="4">
        <v>2009</v>
      </c>
      <c r="M271" s="4" t="s">
        <v>27</v>
      </c>
      <c r="N271" s="4">
        <v>19.5</v>
      </c>
      <c r="O271" s="4">
        <v>19.5</v>
      </c>
      <c r="P271" s="4" t="s">
        <v>173</v>
      </c>
      <c r="Q271" s="4">
        <v>19.5</v>
      </c>
      <c r="R271" s="4" t="s">
        <v>173</v>
      </c>
    </row>
    <row r="272" spans="1:18" hidden="1" x14ac:dyDescent="0.35">
      <c r="A272" s="4" t="s">
        <v>2763</v>
      </c>
      <c r="B272" s="4" t="s">
        <v>4081</v>
      </c>
      <c r="C272" s="4" t="s">
        <v>2764</v>
      </c>
      <c r="D272" s="4" t="s">
        <v>2765</v>
      </c>
      <c r="E272" s="4" t="s">
        <v>2766</v>
      </c>
      <c r="F272" s="4" t="s">
        <v>33</v>
      </c>
      <c r="G272" s="4" t="s">
        <v>137</v>
      </c>
      <c r="H272" s="4" t="s">
        <v>2231</v>
      </c>
      <c r="I272" s="5">
        <v>89522</v>
      </c>
      <c r="J272" s="4" t="s">
        <v>2767</v>
      </c>
      <c r="K272" s="4" t="s">
        <v>2232</v>
      </c>
      <c r="L272" s="4">
        <v>2014</v>
      </c>
      <c r="M272" s="4" t="s">
        <v>27</v>
      </c>
      <c r="N272" s="4">
        <v>4.2300000000000004</v>
      </c>
      <c r="O272" s="4">
        <v>4.2300000000000004</v>
      </c>
      <c r="P272" s="4" t="s">
        <v>2234</v>
      </c>
      <c r="Q272" s="4">
        <v>4.2300000000000004</v>
      </c>
      <c r="R272" s="4" t="s">
        <v>2235</v>
      </c>
    </row>
    <row r="273" spans="1:18" hidden="1" x14ac:dyDescent="0.35">
      <c r="A273" s="4" t="s">
        <v>2768</v>
      </c>
      <c r="B273" s="4" t="s">
        <v>4081</v>
      </c>
      <c r="C273" s="4" t="s">
        <v>2764</v>
      </c>
      <c r="D273" s="4" t="s">
        <v>2765</v>
      </c>
      <c r="E273" s="4" t="s">
        <v>2309</v>
      </c>
      <c r="F273" s="4" t="s">
        <v>33</v>
      </c>
      <c r="G273" s="4" t="s">
        <v>137</v>
      </c>
      <c r="H273" s="4" t="s">
        <v>2231</v>
      </c>
      <c r="I273" s="5">
        <v>89522</v>
      </c>
      <c r="J273" s="4" t="s">
        <v>2767</v>
      </c>
      <c r="K273" s="4" t="s">
        <v>2232</v>
      </c>
      <c r="L273" s="4">
        <v>2014</v>
      </c>
      <c r="M273" s="4" t="s">
        <v>27</v>
      </c>
      <c r="N273" s="4">
        <v>4.2300000000000004</v>
      </c>
      <c r="O273" s="4">
        <v>4.2300000000000004</v>
      </c>
      <c r="P273" s="4" t="s">
        <v>2234</v>
      </c>
      <c r="Q273" s="4">
        <v>4.2300000000000004</v>
      </c>
      <c r="R273" s="4" t="s">
        <v>2235</v>
      </c>
    </row>
    <row r="274" spans="1:18" hidden="1" x14ac:dyDescent="0.35">
      <c r="A274" s="4" t="s">
        <v>2769</v>
      </c>
      <c r="B274" s="4" t="s">
        <v>4081</v>
      </c>
      <c r="C274" s="4" t="s">
        <v>2764</v>
      </c>
      <c r="D274" s="4" t="s">
        <v>2765</v>
      </c>
      <c r="E274" s="4" t="s">
        <v>2311</v>
      </c>
      <c r="F274" s="4" t="s">
        <v>33</v>
      </c>
      <c r="G274" s="4" t="s">
        <v>137</v>
      </c>
      <c r="H274" s="4" t="s">
        <v>2231</v>
      </c>
      <c r="I274" s="5">
        <v>89522</v>
      </c>
      <c r="J274" s="4" t="s">
        <v>2767</v>
      </c>
      <c r="K274" s="4" t="s">
        <v>2232</v>
      </c>
      <c r="L274" s="4">
        <v>2014</v>
      </c>
      <c r="M274" s="4" t="s">
        <v>27</v>
      </c>
      <c r="N274" s="4">
        <v>4.2300000000000004</v>
      </c>
      <c r="O274" s="4">
        <v>4.2300000000000004</v>
      </c>
      <c r="P274" s="4" t="s">
        <v>2234</v>
      </c>
      <c r="Q274" s="4">
        <v>4.2300000000000004</v>
      </c>
      <c r="R274" s="4" t="s">
        <v>2235</v>
      </c>
    </row>
    <row r="275" spans="1:18" hidden="1" x14ac:dyDescent="0.35">
      <c r="A275" s="4" t="s">
        <v>2770</v>
      </c>
      <c r="B275" s="4" t="s">
        <v>4081</v>
      </c>
      <c r="C275" s="4" t="s">
        <v>2764</v>
      </c>
      <c r="D275" s="4" t="s">
        <v>2765</v>
      </c>
      <c r="E275" s="4" t="s">
        <v>1753</v>
      </c>
      <c r="F275" s="4" t="s">
        <v>33</v>
      </c>
      <c r="G275" s="4" t="s">
        <v>137</v>
      </c>
      <c r="H275" s="4" t="s">
        <v>2231</v>
      </c>
      <c r="I275" s="5">
        <v>89522</v>
      </c>
      <c r="J275" s="4" t="s">
        <v>2767</v>
      </c>
      <c r="K275" s="4" t="s">
        <v>2232</v>
      </c>
      <c r="L275" s="4">
        <v>1999</v>
      </c>
      <c r="M275" s="4" t="s">
        <v>27</v>
      </c>
      <c r="N275" s="4">
        <v>3.73</v>
      </c>
      <c r="O275" s="4">
        <v>3.73</v>
      </c>
      <c r="P275" s="4" t="s">
        <v>2234</v>
      </c>
      <c r="Q275" s="4">
        <v>3.73</v>
      </c>
      <c r="R275" s="4" t="s">
        <v>2235</v>
      </c>
    </row>
    <row r="276" spans="1:18" hidden="1" x14ac:dyDescent="0.35">
      <c r="A276" s="4" t="s">
        <v>2771</v>
      </c>
      <c r="B276" s="4" t="s">
        <v>4081</v>
      </c>
      <c r="C276" s="4" t="s">
        <v>2764</v>
      </c>
      <c r="D276" s="4" t="s">
        <v>2765</v>
      </c>
      <c r="E276" s="4" t="s">
        <v>2772</v>
      </c>
      <c r="F276" s="4" t="s">
        <v>33</v>
      </c>
      <c r="G276" s="4" t="s">
        <v>137</v>
      </c>
      <c r="H276" s="4" t="s">
        <v>2231</v>
      </c>
      <c r="I276" s="5">
        <v>89522</v>
      </c>
      <c r="J276" s="4" t="s">
        <v>2767</v>
      </c>
      <c r="K276" s="4" t="s">
        <v>2232</v>
      </c>
      <c r="L276" s="4">
        <v>2004</v>
      </c>
      <c r="M276" s="4" t="s">
        <v>27</v>
      </c>
      <c r="N276" s="4">
        <v>3.73</v>
      </c>
      <c r="O276" s="4">
        <v>3.73</v>
      </c>
      <c r="P276" s="4" t="s">
        <v>2234</v>
      </c>
      <c r="Q276" s="4">
        <v>3.73</v>
      </c>
      <c r="R276" s="4" t="s">
        <v>2235</v>
      </c>
    </row>
    <row r="277" spans="1:18" x14ac:dyDescent="0.35">
      <c r="A277" s="4" t="s">
        <v>2773</v>
      </c>
      <c r="B277" s="4" t="s">
        <v>4080</v>
      </c>
      <c r="C277" s="4" t="s">
        <v>2463</v>
      </c>
      <c r="D277" s="4" t="s">
        <v>2613</v>
      </c>
      <c r="E277" s="4" t="s">
        <v>2774</v>
      </c>
      <c r="F277" s="4" t="s">
        <v>33</v>
      </c>
      <c r="G277" s="4" t="s">
        <v>36</v>
      </c>
      <c r="H277" s="4" t="s">
        <v>2231</v>
      </c>
      <c r="I277" s="5">
        <v>24116</v>
      </c>
      <c r="J277" s="4" t="s">
        <v>2466</v>
      </c>
      <c r="K277" s="4" t="s">
        <v>276</v>
      </c>
      <c r="L277" s="4">
        <v>2005</v>
      </c>
      <c r="M277" s="4" t="s">
        <v>27</v>
      </c>
      <c r="N277" s="4">
        <v>5.4</v>
      </c>
      <c r="O277" s="4">
        <v>5.4</v>
      </c>
      <c r="P277" s="4" t="s">
        <v>2234</v>
      </c>
      <c r="Q277" s="4">
        <v>5.4</v>
      </c>
      <c r="R277" s="4" t="s">
        <v>2235</v>
      </c>
    </row>
    <row r="278" spans="1:18" x14ac:dyDescent="0.35">
      <c r="A278" s="4" t="s">
        <v>2467</v>
      </c>
      <c r="B278" s="4" t="s">
        <v>4080</v>
      </c>
      <c r="C278" s="4" t="s">
        <v>2463</v>
      </c>
      <c r="D278" s="4" t="s">
        <v>2613</v>
      </c>
      <c r="E278" s="4" t="s">
        <v>2775</v>
      </c>
      <c r="F278" s="4" t="s">
        <v>33</v>
      </c>
      <c r="G278" s="4" t="s">
        <v>36</v>
      </c>
      <c r="H278" s="4" t="s">
        <v>2231</v>
      </c>
      <c r="I278" s="5">
        <v>24116</v>
      </c>
      <c r="J278" s="4" t="s">
        <v>2466</v>
      </c>
      <c r="K278" s="4" t="s">
        <v>276</v>
      </c>
      <c r="L278" s="4">
        <v>2005</v>
      </c>
      <c r="M278" s="4" t="s">
        <v>27</v>
      </c>
      <c r="N278" s="4">
        <v>5.4</v>
      </c>
      <c r="O278" s="4">
        <v>5.4</v>
      </c>
      <c r="P278" s="4" t="s">
        <v>2234</v>
      </c>
      <c r="Q278" s="4">
        <v>5.4</v>
      </c>
      <c r="R278" s="4" t="s">
        <v>2235</v>
      </c>
    </row>
    <row r="279" spans="1:18" hidden="1" x14ac:dyDescent="0.35">
      <c r="A279" s="4" t="s">
        <v>2776</v>
      </c>
      <c r="B279" s="4" t="s">
        <v>4080</v>
      </c>
      <c r="C279" s="4" t="s">
        <v>2410</v>
      </c>
      <c r="D279" s="4" t="s">
        <v>2411</v>
      </c>
      <c r="E279" s="4" t="s">
        <v>2406</v>
      </c>
      <c r="F279" s="4" t="s">
        <v>33</v>
      </c>
      <c r="G279" s="4" t="s">
        <v>137</v>
      </c>
      <c r="H279" s="4" t="s">
        <v>2231</v>
      </c>
      <c r="I279" s="5" t="s">
        <v>2293</v>
      </c>
      <c r="J279" s="4" t="s">
        <v>2294</v>
      </c>
      <c r="K279" s="4" t="s">
        <v>132</v>
      </c>
      <c r="L279" s="4">
        <v>2005</v>
      </c>
      <c r="M279" s="4" t="s">
        <v>27</v>
      </c>
      <c r="N279" s="4">
        <v>3.8</v>
      </c>
      <c r="O279" s="4">
        <v>3.8</v>
      </c>
      <c r="P279" s="4" t="s">
        <v>2234</v>
      </c>
      <c r="Q279" s="4">
        <v>3.8</v>
      </c>
      <c r="R279" s="4" t="s">
        <v>2235</v>
      </c>
    </row>
    <row r="280" spans="1:18" hidden="1" x14ac:dyDescent="0.35">
      <c r="A280" s="4" t="s">
        <v>165</v>
      </c>
      <c r="B280" s="4" t="s">
        <v>4080</v>
      </c>
      <c r="C280" s="4" t="s">
        <v>166</v>
      </c>
      <c r="D280" s="4" t="s">
        <v>2777</v>
      </c>
      <c r="E280" s="4" t="s">
        <v>2227</v>
      </c>
      <c r="F280" s="4" t="s">
        <v>173</v>
      </c>
      <c r="G280" s="4" t="s">
        <v>409</v>
      </c>
      <c r="H280" s="4" t="s">
        <v>2231</v>
      </c>
      <c r="I280" s="5" t="s">
        <v>168</v>
      </c>
      <c r="J280" s="4" t="s">
        <v>169</v>
      </c>
      <c r="K280" s="4" t="s">
        <v>32</v>
      </c>
      <c r="L280" s="4">
        <v>2008</v>
      </c>
      <c r="M280" s="4" t="s">
        <v>27</v>
      </c>
      <c r="N280" s="4">
        <v>25</v>
      </c>
      <c r="O280" s="4">
        <v>25</v>
      </c>
      <c r="P280" s="4" t="s">
        <v>173</v>
      </c>
      <c r="Q280" s="4">
        <v>25</v>
      </c>
      <c r="R280" s="4" t="s">
        <v>173</v>
      </c>
    </row>
    <row r="281" spans="1:18" hidden="1" x14ac:dyDescent="0.35">
      <c r="A281" s="4" t="s">
        <v>48</v>
      </c>
      <c r="B281" s="4" t="s">
        <v>4080</v>
      </c>
      <c r="C281" s="4" t="s">
        <v>39</v>
      </c>
      <c r="D281" s="4" t="s">
        <v>2778</v>
      </c>
      <c r="E281" s="4" t="s">
        <v>49</v>
      </c>
      <c r="F281" s="4" t="s">
        <v>33</v>
      </c>
      <c r="G281" s="4" t="s">
        <v>46</v>
      </c>
      <c r="H281" s="4" t="s">
        <v>2231</v>
      </c>
      <c r="I281" s="5" t="s">
        <v>41</v>
      </c>
      <c r="J281" s="4" t="s">
        <v>42</v>
      </c>
      <c r="K281" s="4" t="s">
        <v>32</v>
      </c>
      <c r="L281" s="4">
        <v>1994</v>
      </c>
      <c r="M281" s="4" t="s">
        <v>27</v>
      </c>
      <c r="N281" s="4">
        <v>25.56</v>
      </c>
      <c r="O281" s="4">
        <v>25.56</v>
      </c>
      <c r="P281" s="4" t="s">
        <v>2234</v>
      </c>
      <c r="Q281" s="4">
        <v>25.56</v>
      </c>
      <c r="R281" s="4" t="s">
        <v>2235</v>
      </c>
    </row>
    <row r="282" spans="1:18" hidden="1" x14ac:dyDescent="0.35">
      <c r="A282" s="4" t="s">
        <v>51</v>
      </c>
      <c r="B282" s="4" t="s">
        <v>4080</v>
      </c>
      <c r="C282" s="4" t="s">
        <v>39</v>
      </c>
      <c r="D282" s="4" t="s">
        <v>2778</v>
      </c>
      <c r="E282" s="4" t="s">
        <v>52</v>
      </c>
      <c r="F282" s="4" t="s">
        <v>33</v>
      </c>
      <c r="G282" s="4" t="s">
        <v>46</v>
      </c>
      <c r="H282" s="4" t="s">
        <v>2231</v>
      </c>
      <c r="I282" s="5" t="s">
        <v>41</v>
      </c>
      <c r="J282" s="4" t="s">
        <v>42</v>
      </c>
      <c r="K282" s="4" t="s">
        <v>32</v>
      </c>
      <c r="L282" s="4">
        <v>1994</v>
      </c>
      <c r="M282" s="4" t="s">
        <v>27</v>
      </c>
      <c r="N282" s="4">
        <v>40.49</v>
      </c>
      <c r="O282" s="4">
        <v>40.49</v>
      </c>
      <c r="P282" s="4" t="s">
        <v>2234</v>
      </c>
      <c r="Q282" s="4">
        <v>40.49</v>
      </c>
      <c r="R282" s="4" t="s">
        <v>2235</v>
      </c>
    </row>
    <row r="283" spans="1:18" hidden="1" x14ac:dyDescent="0.35">
      <c r="A283" s="4" t="s">
        <v>53</v>
      </c>
      <c r="B283" s="4" t="s">
        <v>4080</v>
      </c>
      <c r="C283" s="4" t="s">
        <v>39</v>
      </c>
      <c r="D283" s="4" t="s">
        <v>2778</v>
      </c>
      <c r="E283" s="4" t="s">
        <v>54</v>
      </c>
      <c r="F283" s="4" t="s">
        <v>33</v>
      </c>
      <c r="G283" s="4" t="s">
        <v>46</v>
      </c>
      <c r="H283" s="4" t="s">
        <v>2231</v>
      </c>
      <c r="I283" s="5" t="s">
        <v>41</v>
      </c>
      <c r="J283" s="4" t="s">
        <v>42</v>
      </c>
      <c r="K283" s="4" t="s">
        <v>32</v>
      </c>
      <c r="L283" s="4">
        <v>2022</v>
      </c>
      <c r="M283" s="4" t="s">
        <v>27</v>
      </c>
      <c r="N283" s="4">
        <v>51.43</v>
      </c>
      <c r="O283" s="4">
        <v>51.43</v>
      </c>
      <c r="P283" s="4" t="s">
        <v>2234</v>
      </c>
      <c r="Q283" s="4">
        <v>51.43</v>
      </c>
      <c r="R283" s="4" t="s">
        <v>2235</v>
      </c>
    </row>
    <row r="284" spans="1:18" hidden="1" x14ac:dyDescent="0.35">
      <c r="A284" s="4" t="s">
        <v>38</v>
      </c>
      <c r="B284" s="4" t="s">
        <v>4080</v>
      </c>
      <c r="C284" s="4" t="s">
        <v>39</v>
      </c>
      <c r="D284" s="4" t="s">
        <v>2778</v>
      </c>
      <c r="E284" s="4" t="s">
        <v>40</v>
      </c>
      <c r="F284" s="4" t="s">
        <v>33</v>
      </c>
      <c r="G284" s="4" t="s">
        <v>46</v>
      </c>
      <c r="H284" s="4" t="s">
        <v>2231</v>
      </c>
      <c r="I284" s="5" t="s">
        <v>41</v>
      </c>
      <c r="J284" s="4" t="s">
        <v>42</v>
      </c>
      <c r="K284" s="4" t="s">
        <v>32</v>
      </c>
      <c r="L284" s="4">
        <v>1997</v>
      </c>
      <c r="M284" s="4" t="s">
        <v>27</v>
      </c>
      <c r="N284" s="4">
        <v>12</v>
      </c>
      <c r="O284" s="4">
        <v>12</v>
      </c>
      <c r="P284" s="4" t="s">
        <v>2234</v>
      </c>
      <c r="Q284" s="4">
        <v>12</v>
      </c>
      <c r="R284" s="4" t="s">
        <v>2235</v>
      </c>
    </row>
    <row r="285" spans="1:18" hidden="1" x14ac:dyDescent="0.35">
      <c r="A285" s="4" t="s">
        <v>559</v>
      </c>
      <c r="B285" s="4" t="s">
        <v>4080</v>
      </c>
      <c r="C285" s="4" t="s">
        <v>2779</v>
      </c>
      <c r="D285" s="4" t="s">
        <v>2780</v>
      </c>
      <c r="E285" s="4" t="s">
        <v>2227</v>
      </c>
      <c r="F285" s="4" t="s">
        <v>173</v>
      </c>
      <c r="G285" s="4" t="s">
        <v>409</v>
      </c>
      <c r="H285" s="4" t="s">
        <v>2231</v>
      </c>
      <c r="I285" s="5" t="s">
        <v>562</v>
      </c>
      <c r="J285" s="4" t="s">
        <v>563</v>
      </c>
      <c r="K285" s="4" t="s">
        <v>132</v>
      </c>
      <c r="L285" s="4">
        <v>2004</v>
      </c>
      <c r="M285" s="4" t="s">
        <v>27</v>
      </c>
      <c r="N285" s="4">
        <v>15.7</v>
      </c>
      <c r="O285" s="4">
        <v>15.7</v>
      </c>
      <c r="P285" s="4" t="s">
        <v>173</v>
      </c>
      <c r="Q285" s="4">
        <v>15.7</v>
      </c>
      <c r="R285" s="4" t="s">
        <v>173</v>
      </c>
    </row>
    <row r="286" spans="1:18" hidden="1" x14ac:dyDescent="0.35">
      <c r="A286" s="4" t="s">
        <v>469</v>
      </c>
      <c r="B286" s="4" t="s">
        <v>4080</v>
      </c>
      <c r="C286" s="4" t="s">
        <v>464</v>
      </c>
      <c r="D286" s="4" t="s">
        <v>2781</v>
      </c>
      <c r="E286" s="4" t="s">
        <v>2227</v>
      </c>
      <c r="F286" s="4" t="s">
        <v>33</v>
      </c>
      <c r="G286" s="4" t="s">
        <v>137</v>
      </c>
      <c r="H286" s="4" t="s">
        <v>2231</v>
      </c>
      <c r="I286" s="5" t="s">
        <v>466</v>
      </c>
      <c r="J286" s="4" t="s">
        <v>467</v>
      </c>
      <c r="K286" s="4" t="s">
        <v>32</v>
      </c>
      <c r="L286" s="4">
        <v>2022</v>
      </c>
      <c r="M286" s="4" t="s">
        <v>27</v>
      </c>
      <c r="N286" s="4">
        <v>53.48</v>
      </c>
      <c r="O286" s="4">
        <v>53.48</v>
      </c>
      <c r="P286" s="4" t="s">
        <v>2234</v>
      </c>
      <c r="Q286" s="4">
        <v>53.48</v>
      </c>
      <c r="R286" s="4" t="s">
        <v>2235</v>
      </c>
    </row>
    <row r="287" spans="1:18" hidden="1" x14ac:dyDescent="0.35">
      <c r="A287" s="4" t="s">
        <v>463</v>
      </c>
      <c r="B287" s="4" t="s">
        <v>4080</v>
      </c>
      <c r="C287" s="4" t="s">
        <v>464</v>
      </c>
      <c r="D287" s="4" t="s">
        <v>2781</v>
      </c>
      <c r="E287" s="4" t="s">
        <v>465</v>
      </c>
      <c r="F287" s="4" t="s">
        <v>33</v>
      </c>
      <c r="G287" s="4" t="s">
        <v>409</v>
      </c>
      <c r="H287" s="4" t="s">
        <v>2231</v>
      </c>
      <c r="I287" s="5" t="s">
        <v>466</v>
      </c>
      <c r="J287" s="4" t="s">
        <v>467</v>
      </c>
      <c r="K287" s="4" t="s">
        <v>32</v>
      </c>
      <c r="L287" s="4">
        <v>1999</v>
      </c>
      <c r="M287" s="4" t="s">
        <v>27</v>
      </c>
      <c r="N287" s="4">
        <v>45</v>
      </c>
      <c r="O287" s="4">
        <v>45</v>
      </c>
      <c r="P287" s="4" t="s">
        <v>2234</v>
      </c>
      <c r="Q287" s="4">
        <v>45</v>
      </c>
      <c r="R287" s="4" t="s">
        <v>2235</v>
      </c>
    </row>
    <row r="288" spans="1:18" hidden="1" x14ac:dyDescent="0.35">
      <c r="A288" s="4" t="s">
        <v>452</v>
      </c>
      <c r="B288" s="4" t="s">
        <v>4080</v>
      </c>
      <c r="C288" s="4" t="s">
        <v>2782</v>
      </c>
      <c r="D288" s="4" t="s">
        <v>2783</v>
      </c>
      <c r="E288" s="4" t="s">
        <v>2227</v>
      </c>
      <c r="F288" s="4" t="s">
        <v>173</v>
      </c>
      <c r="G288" s="4" t="s">
        <v>409</v>
      </c>
      <c r="H288" s="4" t="s">
        <v>2231</v>
      </c>
      <c r="I288" s="5" t="s">
        <v>455</v>
      </c>
      <c r="J288" s="4" t="s">
        <v>456</v>
      </c>
      <c r="K288" s="4" t="s">
        <v>32</v>
      </c>
      <c r="L288" s="4">
        <v>2012</v>
      </c>
      <c r="M288" s="4" t="s">
        <v>27</v>
      </c>
      <c r="N288" s="4">
        <v>17.5</v>
      </c>
      <c r="O288" s="4">
        <v>17.5</v>
      </c>
      <c r="P288" s="4" t="s">
        <v>173</v>
      </c>
      <c r="Q288" s="4">
        <v>17.5</v>
      </c>
      <c r="R288" s="4" t="s">
        <v>173</v>
      </c>
    </row>
    <row r="289" spans="1:18" hidden="1" x14ac:dyDescent="0.35">
      <c r="A289" s="4" t="s">
        <v>495</v>
      </c>
      <c r="B289" s="4" t="s">
        <v>4080</v>
      </c>
      <c r="C289" s="4" t="s">
        <v>487</v>
      </c>
      <c r="D289" s="4" t="s">
        <v>2784</v>
      </c>
      <c r="E289" s="4" t="s">
        <v>2785</v>
      </c>
      <c r="F289" s="4" t="s">
        <v>33</v>
      </c>
      <c r="G289" s="4" t="s">
        <v>46</v>
      </c>
      <c r="H289" s="4" t="s">
        <v>2231</v>
      </c>
      <c r="I289" s="5" t="s">
        <v>489</v>
      </c>
      <c r="J289" s="4" t="s">
        <v>490</v>
      </c>
      <c r="K289" s="4" t="s">
        <v>132</v>
      </c>
      <c r="L289" s="4">
        <v>1996</v>
      </c>
      <c r="M289" s="4" t="s">
        <v>27</v>
      </c>
      <c r="N289" s="4">
        <v>63.55</v>
      </c>
      <c r="O289" s="4">
        <v>63.55</v>
      </c>
      <c r="P289" s="4" t="s">
        <v>2234</v>
      </c>
      <c r="Q289" s="4">
        <v>63.55</v>
      </c>
      <c r="R289" s="4" t="s">
        <v>2235</v>
      </c>
    </row>
    <row r="290" spans="1:18" hidden="1" x14ac:dyDescent="0.35">
      <c r="A290" s="4" t="s">
        <v>498</v>
      </c>
      <c r="B290" s="4" t="s">
        <v>4080</v>
      </c>
      <c r="C290" s="4" t="s">
        <v>487</v>
      </c>
      <c r="D290" s="4" t="s">
        <v>2784</v>
      </c>
      <c r="E290" s="4" t="s">
        <v>2786</v>
      </c>
      <c r="F290" s="4" t="s">
        <v>33</v>
      </c>
      <c r="G290" s="4" t="s">
        <v>46</v>
      </c>
      <c r="H290" s="4" t="s">
        <v>2231</v>
      </c>
      <c r="I290" s="5" t="s">
        <v>489</v>
      </c>
      <c r="J290" s="4" t="s">
        <v>490</v>
      </c>
      <c r="K290" s="4" t="s">
        <v>132</v>
      </c>
      <c r="L290" s="4">
        <v>1996</v>
      </c>
      <c r="M290" s="4" t="s">
        <v>27</v>
      </c>
      <c r="N290" s="4">
        <v>64.62</v>
      </c>
      <c r="O290" s="4">
        <v>64.62</v>
      </c>
      <c r="P290" s="4" t="s">
        <v>2234</v>
      </c>
      <c r="Q290" s="4">
        <v>64.62</v>
      </c>
      <c r="R290" s="4" t="s">
        <v>2235</v>
      </c>
    </row>
    <row r="291" spans="1:18" hidden="1" x14ac:dyDescent="0.35">
      <c r="A291" s="4" t="s">
        <v>486</v>
      </c>
      <c r="B291" s="4" t="s">
        <v>4080</v>
      </c>
      <c r="C291" s="4" t="s">
        <v>487</v>
      </c>
      <c r="D291" s="4" t="s">
        <v>2784</v>
      </c>
      <c r="E291" s="4" t="s">
        <v>2787</v>
      </c>
      <c r="F291" s="4" t="s">
        <v>33</v>
      </c>
      <c r="G291" s="4" t="s">
        <v>46</v>
      </c>
      <c r="H291" s="4" t="s">
        <v>2231</v>
      </c>
      <c r="I291" s="5" t="s">
        <v>489</v>
      </c>
      <c r="J291" s="4" t="s">
        <v>490</v>
      </c>
      <c r="K291" s="4" t="s">
        <v>132</v>
      </c>
      <c r="L291" s="4">
        <v>2022</v>
      </c>
      <c r="M291" s="4" t="s">
        <v>27</v>
      </c>
      <c r="N291" s="4">
        <v>25.25</v>
      </c>
      <c r="O291" s="4">
        <v>25.25</v>
      </c>
      <c r="P291" s="4" t="s">
        <v>2234</v>
      </c>
      <c r="Q291" s="4">
        <v>25.25</v>
      </c>
      <c r="R291" s="4" t="s">
        <v>2235</v>
      </c>
    </row>
    <row r="292" spans="1:18" hidden="1" x14ac:dyDescent="0.35">
      <c r="A292" s="4" t="s">
        <v>493</v>
      </c>
      <c r="B292" s="4" t="s">
        <v>4080</v>
      </c>
      <c r="C292" s="4" t="s">
        <v>487</v>
      </c>
      <c r="D292" s="4" t="s">
        <v>2784</v>
      </c>
      <c r="E292" s="4" t="s">
        <v>2788</v>
      </c>
      <c r="F292" s="4" t="s">
        <v>33</v>
      </c>
      <c r="G292" s="4" t="s">
        <v>46</v>
      </c>
      <c r="H292" s="4" t="s">
        <v>2231</v>
      </c>
      <c r="I292" s="5" t="s">
        <v>489</v>
      </c>
      <c r="J292" s="4" t="s">
        <v>490</v>
      </c>
      <c r="K292" s="4" t="s">
        <v>132</v>
      </c>
      <c r="L292" s="4">
        <v>2022</v>
      </c>
      <c r="M292" s="4" t="s">
        <v>27</v>
      </c>
      <c r="N292" s="4">
        <v>25.61</v>
      </c>
      <c r="O292" s="4">
        <v>25.61</v>
      </c>
      <c r="P292" s="4" t="s">
        <v>2234</v>
      </c>
      <c r="Q292" s="4">
        <v>25.61</v>
      </c>
      <c r="R292" s="4" t="s">
        <v>2235</v>
      </c>
    </row>
    <row r="293" spans="1:18" hidden="1" x14ac:dyDescent="0.35">
      <c r="A293" s="4" t="s">
        <v>504</v>
      </c>
      <c r="B293" s="4" t="s">
        <v>4080</v>
      </c>
      <c r="C293" s="4" t="s">
        <v>487</v>
      </c>
      <c r="D293" s="4" t="s">
        <v>2789</v>
      </c>
      <c r="E293" s="4" t="s">
        <v>2790</v>
      </c>
      <c r="F293" s="4" t="s">
        <v>33</v>
      </c>
      <c r="G293" s="4" t="s">
        <v>36</v>
      </c>
      <c r="H293" s="4" t="s">
        <v>2231</v>
      </c>
      <c r="I293" s="5" t="s">
        <v>502</v>
      </c>
      <c r="J293" s="4" t="s">
        <v>490</v>
      </c>
      <c r="K293" s="4" t="s">
        <v>132</v>
      </c>
      <c r="L293" s="4">
        <v>2022</v>
      </c>
      <c r="M293" s="4" t="s">
        <v>27</v>
      </c>
      <c r="N293" s="4">
        <v>67.5</v>
      </c>
      <c r="O293" s="4">
        <v>67.5</v>
      </c>
      <c r="P293" s="4" t="s">
        <v>2234</v>
      </c>
      <c r="Q293" s="4">
        <v>67.5</v>
      </c>
      <c r="R293" s="4" t="s">
        <v>2235</v>
      </c>
    </row>
    <row r="294" spans="1:18" hidden="1" x14ac:dyDescent="0.35">
      <c r="A294" s="4" t="s">
        <v>500</v>
      </c>
      <c r="B294" s="4" t="s">
        <v>4080</v>
      </c>
      <c r="C294" s="4" t="s">
        <v>487</v>
      </c>
      <c r="D294" s="4" t="s">
        <v>2789</v>
      </c>
      <c r="E294" s="4" t="s">
        <v>2791</v>
      </c>
      <c r="F294" s="4" t="s">
        <v>33</v>
      </c>
      <c r="G294" s="4" t="s">
        <v>36</v>
      </c>
      <c r="H294" s="4" t="s">
        <v>2231</v>
      </c>
      <c r="I294" s="5" t="s">
        <v>502</v>
      </c>
      <c r="J294" s="4" t="s">
        <v>490</v>
      </c>
      <c r="K294" s="4" t="s">
        <v>132</v>
      </c>
      <c r="L294" s="4">
        <v>2022</v>
      </c>
      <c r="M294" s="4" t="s">
        <v>27</v>
      </c>
      <c r="N294" s="4">
        <v>67.5</v>
      </c>
      <c r="O294" s="4">
        <v>67.5</v>
      </c>
      <c r="P294" s="4" t="s">
        <v>2234</v>
      </c>
      <c r="Q294" s="4">
        <v>67.5</v>
      </c>
      <c r="R294" s="4" t="s">
        <v>2235</v>
      </c>
    </row>
    <row r="295" spans="1:18" hidden="1" x14ac:dyDescent="0.35">
      <c r="A295" s="4" t="s">
        <v>2792</v>
      </c>
      <c r="B295" s="4" t="s">
        <v>4080</v>
      </c>
      <c r="C295" s="4" t="s">
        <v>2581</v>
      </c>
      <c r="D295" s="4" t="s">
        <v>2793</v>
      </c>
      <c r="E295" s="4" t="s">
        <v>2567</v>
      </c>
      <c r="F295" s="4" t="s">
        <v>33</v>
      </c>
      <c r="G295" s="4" t="s">
        <v>137</v>
      </c>
      <c r="H295" s="4" t="s">
        <v>2231</v>
      </c>
      <c r="I295" s="5" t="s">
        <v>2794</v>
      </c>
      <c r="J295" s="4" t="s">
        <v>490</v>
      </c>
      <c r="K295" s="4" t="s">
        <v>132</v>
      </c>
      <c r="L295" s="4">
        <v>2009</v>
      </c>
      <c r="M295" s="4" t="s">
        <v>27</v>
      </c>
      <c r="N295" s="4">
        <v>3.1</v>
      </c>
      <c r="O295" s="4">
        <v>3.1</v>
      </c>
      <c r="P295" s="4" t="s">
        <v>2234</v>
      </c>
      <c r="Q295" s="4">
        <v>3.1</v>
      </c>
      <c r="R295" s="4" t="s">
        <v>2235</v>
      </c>
    </row>
    <row r="296" spans="1:18" hidden="1" x14ac:dyDescent="0.35">
      <c r="A296" s="4" t="s">
        <v>2795</v>
      </c>
      <c r="B296" s="4" t="s">
        <v>4080</v>
      </c>
      <c r="C296" s="4" t="s">
        <v>2581</v>
      </c>
      <c r="D296" s="4" t="s">
        <v>2793</v>
      </c>
      <c r="E296" s="4" t="s">
        <v>2565</v>
      </c>
      <c r="F296" s="4" t="s">
        <v>33</v>
      </c>
      <c r="G296" s="4" t="s">
        <v>137</v>
      </c>
      <c r="H296" s="4" t="s">
        <v>2231</v>
      </c>
      <c r="I296" s="5" t="s">
        <v>2794</v>
      </c>
      <c r="J296" s="4" t="s">
        <v>490</v>
      </c>
      <c r="K296" s="4" t="s">
        <v>132</v>
      </c>
      <c r="L296" s="4">
        <v>2016</v>
      </c>
      <c r="M296" s="4" t="s">
        <v>27</v>
      </c>
      <c r="N296" s="4">
        <v>3.4</v>
      </c>
      <c r="O296" s="4">
        <v>3.4</v>
      </c>
      <c r="P296" s="4" t="s">
        <v>2234</v>
      </c>
      <c r="Q296" s="4">
        <v>3.4</v>
      </c>
      <c r="R296" s="4" t="s">
        <v>2235</v>
      </c>
    </row>
    <row r="297" spans="1:18" hidden="1" x14ac:dyDescent="0.35">
      <c r="A297" s="4" t="s">
        <v>2796</v>
      </c>
      <c r="B297" s="4" t="s">
        <v>4080</v>
      </c>
      <c r="C297" s="4" t="s">
        <v>2797</v>
      </c>
      <c r="D297" s="4" t="s">
        <v>2798</v>
      </c>
      <c r="E297" s="4" t="s">
        <v>2799</v>
      </c>
      <c r="F297" s="4" t="s">
        <v>33</v>
      </c>
      <c r="G297" s="4" t="s">
        <v>46</v>
      </c>
      <c r="H297" s="4" t="s">
        <v>2231</v>
      </c>
      <c r="I297" s="5" t="s">
        <v>2800</v>
      </c>
      <c r="J297" s="4" t="s">
        <v>2801</v>
      </c>
      <c r="K297" s="4" t="s">
        <v>132</v>
      </c>
      <c r="L297" s="4">
        <v>2013</v>
      </c>
      <c r="M297" s="4" t="s">
        <v>27</v>
      </c>
      <c r="N297" s="4">
        <v>9.02</v>
      </c>
      <c r="O297" s="4">
        <v>9.02</v>
      </c>
      <c r="P297" s="4" t="s">
        <v>2234</v>
      </c>
      <c r="Q297" s="4">
        <v>9.02</v>
      </c>
      <c r="R297" s="4" t="s">
        <v>2235</v>
      </c>
    </row>
    <row r="298" spans="1:18" hidden="1" x14ac:dyDescent="0.35">
      <c r="A298" s="4" t="s">
        <v>2802</v>
      </c>
      <c r="B298" s="4" t="s">
        <v>4080</v>
      </c>
      <c r="C298" s="4" t="s">
        <v>2797</v>
      </c>
      <c r="D298" s="4" t="s">
        <v>2798</v>
      </c>
      <c r="E298" s="4" t="s">
        <v>2803</v>
      </c>
      <c r="F298" s="4" t="s">
        <v>33</v>
      </c>
      <c r="G298" s="4" t="s">
        <v>46</v>
      </c>
      <c r="H298" s="4" t="s">
        <v>2231</v>
      </c>
      <c r="I298" s="5" t="s">
        <v>2800</v>
      </c>
      <c r="J298" s="4" t="s">
        <v>2801</v>
      </c>
      <c r="K298" s="4" t="s">
        <v>132</v>
      </c>
      <c r="L298" s="4">
        <v>2013</v>
      </c>
      <c r="M298" s="4" t="s">
        <v>27</v>
      </c>
      <c r="N298" s="4">
        <v>1.43</v>
      </c>
      <c r="O298" s="4">
        <v>1.43</v>
      </c>
      <c r="P298" s="4" t="s">
        <v>2234</v>
      </c>
      <c r="Q298" s="4">
        <v>1.43</v>
      </c>
      <c r="R298" s="4" t="s">
        <v>2235</v>
      </c>
    </row>
    <row r="299" spans="1:18" hidden="1" x14ac:dyDescent="0.35">
      <c r="A299" s="4" t="s">
        <v>379</v>
      </c>
      <c r="B299" s="4" t="s">
        <v>4080</v>
      </c>
      <c r="C299" s="4" t="s">
        <v>2804</v>
      </c>
      <c r="D299" s="4" t="s">
        <v>2805</v>
      </c>
      <c r="E299" s="4" t="s">
        <v>1010</v>
      </c>
      <c r="F299" s="4" t="s">
        <v>33</v>
      </c>
      <c r="G299" s="4" t="s">
        <v>46</v>
      </c>
      <c r="H299" s="4" t="s">
        <v>2231</v>
      </c>
      <c r="I299" s="5" t="s">
        <v>376</v>
      </c>
      <c r="J299" s="4" t="s">
        <v>377</v>
      </c>
      <c r="K299" s="4" t="s">
        <v>132</v>
      </c>
      <c r="L299" s="4">
        <v>1993</v>
      </c>
      <c r="M299" s="4" t="s">
        <v>27</v>
      </c>
      <c r="N299" s="4">
        <v>29.47</v>
      </c>
      <c r="O299" s="4">
        <v>29.47</v>
      </c>
      <c r="P299" s="4" t="s">
        <v>2234</v>
      </c>
      <c r="Q299" s="4">
        <v>29.47</v>
      </c>
      <c r="R299" s="4" t="s">
        <v>2235</v>
      </c>
    </row>
    <row r="300" spans="1:18" hidden="1" x14ac:dyDescent="0.35">
      <c r="A300" s="4" t="s">
        <v>373</v>
      </c>
      <c r="B300" s="4" t="s">
        <v>4080</v>
      </c>
      <c r="C300" s="4" t="s">
        <v>2804</v>
      </c>
      <c r="D300" s="4" t="s">
        <v>2805</v>
      </c>
      <c r="E300" s="4" t="s">
        <v>159</v>
      </c>
      <c r="F300" s="4" t="s">
        <v>33</v>
      </c>
      <c r="G300" s="4" t="s">
        <v>46</v>
      </c>
      <c r="H300" s="4" t="s">
        <v>2231</v>
      </c>
      <c r="I300" s="5" t="s">
        <v>376</v>
      </c>
      <c r="J300" s="4" t="s">
        <v>377</v>
      </c>
      <c r="K300" s="4" t="s">
        <v>132</v>
      </c>
      <c r="L300" s="4">
        <v>1994</v>
      </c>
      <c r="M300" s="4" t="s">
        <v>27</v>
      </c>
      <c r="N300" s="4">
        <v>16.21</v>
      </c>
      <c r="O300" s="4">
        <v>16.21</v>
      </c>
      <c r="P300" s="4" t="s">
        <v>2234</v>
      </c>
      <c r="Q300" s="4">
        <v>16.21</v>
      </c>
      <c r="R300" s="4" t="s">
        <v>2235</v>
      </c>
    </row>
    <row r="301" spans="1:18" hidden="1" x14ac:dyDescent="0.35">
      <c r="A301" s="4" t="s">
        <v>281</v>
      </c>
      <c r="B301" s="4" t="s">
        <v>4080</v>
      </c>
      <c r="C301" s="4" t="s">
        <v>282</v>
      </c>
      <c r="D301" s="4" t="s">
        <v>2806</v>
      </c>
      <c r="E301" s="4" t="s">
        <v>159</v>
      </c>
      <c r="F301" s="4" t="s">
        <v>33</v>
      </c>
      <c r="G301" s="4" t="s">
        <v>46</v>
      </c>
      <c r="H301" s="4" t="s">
        <v>2231</v>
      </c>
      <c r="I301" s="5" t="s">
        <v>242</v>
      </c>
      <c r="J301" s="4" t="s">
        <v>243</v>
      </c>
      <c r="K301" s="4" t="s">
        <v>119</v>
      </c>
      <c r="L301" s="4">
        <v>2013</v>
      </c>
      <c r="M301" s="4" t="s">
        <v>27</v>
      </c>
      <c r="N301" s="4">
        <v>12.2</v>
      </c>
      <c r="O301" s="4">
        <v>12.2</v>
      </c>
      <c r="P301" s="4" t="s">
        <v>2234</v>
      </c>
      <c r="Q301" s="4">
        <v>12.2</v>
      </c>
      <c r="R301" s="4" t="s">
        <v>2235</v>
      </c>
    </row>
    <row r="302" spans="1:18" hidden="1" x14ac:dyDescent="0.35">
      <c r="A302" s="4" t="s">
        <v>245</v>
      </c>
      <c r="B302" s="4" t="s">
        <v>4080</v>
      </c>
      <c r="C302" s="4" t="s">
        <v>240</v>
      </c>
      <c r="D302" s="4" t="s">
        <v>2807</v>
      </c>
      <c r="E302" s="4" t="s">
        <v>2808</v>
      </c>
      <c r="F302" s="4" t="s">
        <v>33</v>
      </c>
      <c r="G302" s="4" t="s">
        <v>46</v>
      </c>
      <c r="H302" s="4" t="s">
        <v>2231</v>
      </c>
      <c r="I302" s="5" t="s">
        <v>242</v>
      </c>
      <c r="J302" s="4" t="s">
        <v>243</v>
      </c>
      <c r="K302" s="4" t="s">
        <v>119</v>
      </c>
      <c r="L302" s="4">
        <v>2020</v>
      </c>
      <c r="M302" s="4" t="s">
        <v>27</v>
      </c>
      <c r="N302" s="4">
        <v>57.14</v>
      </c>
      <c r="O302" s="4">
        <v>57.14</v>
      </c>
      <c r="P302" s="4" t="s">
        <v>2234</v>
      </c>
      <c r="Q302" s="4">
        <v>57.14</v>
      </c>
      <c r="R302" s="4" t="s">
        <v>2235</v>
      </c>
    </row>
    <row r="303" spans="1:18" hidden="1" x14ac:dyDescent="0.35">
      <c r="A303" s="4" t="s">
        <v>239</v>
      </c>
      <c r="B303" s="4" t="s">
        <v>4080</v>
      </c>
      <c r="C303" s="4" t="s">
        <v>240</v>
      </c>
      <c r="D303" s="4" t="s">
        <v>2807</v>
      </c>
      <c r="E303" s="4" t="s">
        <v>2809</v>
      </c>
      <c r="F303" s="4" t="s">
        <v>33</v>
      </c>
      <c r="G303" s="4" t="s">
        <v>46</v>
      </c>
      <c r="H303" s="4" t="s">
        <v>2231</v>
      </c>
      <c r="I303" s="5" t="s">
        <v>242</v>
      </c>
      <c r="J303" s="4" t="s">
        <v>243</v>
      </c>
      <c r="K303" s="4" t="s">
        <v>119</v>
      </c>
      <c r="L303" s="4">
        <v>2020</v>
      </c>
      <c r="M303" s="4" t="s">
        <v>27</v>
      </c>
      <c r="N303" s="4">
        <v>56.85</v>
      </c>
      <c r="O303" s="4">
        <v>56.85</v>
      </c>
      <c r="P303" s="4" t="s">
        <v>2234</v>
      </c>
      <c r="Q303" s="4">
        <v>56.85</v>
      </c>
      <c r="R303" s="4" t="s">
        <v>2235</v>
      </c>
    </row>
    <row r="304" spans="1:18" hidden="1" x14ac:dyDescent="0.35">
      <c r="A304" s="4" t="s">
        <v>247</v>
      </c>
      <c r="B304" s="4" t="s">
        <v>4080</v>
      </c>
      <c r="C304" s="4" t="s">
        <v>240</v>
      </c>
      <c r="D304" s="4" t="s">
        <v>2807</v>
      </c>
      <c r="E304" s="4" t="s">
        <v>2810</v>
      </c>
      <c r="F304" s="4" t="s">
        <v>33</v>
      </c>
      <c r="G304" s="4" t="s">
        <v>36</v>
      </c>
      <c r="H304" s="4" t="s">
        <v>2231</v>
      </c>
      <c r="I304" s="5" t="s">
        <v>242</v>
      </c>
      <c r="J304" s="4" t="s">
        <v>243</v>
      </c>
      <c r="K304" s="4" t="s">
        <v>119</v>
      </c>
      <c r="L304" s="4">
        <v>2020</v>
      </c>
      <c r="M304" s="4" t="s">
        <v>27</v>
      </c>
      <c r="N304" s="4">
        <v>57.32</v>
      </c>
      <c r="O304" s="4">
        <v>57.32</v>
      </c>
      <c r="P304" s="4" t="s">
        <v>2234</v>
      </c>
      <c r="Q304" s="4">
        <v>57.32</v>
      </c>
      <c r="R304" s="4" t="s">
        <v>2235</v>
      </c>
    </row>
    <row r="305" spans="1:18" hidden="1" x14ac:dyDescent="0.35">
      <c r="A305" s="4" t="s">
        <v>2811</v>
      </c>
      <c r="B305" s="4" t="s">
        <v>4080</v>
      </c>
      <c r="C305" s="4" t="s">
        <v>240</v>
      </c>
      <c r="D305" s="4" t="s">
        <v>2807</v>
      </c>
      <c r="E305" s="4" t="s">
        <v>2812</v>
      </c>
      <c r="F305" s="4" t="s">
        <v>33</v>
      </c>
      <c r="G305" s="4" t="s">
        <v>137</v>
      </c>
      <c r="H305" s="4" t="s">
        <v>2231</v>
      </c>
      <c r="I305" s="5" t="s">
        <v>242</v>
      </c>
      <c r="J305" s="4" t="s">
        <v>243</v>
      </c>
      <c r="K305" s="4" t="s">
        <v>119</v>
      </c>
      <c r="L305" s="4">
        <v>2020</v>
      </c>
      <c r="M305" s="4" t="s">
        <v>27</v>
      </c>
      <c r="N305" s="4">
        <v>1.6</v>
      </c>
      <c r="O305" s="4">
        <v>1.6</v>
      </c>
      <c r="P305" s="4" t="s">
        <v>2234</v>
      </c>
      <c r="Q305" s="4">
        <v>1.6</v>
      </c>
      <c r="R305" s="4" t="s">
        <v>2235</v>
      </c>
    </row>
    <row r="306" spans="1:18" hidden="1" x14ac:dyDescent="0.35">
      <c r="A306" s="4" t="s">
        <v>287</v>
      </c>
      <c r="B306" s="4" t="s">
        <v>4080</v>
      </c>
      <c r="C306" s="4" t="s">
        <v>282</v>
      </c>
      <c r="D306" s="4" t="s">
        <v>2806</v>
      </c>
      <c r="E306" s="4" t="s">
        <v>1010</v>
      </c>
      <c r="F306" s="4" t="s">
        <v>33</v>
      </c>
      <c r="G306" s="4" t="s">
        <v>46</v>
      </c>
      <c r="H306" s="4" t="s">
        <v>2231</v>
      </c>
      <c r="I306" s="5" t="s">
        <v>242</v>
      </c>
      <c r="J306" s="4" t="s">
        <v>243</v>
      </c>
      <c r="K306" s="4" t="s">
        <v>119</v>
      </c>
      <c r="L306" s="4">
        <v>2013</v>
      </c>
      <c r="M306" s="4" t="s">
        <v>27</v>
      </c>
      <c r="N306" s="4">
        <v>54.8</v>
      </c>
      <c r="O306" s="4">
        <v>54.8</v>
      </c>
      <c r="P306" s="4" t="s">
        <v>2234</v>
      </c>
      <c r="Q306" s="4">
        <v>54.8</v>
      </c>
      <c r="R306" s="4" t="s">
        <v>2235</v>
      </c>
    </row>
    <row r="307" spans="1:18" hidden="1" x14ac:dyDescent="0.35">
      <c r="A307" s="4" t="s">
        <v>298</v>
      </c>
      <c r="B307" s="4" t="s">
        <v>4080</v>
      </c>
      <c r="C307" s="4" t="s">
        <v>299</v>
      </c>
      <c r="D307" s="4" t="s">
        <v>2813</v>
      </c>
      <c r="E307" s="4" t="s">
        <v>300</v>
      </c>
      <c r="F307" s="4" t="s">
        <v>33</v>
      </c>
      <c r="G307" s="4" t="s">
        <v>46</v>
      </c>
      <c r="H307" s="4" t="s">
        <v>2231</v>
      </c>
      <c r="I307" s="5" t="s">
        <v>301</v>
      </c>
      <c r="J307" s="4" t="s">
        <v>302</v>
      </c>
      <c r="K307" s="4" t="s">
        <v>119</v>
      </c>
      <c r="L307" s="4">
        <v>2000</v>
      </c>
      <c r="M307" s="4" t="s">
        <v>27</v>
      </c>
      <c r="N307" s="4">
        <v>14</v>
      </c>
      <c r="O307" s="4">
        <v>14</v>
      </c>
      <c r="P307" s="4" t="s">
        <v>2234</v>
      </c>
      <c r="Q307" s="4">
        <v>14</v>
      </c>
      <c r="R307" s="4" t="s">
        <v>2235</v>
      </c>
    </row>
    <row r="308" spans="1:18" hidden="1" x14ac:dyDescent="0.35">
      <c r="A308" s="4" t="s">
        <v>394</v>
      </c>
      <c r="B308" s="4" t="s">
        <v>4080</v>
      </c>
      <c r="C308" s="4" t="s">
        <v>2757</v>
      </c>
      <c r="D308" s="4" t="s">
        <v>2814</v>
      </c>
      <c r="E308" s="4" t="s">
        <v>2815</v>
      </c>
      <c r="F308" s="4" t="s">
        <v>173</v>
      </c>
      <c r="G308" s="4" t="s">
        <v>409</v>
      </c>
      <c r="H308" s="4" t="s">
        <v>2231</v>
      </c>
      <c r="I308" s="5" t="s">
        <v>301</v>
      </c>
      <c r="J308" s="4" t="s">
        <v>302</v>
      </c>
      <c r="K308" s="4" t="s">
        <v>119</v>
      </c>
      <c r="L308" s="4">
        <v>2005</v>
      </c>
      <c r="M308" s="4" t="s">
        <v>27</v>
      </c>
      <c r="N308" s="4">
        <v>16.25</v>
      </c>
      <c r="O308" s="4">
        <v>16.25</v>
      </c>
      <c r="P308" s="4" t="s">
        <v>173</v>
      </c>
      <c r="Q308" s="4">
        <v>16.25</v>
      </c>
      <c r="R308" s="4" t="s">
        <v>173</v>
      </c>
    </row>
    <row r="309" spans="1:18" hidden="1" x14ac:dyDescent="0.35">
      <c r="A309" s="4" t="s">
        <v>398</v>
      </c>
      <c r="B309" s="4" t="s">
        <v>4080</v>
      </c>
      <c r="C309" s="4" t="s">
        <v>2757</v>
      </c>
      <c r="D309" s="4" t="s">
        <v>2814</v>
      </c>
      <c r="E309" s="4" t="s">
        <v>2816</v>
      </c>
      <c r="F309" s="4" t="s">
        <v>173</v>
      </c>
      <c r="G309" s="4" t="s">
        <v>409</v>
      </c>
      <c r="H309" s="4" t="s">
        <v>2231</v>
      </c>
      <c r="I309" s="5" t="s">
        <v>301</v>
      </c>
      <c r="J309" s="4" t="s">
        <v>302</v>
      </c>
      <c r="K309" s="4" t="s">
        <v>119</v>
      </c>
      <c r="L309" s="4">
        <v>2007</v>
      </c>
      <c r="M309" s="4" t="s">
        <v>27</v>
      </c>
      <c r="N309" s="4">
        <v>16.25</v>
      </c>
      <c r="O309" s="4">
        <v>16.25</v>
      </c>
      <c r="P309" s="4" t="s">
        <v>173</v>
      </c>
      <c r="Q309" s="4">
        <v>16.25</v>
      </c>
      <c r="R309" s="4" t="s">
        <v>173</v>
      </c>
    </row>
    <row r="310" spans="1:18" hidden="1" x14ac:dyDescent="0.35">
      <c r="A310" s="4" t="s">
        <v>310</v>
      </c>
      <c r="B310" s="4" t="s">
        <v>4080</v>
      </c>
      <c r="C310" s="4" t="s">
        <v>299</v>
      </c>
      <c r="D310" s="4" t="s">
        <v>2817</v>
      </c>
      <c r="E310" s="4" t="s">
        <v>311</v>
      </c>
      <c r="F310" s="4" t="s">
        <v>33</v>
      </c>
      <c r="G310" s="4" t="s">
        <v>46</v>
      </c>
      <c r="H310" s="4" t="s">
        <v>2231</v>
      </c>
      <c r="I310" s="5" t="s">
        <v>301</v>
      </c>
      <c r="J310" s="4" t="s">
        <v>302</v>
      </c>
      <c r="K310" s="4" t="s">
        <v>119</v>
      </c>
      <c r="L310" s="4">
        <v>1998</v>
      </c>
      <c r="M310" s="4" t="s">
        <v>27</v>
      </c>
      <c r="N310" s="4">
        <v>38.4</v>
      </c>
      <c r="O310" s="4">
        <v>38.4</v>
      </c>
      <c r="P310" s="4" t="s">
        <v>2234</v>
      </c>
      <c r="Q310" s="4">
        <v>38.4</v>
      </c>
      <c r="R310" s="4" t="s">
        <v>2235</v>
      </c>
    </row>
    <row r="311" spans="1:18" hidden="1" x14ac:dyDescent="0.35">
      <c r="A311" s="4" t="s">
        <v>308</v>
      </c>
      <c r="B311" s="4" t="s">
        <v>4080</v>
      </c>
      <c r="C311" s="4" t="s">
        <v>299</v>
      </c>
      <c r="D311" s="4" t="s">
        <v>2818</v>
      </c>
      <c r="E311" s="4" t="s">
        <v>54</v>
      </c>
      <c r="F311" s="4" t="s">
        <v>33</v>
      </c>
      <c r="G311" s="4" t="s">
        <v>46</v>
      </c>
      <c r="H311" s="4" t="s">
        <v>2231</v>
      </c>
      <c r="I311" s="5" t="s">
        <v>301</v>
      </c>
      <c r="J311" s="4" t="s">
        <v>302</v>
      </c>
      <c r="K311" s="4" t="s">
        <v>119</v>
      </c>
      <c r="L311" s="4">
        <v>1994</v>
      </c>
      <c r="M311" s="4" t="s">
        <v>27</v>
      </c>
      <c r="N311" s="4">
        <v>37</v>
      </c>
      <c r="O311" s="4">
        <v>37</v>
      </c>
      <c r="P311" s="4" t="s">
        <v>2234</v>
      </c>
      <c r="Q311" s="4">
        <v>37</v>
      </c>
      <c r="R311" s="4" t="s">
        <v>2235</v>
      </c>
    </row>
    <row r="312" spans="1:18" hidden="1" x14ac:dyDescent="0.35">
      <c r="A312" s="4" t="s">
        <v>565</v>
      </c>
      <c r="B312" s="4" t="s">
        <v>4080</v>
      </c>
      <c r="C312" s="4" t="s">
        <v>2819</v>
      </c>
      <c r="D312" s="4" t="s">
        <v>2818</v>
      </c>
      <c r="E312" s="4" t="s">
        <v>52</v>
      </c>
      <c r="F312" s="4" t="s">
        <v>33</v>
      </c>
      <c r="G312" s="4" t="s">
        <v>46</v>
      </c>
      <c r="H312" s="4" t="s">
        <v>2231</v>
      </c>
      <c r="I312" s="5" t="s">
        <v>301</v>
      </c>
      <c r="J312" s="4" t="s">
        <v>302</v>
      </c>
      <c r="K312" s="4" t="s">
        <v>119</v>
      </c>
      <c r="L312" s="4">
        <v>1994</v>
      </c>
      <c r="M312" s="4" t="s">
        <v>27</v>
      </c>
      <c r="N312" s="4">
        <v>37</v>
      </c>
      <c r="O312" s="4">
        <v>37</v>
      </c>
      <c r="P312" s="4" t="s">
        <v>2234</v>
      </c>
      <c r="Q312" s="4">
        <v>37</v>
      </c>
      <c r="R312" s="4" t="s">
        <v>2235</v>
      </c>
    </row>
    <row r="313" spans="1:18" hidden="1" x14ac:dyDescent="0.35">
      <c r="A313" s="4" t="s">
        <v>309</v>
      </c>
      <c r="B313" s="4" t="s">
        <v>4080</v>
      </c>
      <c r="C313" s="4" t="s">
        <v>299</v>
      </c>
      <c r="D313" s="4" t="s">
        <v>2818</v>
      </c>
      <c r="E313" s="4" t="s">
        <v>157</v>
      </c>
      <c r="F313" s="4" t="s">
        <v>33</v>
      </c>
      <c r="G313" s="4" t="s">
        <v>46</v>
      </c>
      <c r="H313" s="4" t="s">
        <v>2231</v>
      </c>
      <c r="I313" s="5" t="s">
        <v>301</v>
      </c>
      <c r="J313" s="4" t="s">
        <v>302</v>
      </c>
      <c r="K313" s="4" t="s">
        <v>119</v>
      </c>
      <c r="L313" s="4">
        <v>1994</v>
      </c>
      <c r="M313" s="4" t="s">
        <v>27</v>
      </c>
      <c r="N313" s="4">
        <v>38.4</v>
      </c>
      <c r="O313" s="4">
        <v>38.4</v>
      </c>
      <c r="P313" s="4" t="s">
        <v>2234</v>
      </c>
      <c r="Q313" s="4">
        <v>38.4</v>
      </c>
      <c r="R313" s="4" t="s">
        <v>2235</v>
      </c>
    </row>
    <row r="314" spans="1:18" hidden="1" x14ac:dyDescent="0.35">
      <c r="A314" s="4" t="s">
        <v>2820</v>
      </c>
      <c r="B314" s="4" t="s">
        <v>4080</v>
      </c>
      <c r="C314" s="4" t="s">
        <v>299</v>
      </c>
      <c r="D314" s="4" t="s">
        <v>2818</v>
      </c>
      <c r="E314" s="4" t="s">
        <v>49</v>
      </c>
      <c r="F314" s="4" t="s">
        <v>33</v>
      </c>
      <c r="G314" s="4" t="s">
        <v>46</v>
      </c>
      <c r="H314" s="4" t="s">
        <v>2231</v>
      </c>
      <c r="I314" s="5" t="s">
        <v>301</v>
      </c>
      <c r="J314" s="4" t="s">
        <v>302</v>
      </c>
      <c r="K314" s="4" t="s">
        <v>119</v>
      </c>
      <c r="L314" s="4">
        <v>1994</v>
      </c>
      <c r="M314" s="4" t="s">
        <v>27</v>
      </c>
      <c r="N314" s="4">
        <v>8.6999999999999993</v>
      </c>
      <c r="O314" s="4">
        <v>8.6999999999999993</v>
      </c>
      <c r="P314" s="4" t="s">
        <v>2234</v>
      </c>
      <c r="Q314" s="4">
        <v>8.6999999999999993</v>
      </c>
      <c r="R314" s="4" t="s">
        <v>2235</v>
      </c>
    </row>
    <row r="315" spans="1:18" hidden="1" x14ac:dyDescent="0.35">
      <c r="A315" s="4" t="s">
        <v>304</v>
      </c>
      <c r="B315" s="4" t="s">
        <v>4080</v>
      </c>
      <c r="C315" s="4" t="s">
        <v>299</v>
      </c>
      <c r="D315" s="4" t="s">
        <v>2818</v>
      </c>
      <c r="E315" s="4" t="s">
        <v>305</v>
      </c>
      <c r="F315" s="4" t="s">
        <v>33</v>
      </c>
      <c r="G315" s="4" t="s">
        <v>46</v>
      </c>
      <c r="H315" s="4" t="s">
        <v>2231</v>
      </c>
      <c r="I315" s="5" t="s">
        <v>301</v>
      </c>
      <c r="J315" s="4" t="s">
        <v>302</v>
      </c>
      <c r="K315" s="4" t="s">
        <v>119</v>
      </c>
      <c r="L315" s="4">
        <v>2010</v>
      </c>
      <c r="M315" s="4" t="s">
        <v>27</v>
      </c>
      <c r="N315" s="4">
        <v>20</v>
      </c>
      <c r="O315" s="4">
        <v>20</v>
      </c>
      <c r="P315" s="4" t="s">
        <v>2234</v>
      </c>
      <c r="Q315" s="4">
        <v>20</v>
      </c>
      <c r="R315" s="4" t="s">
        <v>2235</v>
      </c>
    </row>
    <row r="316" spans="1:18" hidden="1" x14ac:dyDescent="0.35">
      <c r="A316" s="4" t="s">
        <v>312</v>
      </c>
      <c r="B316" s="4" t="s">
        <v>4080</v>
      </c>
      <c r="C316" s="4" t="s">
        <v>299</v>
      </c>
      <c r="D316" s="4" t="s">
        <v>2821</v>
      </c>
      <c r="E316" s="4" t="s">
        <v>313</v>
      </c>
      <c r="F316" s="4" t="s">
        <v>33</v>
      </c>
      <c r="G316" s="4" t="s">
        <v>46</v>
      </c>
      <c r="H316" s="4" t="s">
        <v>2231</v>
      </c>
      <c r="I316" s="5" t="s">
        <v>301</v>
      </c>
      <c r="J316" s="4" t="s">
        <v>302</v>
      </c>
      <c r="K316" s="4" t="s">
        <v>119</v>
      </c>
      <c r="L316" s="4">
        <v>2022</v>
      </c>
      <c r="M316" s="4" t="s">
        <v>27</v>
      </c>
      <c r="N316" s="4">
        <v>55.4</v>
      </c>
      <c r="O316" s="4">
        <v>55.4</v>
      </c>
      <c r="P316" s="4" t="s">
        <v>2234</v>
      </c>
      <c r="Q316" s="4">
        <v>55.4</v>
      </c>
      <c r="R316" s="4" t="s">
        <v>2235</v>
      </c>
    </row>
    <row r="317" spans="1:18" hidden="1" x14ac:dyDescent="0.35">
      <c r="A317" s="4" t="s">
        <v>306</v>
      </c>
      <c r="B317" s="4" t="s">
        <v>4080</v>
      </c>
      <c r="C317" s="4" t="s">
        <v>299</v>
      </c>
      <c r="D317" s="4" t="s">
        <v>2821</v>
      </c>
      <c r="E317" s="4" t="s">
        <v>307</v>
      </c>
      <c r="F317" s="4" t="s">
        <v>33</v>
      </c>
      <c r="G317" s="4" t="s">
        <v>46</v>
      </c>
      <c r="H317" s="4" t="s">
        <v>2231</v>
      </c>
      <c r="I317" s="5" t="s">
        <v>301</v>
      </c>
      <c r="J317" s="4" t="s">
        <v>302</v>
      </c>
      <c r="K317" s="4" t="s">
        <v>119</v>
      </c>
      <c r="L317" s="4">
        <v>2022</v>
      </c>
      <c r="M317" s="4" t="s">
        <v>27</v>
      </c>
      <c r="N317" s="4">
        <v>23.9</v>
      </c>
      <c r="O317" s="4">
        <v>23.9</v>
      </c>
      <c r="P317" s="4" t="s">
        <v>2234</v>
      </c>
      <c r="Q317" s="4">
        <v>23.9</v>
      </c>
      <c r="R317" s="4" t="s">
        <v>2235</v>
      </c>
    </row>
    <row r="318" spans="1:18" hidden="1" x14ac:dyDescent="0.35">
      <c r="A318" s="4" t="s">
        <v>444</v>
      </c>
      <c r="B318" s="4" t="s">
        <v>4080</v>
      </c>
      <c r="C318" s="4" t="s">
        <v>2822</v>
      </c>
      <c r="D318" s="4" t="s">
        <v>2823</v>
      </c>
      <c r="E318" s="4" t="s">
        <v>2227</v>
      </c>
      <c r="F318" s="4" t="s">
        <v>173</v>
      </c>
      <c r="G318" s="4" t="s">
        <v>409</v>
      </c>
      <c r="H318" s="4" t="s">
        <v>2231</v>
      </c>
      <c r="I318" s="5" t="s">
        <v>441</v>
      </c>
      <c r="J318" s="4" t="s">
        <v>442</v>
      </c>
      <c r="K318" s="4" t="s">
        <v>119</v>
      </c>
      <c r="L318" s="4">
        <v>2009</v>
      </c>
      <c r="M318" s="4" t="s">
        <v>27</v>
      </c>
      <c r="N318" s="4">
        <v>30</v>
      </c>
      <c r="O318" s="4">
        <v>30</v>
      </c>
      <c r="P318" s="4" t="s">
        <v>173</v>
      </c>
      <c r="Q318" s="4">
        <v>30</v>
      </c>
      <c r="R318" s="4" t="s">
        <v>173</v>
      </c>
    </row>
    <row r="319" spans="1:18" hidden="1" x14ac:dyDescent="0.35">
      <c r="A319" s="4" t="s">
        <v>447</v>
      </c>
      <c r="B319" s="4" t="s">
        <v>4080</v>
      </c>
      <c r="C319" s="4" t="s">
        <v>2822</v>
      </c>
      <c r="D319" s="4" t="s">
        <v>2824</v>
      </c>
      <c r="E319" s="4" t="s">
        <v>54</v>
      </c>
      <c r="F319" s="4" t="s">
        <v>33</v>
      </c>
      <c r="G319" s="4" t="s">
        <v>46</v>
      </c>
      <c r="H319" s="4" t="s">
        <v>2231</v>
      </c>
      <c r="I319" s="5" t="s">
        <v>441</v>
      </c>
      <c r="J319" s="4" t="s">
        <v>442</v>
      </c>
      <c r="K319" s="4" t="s">
        <v>119</v>
      </c>
      <c r="L319" s="4">
        <v>1994</v>
      </c>
      <c r="M319" s="4" t="s">
        <v>27</v>
      </c>
      <c r="N319" s="4">
        <v>58.5</v>
      </c>
      <c r="O319" s="4">
        <v>58.5</v>
      </c>
      <c r="P319" s="4" t="s">
        <v>2234</v>
      </c>
      <c r="Q319" s="4">
        <v>58.5</v>
      </c>
      <c r="R319" s="4" t="s">
        <v>2235</v>
      </c>
    </row>
    <row r="320" spans="1:18" hidden="1" x14ac:dyDescent="0.35">
      <c r="A320" s="4" t="s">
        <v>449</v>
      </c>
      <c r="B320" s="4" t="s">
        <v>4080</v>
      </c>
      <c r="C320" s="4" t="s">
        <v>2822</v>
      </c>
      <c r="D320" s="4" t="s">
        <v>2824</v>
      </c>
      <c r="E320" s="4" t="s">
        <v>52</v>
      </c>
      <c r="F320" s="4" t="s">
        <v>33</v>
      </c>
      <c r="G320" s="4" t="s">
        <v>46</v>
      </c>
      <c r="H320" s="4" t="s">
        <v>2231</v>
      </c>
      <c r="I320" s="5" t="s">
        <v>441</v>
      </c>
      <c r="J320" s="4" t="s">
        <v>442</v>
      </c>
      <c r="K320" s="4" t="s">
        <v>119</v>
      </c>
      <c r="L320" s="4">
        <v>1994</v>
      </c>
      <c r="M320" s="4" t="s">
        <v>27</v>
      </c>
      <c r="N320" s="4">
        <v>63.5</v>
      </c>
      <c r="O320" s="4">
        <v>63.5</v>
      </c>
      <c r="P320" s="4" t="s">
        <v>2234</v>
      </c>
      <c r="Q320" s="4">
        <v>63.5</v>
      </c>
      <c r="R320" s="4" t="s">
        <v>2235</v>
      </c>
    </row>
    <row r="321" spans="1:18" hidden="1" x14ac:dyDescent="0.35">
      <c r="A321" s="4" t="s">
        <v>438</v>
      </c>
      <c r="B321" s="4" t="s">
        <v>4080</v>
      </c>
      <c r="C321" s="4" t="s">
        <v>2822</v>
      </c>
      <c r="D321" s="4" t="s">
        <v>2824</v>
      </c>
      <c r="E321" s="4" t="s">
        <v>159</v>
      </c>
      <c r="F321" s="4" t="s">
        <v>33</v>
      </c>
      <c r="G321" s="4" t="s">
        <v>46</v>
      </c>
      <c r="H321" s="4" t="s">
        <v>2231</v>
      </c>
      <c r="I321" s="5" t="s">
        <v>441</v>
      </c>
      <c r="J321" s="4" t="s">
        <v>442</v>
      </c>
      <c r="K321" s="4" t="s">
        <v>119</v>
      </c>
      <c r="L321" s="4">
        <v>1994</v>
      </c>
      <c r="M321" s="4" t="s">
        <v>27</v>
      </c>
      <c r="N321" s="4">
        <v>21.7</v>
      </c>
      <c r="O321" s="4">
        <v>21.7</v>
      </c>
      <c r="P321" s="4" t="s">
        <v>2234</v>
      </c>
      <c r="Q321" s="4">
        <v>21.7</v>
      </c>
      <c r="R321" s="4" t="s">
        <v>2235</v>
      </c>
    </row>
    <row r="322" spans="1:18" hidden="1" x14ac:dyDescent="0.35">
      <c r="A322" s="4" t="s">
        <v>2825</v>
      </c>
      <c r="B322" s="4" t="s">
        <v>4080</v>
      </c>
      <c r="C322" s="4" t="s">
        <v>2826</v>
      </c>
      <c r="D322" s="4" t="s">
        <v>2827</v>
      </c>
      <c r="E322" s="4" t="s">
        <v>2602</v>
      </c>
      <c r="F322" s="4" t="s">
        <v>33</v>
      </c>
      <c r="G322" s="4" t="s">
        <v>137</v>
      </c>
      <c r="H322" s="4" t="s">
        <v>2231</v>
      </c>
      <c r="I322" s="5" t="s">
        <v>441</v>
      </c>
      <c r="J322" s="4" t="s">
        <v>442</v>
      </c>
      <c r="K322" s="4" t="s">
        <v>119</v>
      </c>
      <c r="L322" s="4">
        <v>2018</v>
      </c>
      <c r="M322" s="4" t="s">
        <v>27</v>
      </c>
      <c r="N322" s="4">
        <v>2</v>
      </c>
      <c r="O322" s="4">
        <v>2</v>
      </c>
      <c r="P322" s="4" t="s">
        <v>2234</v>
      </c>
      <c r="Q322" s="4">
        <v>2</v>
      </c>
      <c r="R322" s="4" t="s">
        <v>2235</v>
      </c>
    </row>
    <row r="323" spans="1:18" hidden="1" x14ac:dyDescent="0.35">
      <c r="A323" s="4" t="s">
        <v>2828</v>
      </c>
      <c r="B323" s="4" t="s">
        <v>4080</v>
      </c>
      <c r="C323" s="4" t="s">
        <v>2826</v>
      </c>
      <c r="D323" s="4" t="s">
        <v>2827</v>
      </c>
      <c r="E323" s="4" t="s">
        <v>2604</v>
      </c>
      <c r="F323" s="4" t="s">
        <v>33</v>
      </c>
      <c r="G323" s="4" t="s">
        <v>137</v>
      </c>
      <c r="H323" s="4" t="s">
        <v>2231</v>
      </c>
      <c r="I323" s="5" t="s">
        <v>441</v>
      </c>
      <c r="J323" s="4" t="s">
        <v>442</v>
      </c>
      <c r="K323" s="4" t="s">
        <v>119</v>
      </c>
      <c r="L323" s="4">
        <v>2018</v>
      </c>
      <c r="M323" s="4" t="s">
        <v>27</v>
      </c>
      <c r="N323" s="4">
        <v>2</v>
      </c>
      <c r="O323" s="4">
        <v>2</v>
      </c>
      <c r="P323" s="4" t="s">
        <v>2234</v>
      </c>
      <c r="Q323" s="4">
        <v>2</v>
      </c>
      <c r="R323" s="4" t="s">
        <v>2235</v>
      </c>
    </row>
    <row r="324" spans="1:18" hidden="1" x14ac:dyDescent="0.35">
      <c r="A324" s="4" t="s">
        <v>2829</v>
      </c>
      <c r="B324" s="4" t="s">
        <v>4080</v>
      </c>
      <c r="C324" s="4" t="s">
        <v>2826</v>
      </c>
      <c r="D324" s="4" t="s">
        <v>2830</v>
      </c>
      <c r="E324" s="4" t="s">
        <v>2831</v>
      </c>
      <c r="F324" s="4" t="s">
        <v>33</v>
      </c>
      <c r="G324" s="4" t="s">
        <v>137</v>
      </c>
      <c r="H324" s="4" t="s">
        <v>2231</v>
      </c>
      <c r="I324" s="5" t="s">
        <v>441</v>
      </c>
      <c r="J324" s="4" t="s">
        <v>442</v>
      </c>
      <c r="K324" s="4" t="s">
        <v>119</v>
      </c>
      <c r="L324" s="4">
        <v>2011</v>
      </c>
      <c r="M324" s="4" t="s">
        <v>27</v>
      </c>
      <c r="N324" s="4">
        <v>2</v>
      </c>
      <c r="O324" s="4">
        <v>2</v>
      </c>
      <c r="P324" s="4" t="s">
        <v>2234</v>
      </c>
      <c r="Q324" s="4">
        <v>2</v>
      </c>
      <c r="R324" s="4" t="s">
        <v>2235</v>
      </c>
    </row>
    <row r="325" spans="1:18" hidden="1" x14ac:dyDescent="0.35">
      <c r="A325" s="4" t="s">
        <v>2832</v>
      </c>
      <c r="B325" s="4" t="s">
        <v>4080</v>
      </c>
      <c r="C325" s="4" t="s">
        <v>2826</v>
      </c>
      <c r="D325" s="4" t="s">
        <v>2833</v>
      </c>
      <c r="E325" s="4" t="s">
        <v>2831</v>
      </c>
      <c r="F325" s="4" t="s">
        <v>33</v>
      </c>
      <c r="G325" s="4" t="s">
        <v>137</v>
      </c>
      <c r="H325" s="4" t="s">
        <v>2231</v>
      </c>
      <c r="I325" s="5" t="s">
        <v>441</v>
      </c>
      <c r="J325" s="4" t="s">
        <v>442</v>
      </c>
      <c r="K325" s="4" t="s">
        <v>119</v>
      </c>
      <c r="L325" s="4">
        <v>2009</v>
      </c>
      <c r="M325" s="4" t="s">
        <v>27</v>
      </c>
      <c r="N325" s="4">
        <v>2</v>
      </c>
      <c r="O325" s="4">
        <v>2</v>
      </c>
      <c r="P325" s="4" t="s">
        <v>2234</v>
      </c>
      <c r="Q325" s="4">
        <v>2</v>
      </c>
      <c r="R325" s="4" t="s">
        <v>2235</v>
      </c>
    </row>
    <row r="326" spans="1:18" hidden="1" x14ac:dyDescent="0.35">
      <c r="A326" s="4" t="s">
        <v>412</v>
      </c>
      <c r="B326" s="4" t="s">
        <v>4080</v>
      </c>
      <c r="C326" s="4" t="s">
        <v>2834</v>
      </c>
      <c r="D326" s="4" t="s">
        <v>2835</v>
      </c>
      <c r="E326" s="4" t="s">
        <v>2227</v>
      </c>
      <c r="F326" s="4" t="s">
        <v>173</v>
      </c>
      <c r="G326" s="4" t="s">
        <v>409</v>
      </c>
      <c r="H326" s="4" t="s">
        <v>2231</v>
      </c>
      <c r="I326" s="5" t="s">
        <v>415</v>
      </c>
      <c r="J326" s="4" t="s">
        <v>2836</v>
      </c>
      <c r="K326" s="4" t="s">
        <v>119</v>
      </c>
      <c r="L326" s="4">
        <v>2005</v>
      </c>
      <c r="M326" s="4" t="s">
        <v>27</v>
      </c>
      <c r="N326" s="4">
        <v>27.2</v>
      </c>
      <c r="O326" s="4">
        <v>27.2</v>
      </c>
      <c r="P326" s="4" t="s">
        <v>173</v>
      </c>
      <c r="Q326" s="4">
        <v>27.2</v>
      </c>
      <c r="R326" s="4" t="s">
        <v>173</v>
      </c>
    </row>
    <row r="327" spans="1:18" hidden="1" x14ac:dyDescent="0.35">
      <c r="A327" s="4" t="s">
        <v>2837</v>
      </c>
      <c r="B327" s="4" t="s">
        <v>4080</v>
      </c>
      <c r="C327" s="4" t="s">
        <v>2838</v>
      </c>
      <c r="D327" s="4" t="s">
        <v>2839</v>
      </c>
      <c r="E327" s="4" t="s">
        <v>2840</v>
      </c>
      <c r="F327" s="4" t="s">
        <v>33</v>
      </c>
      <c r="G327" s="4" t="s">
        <v>409</v>
      </c>
      <c r="H327" s="4" t="s">
        <v>2231</v>
      </c>
      <c r="I327" s="5" t="s">
        <v>601</v>
      </c>
      <c r="J327" s="4" t="s">
        <v>602</v>
      </c>
      <c r="K327" s="4" t="s">
        <v>119</v>
      </c>
      <c r="L327" s="4">
        <v>2016</v>
      </c>
      <c r="M327" s="4" t="s">
        <v>27</v>
      </c>
      <c r="N327" s="4">
        <v>5.64</v>
      </c>
      <c r="O327" s="4">
        <v>5.64</v>
      </c>
      <c r="P327" s="4" t="s">
        <v>2234</v>
      </c>
      <c r="Q327" s="4">
        <v>5.64</v>
      </c>
      <c r="R327" s="4" t="s">
        <v>2235</v>
      </c>
    </row>
    <row r="328" spans="1:18" hidden="1" x14ac:dyDescent="0.35">
      <c r="A328" s="4" t="s">
        <v>235</v>
      </c>
      <c r="B328" s="4" t="s">
        <v>4080</v>
      </c>
      <c r="C328" s="4" t="s">
        <v>230</v>
      </c>
      <c r="D328" s="4" t="s">
        <v>2841</v>
      </c>
      <c r="E328" s="4" t="s">
        <v>2227</v>
      </c>
      <c r="F328" s="4" t="s">
        <v>33</v>
      </c>
      <c r="G328" s="4" t="s">
        <v>46</v>
      </c>
      <c r="H328" s="4" t="s">
        <v>2231</v>
      </c>
      <c r="I328" s="5" t="s">
        <v>237</v>
      </c>
      <c r="J328" s="4" t="s">
        <v>233</v>
      </c>
      <c r="K328" s="4" t="s">
        <v>119</v>
      </c>
      <c r="L328" s="4">
        <v>2000</v>
      </c>
      <c r="M328" s="4" t="s">
        <v>27</v>
      </c>
      <c r="N328" s="4">
        <v>108</v>
      </c>
      <c r="O328" s="4">
        <v>108</v>
      </c>
      <c r="P328" s="4" t="s">
        <v>2234</v>
      </c>
      <c r="Q328" s="4">
        <v>108</v>
      </c>
      <c r="R328" s="4" t="s">
        <v>2235</v>
      </c>
    </row>
    <row r="329" spans="1:18" hidden="1" x14ac:dyDescent="0.35">
      <c r="A329" s="4" t="s">
        <v>2842</v>
      </c>
      <c r="B329" s="4" t="s">
        <v>4080</v>
      </c>
      <c r="C329" s="4" t="s">
        <v>2843</v>
      </c>
      <c r="D329" s="4" t="s">
        <v>2843</v>
      </c>
      <c r="E329" s="4" t="s">
        <v>2227</v>
      </c>
      <c r="F329" s="4" t="s">
        <v>173</v>
      </c>
      <c r="G329" s="4" t="s">
        <v>409</v>
      </c>
      <c r="H329" s="4" t="s">
        <v>2231</v>
      </c>
      <c r="I329" s="5" t="s">
        <v>237</v>
      </c>
      <c r="J329" s="4" t="s">
        <v>233</v>
      </c>
      <c r="K329" s="4" t="s">
        <v>119</v>
      </c>
      <c r="L329" s="4">
        <v>2010</v>
      </c>
      <c r="M329" s="4" t="s">
        <v>27</v>
      </c>
      <c r="N329" s="4">
        <v>10</v>
      </c>
      <c r="O329" s="4">
        <v>10</v>
      </c>
      <c r="P329" s="4" t="s">
        <v>173</v>
      </c>
      <c r="Q329" s="4">
        <v>10</v>
      </c>
      <c r="R329" s="4" t="s">
        <v>173</v>
      </c>
    </row>
    <row r="330" spans="1:18" hidden="1" x14ac:dyDescent="0.35">
      <c r="A330" s="4" t="s">
        <v>2844</v>
      </c>
      <c r="B330" s="4" t="s">
        <v>4080</v>
      </c>
      <c r="C330" s="4" t="s">
        <v>2845</v>
      </c>
      <c r="D330" s="4" t="s">
        <v>2846</v>
      </c>
      <c r="E330" s="4" t="s">
        <v>2831</v>
      </c>
      <c r="F330" s="4" t="s">
        <v>33</v>
      </c>
      <c r="G330" s="4" t="s">
        <v>137</v>
      </c>
      <c r="H330" s="4" t="s">
        <v>2231</v>
      </c>
      <c r="I330" s="5" t="s">
        <v>237</v>
      </c>
      <c r="J330" s="4" t="s">
        <v>233</v>
      </c>
      <c r="K330" s="4" t="s">
        <v>119</v>
      </c>
      <c r="L330" s="4">
        <v>2016</v>
      </c>
      <c r="M330" s="4" t="s">
        <v>27</v>
      </c>
      <c r="N330" s="4">
        <v>2</v>
      </c>
      <c r="O330" s="4">
        <v>2</v>
      </c>
      <c r="P330" s="4" t="s">
        <v>2234</v>
      </c>
      <c r="Q330" s="4">
        <v>2</v>
      </c>
      <c r="R330" s="4" t="s">
        <v>2235</v>
      </c>
    </row>
    <row r="331" spans="1:18" hidden="1" x14ac:dyDescent="0.35">
      <c r="A331" s="4" t="s">
        <v>2114</v>
      </c>
      <c r="B331" s="4" t="s">
        <v>4081</v>
      </c>
      <c r="C331" s="4" t="s">
        <v>2732</v>
      </c>
      <c r="D331" s="4" t="s">
        <v>2847</v>
      </c>
      <c r="E331" s="4" t="s">
        <v>2848</v>
      </c>
      <c r="F331" s="4" t="s">
        <v>33</v>
      </c>
      <c r="G331" s="4" t="s">
        <v>409</v>
      </c>
      <c r="H331" s="4" t="s">
        <v>2231</v>
      </c>
      <c r="I331" s="5">
        <v>71059</v>
      </c>
      <c r="J331" s="4" t="s">
        <v>2117</v>
      </c>
      <c r="K331" s="4" t="s">
        <v>2232</v>
      </c>
      <c r="L331" s="4">
        <v>1963</v>
      </c>
      <c r="M331" s="4" t="s">
        <v>27</v>
      </c>
      <c r="N331" s="4">
        <v>17.2</v>
      </c>
      <c r="O331" s="4">
        <v>17.2</v>
      </c>
      <c r="P331" s="4" t="s">
        <v>2234</v>
      </c>
      <c r="Q331" s="4">
        <v>17.2</v>
      </c>
      <c r="R331" s="4" t="s">
        <v>2235</v>
      </c>
    </row>
    <row r="332" spans="1:18" hidden="1" x14ac:dyDescent="0.35">
      <c r="A332" s="4" t="s">
        <v>229</v>
      </c>
      <c r="B332" s="4" t="s">
        <v>4080</v>
      </c>
      <c r="C332" s="4" t="s">
        <v>230</v>
      </c>
      <c r="D332" s="4" t="s">
        <v>2849</v>
      </c>
      <c r="E332" s="4" t="s">
        <v>2227</v>
      </c>
      <c r="F332" s="4" t="s">
        <v>33</v>
      </c>
      <c r="G332" s="4" t="s">
        <v>36</v>
      </c>
      <c r="H332" s="4" t="s">
        <v>2249</v>
      </c>
      <c r="I332" s="5" t="s">
        <v>232</v>
      </c>
      <c r="J332" s="4" t="s">
        <v>2850</v>
      </c>
      <c r="K332" s="4" t="s">
        <v>119</v>
      </c>
      <c r="L332" s="4">
        <v>1997</v>
      </c>
      <c r="M332" s="4" t="s">
        <v>27</v>
      </c>
      <c r="N332" s="4">
        <v>50</v>
      </c>
      <c r="O332" s="4">
        <v>50</v>
      </c>
      <c r="P332" s="4" t="s">
        <v>2234</v>
      </c>
      <c r="Q332" s="4">
        <v>50</v>
      </c>
      <c r="R332" s="4" t="s">
        <v>2235</v>
      </c>
    </row>
    <row r="333" spans="1:18" hidden="1" x14ac:dyDescent="0.35">
      <c r="A333" s="4" t="s">
        <v>254</v>
      </c>
      <c r="B333" s="4" t="s">
        <v>4080</v>
      </c>
      <c r="C333" s="4" t="s">
        <v>2851</v>
      </c>
      <c r="D333" s="4" t="s">
        <v>2852</v>
      </c>
      <c r="E333" s="4" t="s">
        <v>2227</v>
      </c>
      <c r="F333" s="4" t="s">
        <v>33</v>
      </c>
      <c r="G333" s="4" t="s">
        <v>46</v>
      </c>
      <c r="H333" s="4" t="s">
        <v>2231</v>
      </c>
      <c r="I333" s="5" t="s">
        <v>257</v>
      </c>
      <c r="J333" s="4" t="s">
        <v>258</v>
      </c>
      <c r="K333" s="4" t="s">
        <v>119</v>
      </c>
      <c r="L333" s="4">
        <v>2019</v>
      </c>
      <c r="M333" s="4" t="s">
        <v>27</v>
      </c>
      <c r="N333" s="4">
        <v>39.119999999999997</v>
      </c>
      <c r="O333" s="4">
        <v>39.119999999999997</v>
      </c>
      <c r="P333" s="4" t="s">
        <v>2234</v>
      </c>
      <c r="Q333" s="4">
        <v>39.119999999999997</v>
      </c>
      <c r="R333" s="4" t="s">
        <v>2235</v>
      </c>
    </row>
    <row r="334" spans="1:18" hidden="1" x14ac:dyDescent="0.35">
      <c r="A334" s="4" t="s">
        <v>2853</v>
      </c>
      <c r="B334" s="4" t="s">
        <v>4080</v>
      </c>
      <c r="C334" s="4" t="s">
        <v>2854</v>
      </c>
      <c r="D334" s="4" t="s">
        <v>2855</v>
      </c>
      <c r="E334" s="4" t="s">
        <v>2856</v>
      </c>
      <c r="F334" s="4" t="s">
        <v>2255</v>
      </c>
      <c r="G334" s="4" t="s">
        <v>2256</v>
      </c>
      <c r="H334" s="4" t="s">
        <v>2249</v>
      </c>
      <c r="I334" s="5" t="s">
        <v>2857</v>
      </c>
      <c r="J334" s="4" t="s">
        <v>2858</v>
      </c>
      <c r="K334" s="4" t="s">
        <v>2859</v>
      </c>
      <c r="L334" s="4">
        <v>1959</v>
      </c>
      <c r="M334" s="4" t="s">
        <v>27</v>
      </c>
      <c r="N334" s="4">
        <v>29.9</v>
      </c>
      <c r="O334" s="4">
        <v>29.9</v>
      </c>
      <c r="P334" s="4" t="s">
        <v>2255</v>
      </c>
      <c r="Q334" s="4">
        <v>29.9</v>
      </c>
      <c r="R334" s="4" t="s">
        <v>2255</v>
      </c>
    </row>
    <row r="335" spans="1:18" hidden="1" x14ac:dyDescent="0.35">
      <c r="A335" s="4" t="s">
        <v>2860</v>
      </c>
      <c r="B335" s="4" t="s">
        <v>4080</v>
      </c>
      <c r="C335" s="4" t="s">
        <v>2854</v>
      </c>
      <c r="D335" s="4" t="s">
        <v>2855</v>
      </c>
      <c r="E335" s="4" t="s">
        <v>2861</v>
      </c>
      <c r="F335" s="4" t="s">
        <v>2255</v>
      </c>
      <c r="G335" s="4" t="s">
        <v>2256</v>
      </c>
      <c r="H335" s="4" t="s">
        <v>2249</v>
      </c>
      <c r="I335" s="5" t="s">
        <v>2857</v>
      </c>
      <c r="J335" s="4" t="s">
        <v>2858</v>
      </c>
      <c r="K335" s="4" t="s">
        <v>2859</v>
      </c>
      <c r="L335" s="4">
        <v>1959</v>
      </c>
      <c r="M335" s="4" t="s">
        <v>27</v>
      </c>
      <c r="N335" s="4">
        <v>29.9</v>
      </c>
      <c r="O335" s="4">
        <v>29.9</v>
      </c>
      <c r="P335" s="4" t="s">
        <v>2255</v>
      </c>
      <c r="Q335" s="4">
        <v>29.9</v>
      </c>
      <c r="R335" s="4" t="s">
        <v>2255</v>
      </c>
    </row>
    <row r="336" spans="1:18" hidden="1" x14ac:dyDescent="0.35">
      <c r="A336" s="4" t="s">
        <v>2862</v>
      </c>
      <c r="B336" s="4" t="s">
        <v>4080</v>
      </c>
      <c r="C336" s="4" t="s">
        <v>2854</v>
      </c>
      <c r="D336" s="4" t="s">
        <v>2863</v>
      </c>
      <c r="E336" s="4" t="s">
        <v>2856</v>
      </c>
      <c r="F336" s="4" t="s">
        <v>2255</v>
      </c>
      <c r="G336" s="4" t="s">
        <v>2256</v>
      </c>
      <c r="H336" s="4" t="s">
        <v>2249</v>
      </c>
      <c r="I336" s="5" t="s">
        <v>2857</v>
      </c>
      <c r="J336" s="4" t="s">
        <v>2858</v>
      </c>
      <c r="K336" s="4" t="s">
        <v>2859</v>
      </c>
      <c r="L336" s="4">
        <v>1966</v>
      </c>
      <c r="M336" s="4" t="s">
        <v>27</v>
      </c>
      <c r="N336" s="4">
        <v>39.729999999999997</v>
      </c>
      <c r="O336" s="4">
        <v>39.729999999999997</v>
      </c>
      <c r="P336" s="4" t="s">
        <v>2255</v>
      </c>
      <c r="Q336" s="4">
        <v>39.729999999999997</v>
      </c>
      <c r="R336" s="4" t="s">
        <v>2255</v>
      </c>
    </row>
    <row r="337" spans="1:18" hidden="1" x14ac:dyDescent="0.35">
      <c r="A337" s="4" t="s">
        <v>2864</v>
      </c>
      <c r="B337" s="4" t="s">
        <v>4080</v>
      </c>
      <c r="C337" s="4" t="s">
        <v>2854</v>
      </c>
      <c r="D337" s="4" t="s">
        <v>2863</v>
      </c>
      <c r="E337" s="4" t="s">
        <v>2861</v>
      </c>
      <c r="F337" s="4" t="s">
        <v>2255</v>
      </c>
      <c r="G337" s="4" t="s">
        <v>2256</v>
      </c>
      <c r="H337" s="4" t="s">
        <v>2249</v>
      </c>
      <c r="I337" s="5" t="s">
        <v>2857</v>
      </c>
      <c r="J337" s="4" t="s">
        <v>2858</v>
      </c>
      <c r="K337" s="4" t="s">
        <v>2859</v>
      </c>
      <c r="L337" s="4">
        <v>1966</v>
      </c>
      <c r="M337" s="4" t="s">
        <v>27</v>
      </c>
      <c r="N337" s="4">
        <v>39.729999999999997</v>
      </c>
      <c r="O337" s="4">
        <v>39.729999999999997</v>
      </c>
      <c r="P337" s="4" t="s">
        <v>2255</v>
      </c>
      <c r="Q337" s="4">
        <v>39.729999999999997</v>
      </c>
      <c r="R337" s="4" t="s">
        <v>2255</v>
      </c>
    </row>
    <row r="338" spans="1:18" hidden="1" x14ac:dyDescent="0.35">
      <c r="A338" s="4" t="s">
        <v>2865</v>
      </c>
      <c r="B338" s="4" t="s">
        <v>4080</v>
      </c>
      <c r="C338" s="4" t="s">
        <v>2854</v>
      </c>
      <c r="D338" s="4" t="s">
        <v>2863</v>
      </c>
      <c r="E338" s="4" t="s">
        <v>2866</v>
      </c>
      <c r="F338" s="4" t="s">
        <v>2255</v>
      </c>
      <c r="G338" s="4" t="s">
        <v>2256</v>
      </c>
      <c r="H338" s="4" t="s">
        <v>2249</v>
      </c>
      <c r="I338" s="5" t="s">
        <v>2857</v>
      </c>
      <c r="J338" s="4" t="s">
        <v>2858</v>
      </c>
      <c r="K338" s="4" t="s">
        <v>2859</v>
      </c>
      <c r="L338" s="4">
        <v>1966</v>
      </c>
      <c r="M338" s="4" t="s">
        <v>27</v>
      </c>
      <c r="N338" s="4">
        <v>39.729999999999997</v>
      </c>
      <c r="O338" s="4">
        <v>39.729999999999997</v>
      </c>
      <c r="P338" s="4" t="s">
        <v>2255</v>
      </c>
      <c r="Q338" s="4">
        <v>39.729999999999997</v>
      </c>
      <c r="R338" s="4" t="s">
        <v>2255</v>
      </c>
    </row>
    <row r="339" spans="1:18" hidden="1" x14ac:dyDescent="0.35">
      <c r="A339" s="4" t="s">
        <v>2867</v>
      </c>
      <c r="B339" s="4" t="s">
        <v>4080</v>
      </c>
      <c r="C339" s="4" t="s">
        <v>2854</v>
      </c>
      <c r="D339" s="4" t="s">
        <v>2863</v>
      </c>
      <c r="E339" s="4" t="s">
        <v>2868</v>
      </c>
      <c r="F339" s="4" t="s">
        <v>2255</v>
      </c>
      <c r="G339" s="4" t="s">
        <v>2256</v>
      </c>
      <c r="H339" s="4" t="s">
        <v>2249</v>
      </c>
      <c r="I339" s="5" t="s">
        <v>2857</v>
      </c>
      <c r="J339" s="4" t="s">
        <v>2858</v>
      </c>
      <c r="K339" s="4" t="s">
        <v>2859</v>
      </c>
      <c r="L339" s="4">
        <v>1966</v>
      </c>
      <c r="M339" s="4" t="s">
        <v>27</v>
      </c>
      <c r="N339" s="4">
        <v>39.729999999999997</v>
      </c>
      <c r="O339" s="4">
        <v>39.729999999999997</v>
      </c>
      <c r="P339" s="4" t="s">
        <v>2255</v>
      </c>
      <c r="Q339" s="4">
        <v>39.729999999999997</v>
      </c>
      <c r="R339" s="4" t="s">
        <v>2255</v>
      </c>
    </row>
    <row r="340" spans="1:18" hidden="1" x14ac:dyDescent="0.35">
      <c r="A340" s="4" t="s">
        <v>2869</v>
      </c>
      <c r="B340" s="4" t="s">
        <v>4080</v>
      </c>
      <c r="C340" s="4" t="s">
        <v>2854</v>
      </c>
      <c r="D340" s="4" t="s">
        <v>2863</v>
      </c>
      <c r="E340" s="4" t="s">
        <v>2870</v>
      </c>
      <c r="F340" s="4" t="s">
        <v>2255</v>
      </c>
      <c r="G340" s="4" t="s">
        <v>2256</v>
      </c>
      <c r="H340" s="4" t="s">
        <v>2249</v>
      </c>
      <c r="I340" s="5" t="s">
        <v>2857</v>
      </c>
      <c r="J340" s="4" t="s">
        <v>2858</v>
      </c>
      <c r="K340" s="4" t="s">
        <v>2859</v>
      </c>
      <c r="L340" s="4">
        <v>1966</v>
      </c>
      <c r="M340" s="4" t="s">
        <v>27</v>
      </c>
      <c r="N340" s="4">
        <v>39.729999999999997</v>
      </c>
      <c r="O340" s="4">
        <v>39.729999999999997</v>
      </c>
      <c r="P340" s="4" t="s">
        <v>2255</v>
      </c>
      <c r="Q340" s="4">
        <v>39.729999999999997</v>
      </c>
      <c r="R340" s="4" t="s">
        <v>2255</v>
      </c>
    </row>
    <row r="341" spans="1:18" hidden="1" x14ac:dyDescent="0.35">
      <c r="A341" s="4" t="s">
        <v>2871</v>
      </c>
      <c r="B341" s="4" t="s">
        <v>4080</v>
      </c>
      <c r="C341" s="4" t="s">
        <v>2854</v>
      </c>
      <c r="D341" s="4" t="s">
        <v>2863</v>
      </c>
      <c r="E341" s="4" t="s">
        <v>2872</v>
      </c>
      <c r="F341" s="4" t="s">
        <v>2255</v>
      </c>
      <c r="G341" s="4" t="s">
        <v>2256</v>
      </c>
      <c r="H341" s="4" t="s">
        <v>2249</v>
      </c>
      <c r="I341" s="5" t="s">
        <v>2857</v>
      </c>
      <c r="J341" s="4" t="s">
        <v>2858</v>
      </c>
      <c r="K341" s="4" t="s">
        <v>2859</v>
      </c>
      <c r="L341" s="4">
        <v>1966</v>
      </c>
      <c r="M341" s="4" t="s">
        <v>27</v>
      </c>
      <c r="N341" s="4">
        <v>39.729999999999997</v>
      </c>
      <c r="O341" s="4">
        <v>39.729999999999997</v>
      </c>
      <c r="P341" s="4" t="s">
        <v>2255</v>
      </c>
      <c r="Q341" s="4">
        <v>39.729999999999997</v>
      </c>
      <c r="R341" s="4" t="s">
        <v>2255</v>
      </c>
    </row>
    <row r="342" spans="1:18" hidden="1" x14ac:dyDescent="0.35">
      <c r="A342" s="4" t="s">
        <v>2873</v>
      </c>
      <c r="B342" s="4" t="s">
        <v>4080</v>
      </c>
      <c r="C342" s="4" t="s">
        <v>2854</v>
      </c>
      <c r="D342" s="4" t="s">
        <v>2863</v>
      </c>
      <c r="E342" s="4" t="s">
        <v>2874</v>
      </c>
      <c r="F342" s="4" t="s">
        <v>2255</v>
      </c>
      <c r="G342" s="4" t="s">
        <v>2256</v>
      </c>
      <c r="H342" s="4" t="s">
        <v>2249</v>
      </c>
      <c r="I342" s="5" t="s">
        <v>2857</v>
      </c>
      <c r="J342" s="4" t="s">
        <v>2858</v>
      </c>
      <c r="K342" s="4" t="s">
        <v>2859</v>
      </c>
      <c r="L342" s="4">
        <v>1966</v>
      </c>
      <c r="M342" s="4" t="s">
        <v>27</v>
      </c>
      <c r="N342" s="4">
        <v>39.729999999999997</v>
      </c>
      <c r="O342" s="4">
        <v>39.729999999999997</v>
      </c>
      <c r="P342" s="4" t="s">
        <v>2255</v>
      </c>
      <c r="Q342" s="4">
        <v>39.729999999999997</v>
      </c>
      <c r="R342" s="4" t="s">
        <v>2255</v>
      </c>
    </row>
    <row r="343" spans="1:18" hidden="1" x14ac:dyDescent="0.35">
      <c r="A343" s="4" t="s">
        <v>2875</v>
      </c>
      <c r="B343" s="4" t="s">
        <v>4080</v>
      </c>
      <c r="C343" s="4" t="s">
        <v>2854</v>
      </c>
      <c r="D343" s="4" t="s">
        <v>2863</v>
      </c>
      <c r="E343" s="4" t="s">
        <v>2876</v>
      </c>
      <c r="F343" s="4" t="s">
        <v>2255</v>
      </c>
      <c r="G343" s="4" t="s">
        <v>2256</v>
      </c>
      <c r="H343" s="4" t="s">
        <v>2249</v>
      </c>
      <c r="I343" s="5" t="s">
        <v>2857</v>
      </c>
      <c r="J343" s="4" t="s">
        <v>2858</v>
      </c>
      <c r="K343" s="4" t="s">
        <v>2859</v>
      </c>
      <c r="L343" s="4">
        <v>1966</v>
      </c>
      <c r="M343" s="4" t="s">
        <v>27</v>
      </c>
      <c r="N343" s="4">
        <v>39.729999999999997</v>
      </c>
      <c r="O343" s="4">
        <v>39.729999999999997</v>
      </c>
      <c r="P343" s="4" t="s">
        <v>2255</v>
      </c>
      <c r="Q343" s="4">
        <v>39.729999999999997</v>
      </c>
      <c r="R343" s="4" t="s">
        <v>2255</v>
      </c>
    </row>
    <row r="344" spans="1:18" hidden="1" x14ac:dyDescent="0.35">
      <c r="A344" s="4" t="s">
        <v>2877</v>
      </c>
      <c r="B344" s="4" t="s">
        <v>4080</v>
      </c>
      <c r="C344" s="4" t="s">
        <v>2878</v>
      </c>
      <c r="D344" s="4" t="s">
        <v>2879</v>
      </c>
      <c r="E344" s="4" t="s">
        <v>2880</v>
      </c>
      <c r="F344" s="4" t="s">
        <v>33</v>
      </c>
      <c r="G344" s="4" t="s">
        <v>46</v>
      </c>
      <c r="H344" s="4" t="s">
        <v>2231</v>
      </c>
      <c r="I344" s="5" t="s">
        <v>2881</v>
      </c>
      <c r="J344" s="4" t="s">
        <v>2882</v>
      </c>
      <c r="K344" s="4" t="s">
        <v>2859</v>
      </c>
      <c r="L344" s="4">
        <v>1986</v>
      </c>
      <c r="M344" s="4" t="s">
        <v>27</v>
      </c>
      <c r="N344" s="4">
        <v>7.9</v>
      </c>
      <c r="O344" s="4">
        <v>7.9</v>
      </c>
      <c r="P344" s="4" t="s">
        <v>2234</v>
      </c>
      <c r="Q344" s="4">
        <v>7.9</v>
      </c>
      <c r="R344" s="4" t="s">
        <v>2235</v>
      </c>
    </row>
    <row r="345" spans="1:18" hidden="1" x14ac:dyDescent="0.35">
      <c r="A345" s="4" t="s">
        <v>2883</v>
      </c>
      <c r="B345" s="4" t="s">
        <v>4080</v>
      </c>
      <c r="C345" s="4" t="s">
        <v>2878</v>
      </c>
      <c r="D345" s="4" t="s">
        <v>2879</v>
      </c>
      <c r="E345" s="4" t="s">
        <v>2884</v>
      </c>
      <c r="F345" s="4" t="s">
        <v>33</v>
      </c>
      <c r="G345" s="4" t="s">
        <v>46</v>
      </c>
      <c r="H345" s="4" t="s">
        <v>2231</v>
      </c>
      <c r="I345" s="5" t="s">
        <v>2881</v>
      </c>
      <c r="J345" s="4" t="s">
        <v>2882</v>
      </c>
      <c r="K345" s="4" t="s">
        <v>2859</v>
      </c>
      <c r="L345" s="4">
        <v>1962</v>
      </c>
      <c r="M345" s="4" t="s">
        <v>27</v>
      </c>
      <c r="N345" s="4">
        <v>7.9</v>
      </c>
      <c r="O345" s="4">
        <v>7.9</v>
      </c>
      <c r="P345" s="4" t="s">
        <v>2234</v>
      </c>
      <c r="Q345" s="4">
        <v>7.9</v>
      </c>
      <c r="R345" s="4" t="s">
        <v>2235</v>
      </c>
    </row>
    <row r="346" spans="1:18" hidden="1" x14ac:dyDescent="0.35">
      <c r="A346" s="4" t="s">
        <v>2885</v>
      </c>
      <c r="B346" s="4" t="s">
        <v>4080</v>
      </c>
      <c r="C346" s="4" t="s">
        <v>2878</v>
      </c>
      <c r="D346" s="4" t="s">
        <v>2879</v>
      </c>
      <c r="E346" s="4" t="s">
        <v>2886</v>
      </c>
      <c r="F346" s="4" t="s">
        <v>33</v>
      </c>
      <c r="G346" s="4" t="s">
        <v>46</v>
      </c>
      <c r="H346" s="4" t="s">
        <v>2231</v>
      </c>
      <c r="I346" s="5" t="s">
        <v>2881</v>
      </c>
      <c r="J346" s="4" t="s">
        <v>2882</v>
      </c>
      <c r="K346" s="4" t="s">
        <v>2859</v>
      </c>
      <c r="L346" s="4">
        <v>1992</v>
      </c>
      <c r="M346" s="4" t="s">
        <v>27</v>
      </c>
      <c r="N346" s="4">
        <v>4.9000000000000004</v>
      </c>
      <c r="O346" s="4">
        <v>4.9000000000000004</v>
      </c>
      <c r="P346" s="4" t="s">
        <v>2234</v>
      </c>
      <c r="Q346" s="4">
        <v>4.9000000000000004</v>
      </c>
      <c r="R346" s="4" t="s">
        <v>2235</v>
      </c>
    </row>
    <row r="347" spans="1:18" hidden="1" x14ac:dyDescent="0.35">
      <c r="A347" s="4" t="s">
        <v>2887</v>
      </c>
      <c r="B347" s="4" t="s">
        <v>4080</v>
      </c>
      <c r="C347" s="4" t="s">
        <v>2878</v>
      </c>
      <c r="D347" s="4" t="s">
        <v>2879</v>
      </c>
      <c r="E347" s="4" t="s">
        <v>2888</v>
      </c>
      <c r="F347" s="4" t="s">
        <v>33</v>
      </c>
      <c r="G347" s="4" t="s">
        <v>46</v>
      </c>
      <c r="H347" s="4" t="s">
        <v>2231</v>
      </c>
      <c r="I347" s="5" t="s">
        <v>2881</v>
      </c>
      <c r="J347" s="4" t="s">
        <v>2882</v>
      </c>
      <c r="K347" s="4" t="s">
        <v>2859</v>
      </c>
      <c r="L347" s="4">
        <v>1991</v>
      </c>
      <c r="M347" s="4" t="s">
        <v>27</v>
      </c>
      <c r="N347" s="4">
        <v>4.9000000000000004</v>
      </c>
      <c r="O347" s="4">
        <v>4.9000000000000004</v>
      </c>
      <c r="P347" s="4" t="s">
        <v>2234</v>
      </c>
      <c r="Q347" s="4">
        <v>4.9000000000000004</v>
      </c>
      <c r="R347" s="4" t="s">
        <v>2235</v>
      </c>
    </row>
    <row r="348" spans="1:18" hidden="1" x14ac:dyDescent="0.35">
      <c r="A348" s="4" t="s">
        <v>2889</v>
      </c>
      <c r="B348" s="4" t="s">
        <v>4080</v>
      </c>
      <c r="C348" s="4" t="s">
        <v>2878</v>
      </c>
      <c r="D348" s="4" t="s">
        <v>2879</v>
      </c>
      <c r="E348" s="4" t="s">
        <v>2890</v>
      </c>
      <c r="F348" s="4" t="s">
        <v>33</v>
      </c>
      <c r="G348" s="4" t="s">
        <v>137</v>
      </c>
      <c r="H348" s="4" t="s">
        <v>2231</v>
      </c>
      <c r="I348" s="5" t="s">
        <v>2881</v>
      </c>
      <c r="J348" s="4" t="s">
        <v>2882</v>
      </c>
      <c r="K348" s="4" t="s">
        <v>2859</v>
      </c>
      <c r="L348" s="4">
        <v>1992</v>
      </c>
      <c r="M348" s="4" t="s">
        <v>27</v>
      </c>
      <c r="N348" s="4">
        <v>0.4</v>
      </c>
      <c r="O348" s="4">
        <v>0.4</v>
      </c>
      <c r="P348" s="4" t="s">
        <v>2234</v>
      </c>
      <c r="Q348" s="4">
        <v>0.4</v>
      </c>
      <c r="R348" s="4" t="s">
        <v>2235</v>
      </c>
    </row>
    <row r="349" spans="1:18" hidden="1" x14ac:dyDescent="0.35">
      <c r="A349" s="4" t="s">
        <v>2891</v>
      </c>
      <c r="B349" s="4" t="s">
        <v>4080</v>
      </c>
      <c r="C349" s="4" t="s">
        <v>2892</v>
      </c>
      <c r="D349" s="4" t="s">
        <v>2893</v>
      </c>
      <c r="E349" s="4" t="s">
        <v>2227</v>
      </c>
      <c r="F349" s="4" t="s">
        <v>33</v>
      </c>
      <c r="G349" s="4" t="s">
        <v>137</v>
      </c>
      <c r="H349" s="4" t="s">
        <v>2231</v>
      </c>
      <c r="I349" s="5" t="s">
        <v>2894</v>
      </c>
      <c r="J349" s="4" t="s">
        <v>2895</v>
      </c>
      <c r="K349" s="4" t="s">
        <v>2859</v>
      </c>
      <c r="L349" s="4">
        <v>2018</v>
      </c>
      <c r="M349" s="4" t="s">
        <v>27</v>
      </c>
      <c r="N349" s="4">
        <v>4.4000000000000004</v>
      </c>
      <c r="O349" s="4">
        <v>4.4000000000000004</v>
      </c>
      <c r="P349" s="4" t="s">
        <v>2234</v>
      </c>
      <c r="Q349" s="4">
        <v>4.4000000000000004</v>
      </c>
      <c r="R349" s="4" t="s">
        <v>2235</v>
      </c>
    </row>
    <row r="350" spans="1:18" hidden="1" x14ac:dyDescent="0.35">
      <c r="A350" s="4" t="s">
        <v>2896</v>
      </c>
      <c r="B350" s="4" t="s">
        <v>4080</v>
      </c>
      <c r="C350" s="4" t="s">
        <v>2892</v>
      </c>
      <c r="D350" s="4" t="s">
        <v>2893</v>
      </c>
      <c r="E350" s="4" t="s">
        <v>2227</v>
      </c>
      <c r="F350" s="4" t="s">
        <v>33</v>
      </c>
      <c r="G350" s="4" t="s">
        <v>137</v>
      </c>
      <c r="H350" s="4" t="s">
        <v>2231</v>
      </c>
      <c r="I350" s="5" t="s">
        <v>2894</v>
      </c>
      <c r="J350" s="4" t="s">
        <v>2895</v>
      </c>
      <c r="K350" s="4" t="s">
        <v>2859</v>
      </c>
      <c r="L350" s="4">
        <v>2018</v>
      </c>
      <c r="M350" s="4" t="s">
        <v>27</v>
      </c>
      <c r="N350" s="4">
        <v>4.4000000000000004</v>
      </c>
      <c r="O350" s="4">
        <v>4.4000000000000004</v>
      </c>
      <c r="P350" s="4" t="s">
        <v>2234</v>
      </c>
      <c r="Q350" s="4">
        <v>4.4000000000000004</v>
      </c>
      <c r="R350" s="4" t="s">
        <v>2235</v>
      </c>
    </row>
    <row r="351" spans="1:18" hidden="1" x14ac:dyDescent="0.35">
      <c r="A351" s="4" t="s">
        <v>2897</v>
      </c>
      <c r="B351" s="4" t="s">
        <v>4080</v>
      </c>
      <c r="C351" s="4" t="s">
        <v>2892</v>
      </c>
      <c r="D351" s="4" t="s">
        <v>2893</v>
      </c>
      <c r="E351" s="4" t="s">
        <v>2227</v>
      </c>
      <c r="F351" s="4" t="s">
        <v>33</v>
      </c>
      <c r="G351" s="4" t="s">
        <v>137</v>
      </c>
      <c r="H351" s="4" t="s">
        <v>2231</v>
      </c>
      <c r="I351" s="5" t="s">
        <v>2894</v>
      </c>
      <c r="J351" s="4" t="s">
        <v>2895</v>
      </c>
      <c r="K351" s="4" t="s">
        <v>2859</v>
      </c>
      <c r="L351" s="4">
        <v>2018</v>
      </c>
      <c r="M351" s="4" t="s">
        <v>27</v>
      </c>
      <c r="N351" s="4">
        <v>4.4000000000000004</v>
      </c>
      <c r="O351" s="4">
        <v>4.4000000000000004</v>
      </c>
      <c r="P351" s="4" t="s">
        <v>2234</v>
      </c>
      <c r="Q351" s="4">
        <v>4.4000000000000004</v>
      </c>
      <c r="R351" s="4" t="s">
        <v>2235</v>
      </c>
    </row>
    <row r="352" spans="1:18" hidden="1" x14ac:dyDescent="0.35">
      <c r="A352" s="4" t="s">
        <v>2898</v>
      </c>
      <c r="B352" s="4" t="s">
        <v>4080</v>
      </c>
      <c r="C352" s="4" t="s">
        <v>2892</v>
      </c>
      <c r="D352" s="4" t="s">
        <v>2893</v>
      </c>
      <c r="E352" s="4" t="s">
        <v>2227</v>
      </c>
      <c r="F352" s="4" t="s">
        <v>33</v>
      </c>
      <c r="G352" s="4" t="s">
        <v>137</v>
      </c>
      <c r="H352" s="4" t="s">
        <v>2231</v>
      </c>
      <c r="I352" s="5" t="s">
        <v>2894</v>
      </c>
      <c r="J352" s="4" t="s">
        <v>2895</v>
      </c>
      <c r="K352" s="4" t="s">
        <v>2859</v>
      </c>
      <c r="L352" s="4">
        <v>2018</v>
      </c>
      <c r="M352" s="4" t="s">
        <v>27</v>
      </c>
      <c r="N352" s="4">
        <v>4.4000000000000004</v>
      </c>
      <c r="O352" s="4">
        <v>4.4000000000000004</v>
      </c>
      <c r="P352" s="4" t="s">
        <v>2234</v>
      </c>
      <c r="Q352" s="4">
        <v>4.4000000000000004</v>
      </c>
      <c r="R352" s="4" t="s">
        <v>2235</v>
      </c>
    </row>
    <row r="353" spans="1:18" hidden="1" x14ac:dyDescent="0.35">
      <c r="A353" s="4" t="s">
        <v>2899</v>
      </c>
      <c r="B353" s="4" t="s">
        <v>4080</v>
      </c>
      <c r="C353" s="4" t="s">
        <v>2892</v>
      </c>
      <c r="D353" s="4" t="s">
        <v>2900</v>
      </c>
      <c r="E353" s="4" t="s">
        <v>383</v>
      </c>
      <c r="F353" s="4" t="s">
        <v>33</v>
      </c>
      <c r="G353" s="4" t="s">
        <v>137</v>
      </c>
      <c r="H353" s="4" t="s">
        <v>2231</v>
      </c>
      <c r="I353" s="5" t="s">
        <v>2901</v>
      </c>
      <c r="J353" s="4" t="s">
        <v>2895</v>
      </c>
      <c r="K353" s="4" t="s">
        <v>2859</v>
      </c>
      <c r="L353" s="4">
        <v>2018</v>
      </c>
      <c r="M353" s="4" t="s">
        <v>27</v>
      </c>
      <c r="N353" s="4">
        <v>4.5</v>
      </c>
      <c r="O353" s="4">
        <v>4.5</v>
      </c>
      <c r="P353" s="4" t="s">
        <v>2234</v>
      </c>
      <c r="Q353" s="4">
        <v>4.5</v>
      </c>
      <c r="R353" s="4" t="s">
        <v>2235</v>
      </c>
    </row>
    <row r="354" spans="1:18" hidden="1" x14ac:dyDescent="0.35">
      <c r="A354" s="4" t="s">
        <v>2902</v>
      </c>
      <c r="B354" s="4" t="s">
        <v>4080</v>
      </c>
      <c r="C354" s="4" t="s">
        <v>2892</v>
      </c>
      <c r="D354" s="4" t="s">
        <v>2900</v>
      </c>
      <c r="E354" s="4" t="s">
        <v>389</v>
      </c>
      <c r="F354" s="4" t="s">
        <v>33</v>
      </c>
      <c r="G354" s="4" t="s">
        <v>137</v>
      </c>
      <c r="H354" s="4" t="s">
        <v>2231</v>
      </c>
      <c r="I354" s="5" t="s">
        <v>2901</v>
      </c>
      <c r="J354" s="4" t="s">
        <v>2895</v>
      </c>
      <c r="K354" s="4" t="s">
        <v>2859</v>
      </c>
      <c r="L354" s="4">
        <v>2018</v>
      </c>
      <c r="M354" s="4" t="s">
        <v>27</v>
      </c>
      <c r="N354" s="4">
        <v>4.5</v>
      </c>
      <c r="O354" s="4">
        <v>4.5</v>
      </c>
      <c r="P354" s="4" t="s">
        <v>2234</v>
      </c>
      <c r="Q354" s="4">
        <v>4.5</v>
      </c>
      <c r="R354" s="4" t="s">
        <v>2235</v>
      </c>
    </row>
    <row r="355" spans="1:18" hidden="1" x14ac:dyDescent="0.35">
      <c r="A355" s="4" t="s">
        <v>2903</v>
      </c>
      <c r="B355" s="4" t="s">
        <v>4080</v>
      </c>
      <c r="C355" s="4" t="s">
        <v>2892</v>
      </c>
      <c r="D355" s="4" t="s">
        <v>2900</v>
      </c>
      <c r="E355" s="4" t="s">
        <v>2904</v>
      </c>
      <c r="F355" s="4" t="s">
        <v>33</v>
      </c>
      <c r="G355" s="4" t="s">
        <v>137</v>
      </c>
      <c r="H355" s="4" t="s">
        <v>2231</v>
      </c>
      <c r="I355" s="5" t="s">
        <v>2901</v>
      </c>
      <c r="J355" s="4" t="s">
        <v>2895</v>
      </c>
      <c r="K355" s="4" t="s">
        <v>2859</v>
      </c>
      <c r="L355" s="4">
        <v>2018</v>
      </c>
      <c r="M355" s="4" t="s">
        <v>27</v>
      </c>
      <c r="N355" s="4">
        <v>4.5</v>
      </c>
      <c r="O355" s="4">
        <v>4.5</v>
      </c>
      <c r="P355" s="4" t="s">
        <v>2234</v>
      </c>
      <c r="Q355" s="4">
        <v>4.5</v>
      </c>
      <c r="R355" s="4" t="s">
        <v>2235</v>
      </c>
    </row>
    <row r="356" spans="1:18" hidden="1" x14ac:dyDescent="0.35">
      <c r="A356" s="4" t="s">
        <v>2905</v>
      </c>
      <c r="B356" s="4" t="s">
        <v>4080</v>
      </c>
      <c r="C356" s="4" t="s">
        <v>2892</v>
      </c>
      <c r="D356" s="4" t="s">
        <v>2900</v>
      </c>
      <c r="E356" s="4" t="s">
        <v>2355</v>
      </c>
      <c r="F356" s="4" t="s">
        <v>33</v>
      </c>
      <c r="G356" s="4" t="s">
        <v>137</v>
      </c>
      <c r="H356" s="4" t="s">
        <v>2231</v>
      </c>
      <c r="I356" s="5" t="s">
        <v>2901</v>
      </c>
      <c r="J356" s="4" t="s">
        <v>2895</v>
      </c>
      <c r="K356" s="4" t="s">
        <v>2859</v>
      </c>
      <c r="L356" s="4">
        <v>2018</v>
      </c>
      <c r="M356" s="4" t="s">
        <v>27</v>
      </c>
      <c r="N356" s="4">
        <v>4.5</v>
      </c>
      <c r="O356" s="4">
        <v>4.5</v>
      </c>
      <c r="P356" s="4" t="s">
        <v>2234</v>
      </c>
      <c r="Q356" s="4">
        <v>4.5</v>
      </c>
      <c r="R356" s="4" t="s">
        <v>2235</v>
      </c>
    </row>
    <row r="357" spans="1:18" hidden="1" x14ac:dyDescent="0.35">
      <c r="A357" s="4" t="s">
        <v>2906</v>
      </c>
      <c r="B357" s="4" t="s">
        <v>4080</v>
      </c>
      <c r="C357" s="4" t="s">
        <v>2892</v>
      </c>
      <c r="D357" s="4" t="s">
        <v>2900</v>
      </c>
      <c r="E357" s="4" t="s">
        <v>2907</v>
      </c>
      <c r="F357" s="4" t="s">
        <v>33</v>
      </c>
      <c r="G357" s="4" t="s">
        <v>137</v>
      </c>
      <c r="H357" s="4" t="s">
        <v>2231</v>
      </c>
      <c r="I357" s="5" t="s">
        <v>2901</v>
      </c>
      <c r="J357" s="4" t="s">
        <v>2895</v>
      </c>
      <c r="K357" s="4" t="s">
        <v>2859</v>
      </c>
      <c r="L357" s="4">
        <v>2018</v>
      </c>
      <c r="M357" s="4" t="s">
        <v>27</v>
      </c>
      <c r="N357" s="4">
        <v>4.5</v>
      </c>
      <c r="O357" s="4">
        <v>4.5</v>
      </c>
      <c r="P357" s="4" t="s">
        <v>2234</v>
      </c>
      <c r="Q357" s="4">
        <v>4.5</v>
      </c>
      <c r="R357" s="4" t="s">
        <v>2235</v>
      </c>
    </row>
    <row r="358" spans="1:18" hidden="1" x14ac:dyDescent="0.35">
      <c r="A358" s="4" t="s">
        <v>536</v>
      </c>
      <c r="B358" s="4" t="s">
        <v>4080</v>
      </c>
      <c r="C358" s="4" t="s">
        <v>532</v>
      </c>
      <c r="D358" s="4" t="s">
        <v>2908</v>
      </c>
      <c r="E358" s="4" t="s">
        <v>2909</v>
      </c>
      <c r="F358" s="4" t="s">
        <v>33</v>
      </c>
      <c r="G358" s="4" t="s">
        <v>137</v>
      </c>
      <c r="H358" s="4" t="s">
        <v>2231</v>
      </c>
      <c r="I358" s="5" t="s">
        <v>538</v>
      </c>
      <c r="J358" s="4" t="s">
        <v>539</v>
      </c>
      <c r="K358" s="4" t="s">
        <v>2859</v>
      </c>
      <c r="L358" s="4">
        <v>2022</v>
      </c>
      <c r="M358" s="4" t="s">
        <v>27</v>
      </c>
      <c r="N358" s="4">
        <v>12.18</v>
      </c>
      <c r="O358" s="4">
        <v>12.18</v>
      </c>
      <c r="P358" s="4" t="s">
        <v>2234</v>
      </c>
      <c r="Q358" s="4">
        <v>12.18</v>
      </c>
      <c r="R358" s="4" t="s">
        <v>2235</v>
      </c>
    </row>
    <row r="359" spans="1:18" hidden="1" x14ac:dyDescent="0.35">
      <c r="A359" s="4" t="s">
        <v>541</v>
      </c>
      <c r="B359" s="4" t="s">
        <v>4080</v>
      </c>
      <c r="C359" s="4" t="s">
        <v>532</v>
      </c>
      <c r="D359" s="4" t="s">
        <v>2908</v>
      </c>
      <c r="E359" s="4" t="s">
        <v>2910</v>
      </c>
      <c r="F359" s="4" t="s">
        <v>33</v>
      </c>
      <c r="G359" s="4" t="s">
        <v>137</v>
      </c>
      <c r="H359" s="4" t="s">
        <v>2231</v>
      </c>
      <c r="I359" s="5" t="s">
        <v>538</v>
      </c>
      <c r="J359" s="4" t="s">
        <v>539</v>
      </c>
      <c r="K359" s="4" t="s">
        <v>2859</v>
      </c>
      <c r="L359" s="4">
        <v>2022</v>
      </c>
      <c r="M359" s="4" t="s">
        <v>27</v>
      </c>
      <c r="N359" s="4">
        <v>12.18</v>
      </c>
      <c r="O359" s="4">
        <v>12.18</v>
      </c>
      <c r="P359" s="4" t="s">
        <v>2234</v>
      </c>
      <c r="Q359" s="4">
        <v>12.18</v>
      </c>
      <c r="R359" s="4" t="s">
        <v>2235</v>
      </c>
    </row>
    <row r="360" spans="1:18" hidden="1" x14ac:dyDescent="0.35">
      <c r="A360" s="4" t="s">
        <v>543</v>
      </c>
      <c r="B360" s="4" t="s">
        <v>4080</v>
      </c>
      <c r="C360" s="4" t="s">
        <v>532</v>
      </c>
      <c r="D360" s="4" t="s">
        <v>2908</v>
      </c>
      <c r="E360" s="4" t="s">
        <v>2911</v>
      </c>
      <c r="F360" s="4" t="s">
        <v>33</v>
      </c>
      <c r="G360" s="4" t="s">
        <v>137</v>
      </c>
      <c r="H360" s="4" t="s">
        <v>2231</v>
      </c>
      <c r="I360" s="5" t="s">
        <v>538</v>
      </c>
      <c r="J360" s="4" t="s">
        <v>539</v>
      </c>
      <c r="K360" s="4" t="s">
        <v>2859</v>
      </c>
      <c r="L360" s="4">
        <v>2022</v>
      </c>
      <c r="M360" s="4" t="s">
        <v>27</v>
      </c>
      <c r="N360" s="4">
        <v>12.18</v>
      </c>
      <c r="O360" s="4">
        <v>12.18</v>
      </c>
      <c r="P360" s="4" t="s">
        <v>2234</v>
      </c>
      <c r="Q360" s="4">
        <v>12.18</v>
      </c>
      <c r="R360" s="4" t="s">
        <v>2235</v>
      </c>
    </row>
    <row r="361" spans="1:18" hidden="1" x14ac:dyDescent="0.35">
      <c r="A361" s="4" t="s">
        <v>545</v>
      </c>
      <c r="B361" s="4" t="s">
        <v>4080</v>
      </c>
      <c r="C361" s="4" t="s">
        <v>532</v>
      </c>
      <c r="D361" s="4" t="s">
        <v>2908</v>
      </c>
      <c r="E361" s="4" t="s">
        <v>2912</v>
      </c>
      <c r="F361" s="4" t="s">
        <v>33</v>
      </c>
      <c r="G361" s="4" t="s">
        <v>137</v>
      </c>
      <c r="H361" s="4" t="s">
        <v>2231</v>
      </c>
      <c r="I361" s="5" t="s">
        <v>538</v>
      </c>
      <c r="J361" s="4" t="s">
        <v>539</v>
      </c>
      <c r="K361" s="4" t="s">
        <v>2859</v>
      </c>
      <c r="L361" s="4">
        <v>2022</v>
      </c>
      <c r="M361" s="4" t="s">
        <v>27</v>
      </c>
      <c r="N361" s="4">
        <v>12.18</v>
      </c>
      <c r="O361" s="4">
        <v>12.18</v>
      </c>
      <c r="P361" s="4" t="s">
        <v>2234</v>
      </c>
      <c r="Q361" s="4">
        <v>12.18</v>
      </c>
      <c r="R361" s="4" t="s">
        <v>2235</v>
      </c>
    </row>
    <row r="362" spans="1:18" hidden="1" x14ac:dyDescent="0.35">
      <c r="A362" s="4" t="s">
        <v>547</v>
      </c>
      <c r="B362" s="4" t="s">
        <v>4080</v>
      </c>
      <c r="C362" s="4" t="s">
        <v>532</v>
      </c>
      <c r="D362" s="4" t="s">
        <v>2908</v>
      </c>
      <c r="E362" s="4" t="s">
        <v>2913</v>
      </c>
      <c r="F362" s="4" t="s">
        <v>33</v>
      </c>
      <c r="G362" s="4" t="s">
        <v>137</v>
      </c>
      <c r="H362" s="4" t="s">
        <v>2231</v>
      </c>
      <c r="I362" s="5" t="s">
        <v>538</v>
      </c>
      <c r="J362" s="4" t="s">
        <v>539</v>
      </c>
      <c r="K362" s="4" t="s">
        <v>2859</v>
      </c>
      <c r="L362" s="4">
        <v>2022</v>
      </c>
      <c r="M362" s="4" t="s">
        <v>27</v>
      </c>
      <c r="N362" s="4">
        <v>12.18</v>
      </c>
      <c r="O362" s="4">
        <v>12.18</v>
      </c>
      <c r="P362" s="4" t="s">
        <v>2234</v>
      </c>
      <c r="Q362" s="4">
        <v>12.18</v>
      </c>
      <c r="R362" s="4" t="s">
        <v>2235</v>
      </c>
    </row>
    <row r="363" spans="1:18" hidden="1" x14ac:dyDescent="0.35">
      <c r="A363" s="4" t="s">
        <v>551</v>
      </c>
      <c r="B363" s="4" t="s">
        <v>4080</v>
      </c>
      <c r="C363" s="4" t="s">
        <v>2914</v>
      </c>
      <c r="D363" s="4" t="s">
        <v>2915</v>
      </c>
      <c r="E363" s="4" t="s">
        <v>2747</v>
      </c>
      <c r="F363" s="4" t="s">
        <v>33</v>
      </c>
      <c r="G363" s="4" t="s">
        <v>46</v>
      </c>
      <c r="H363" s="4" t="s">
        <v>2231</v>
      </c>
      <c r="I363" s="5" t="s">
        <v>2916</v>
      </c>
      <c r="J363" s="4" t="s">
        <v>539</v>
      </c>
      <c r="K363" s="4" t="s">
        <v>2859</v>
      </c>
      <c r="L363" s="4">
        <v>1996</v>
      </c>
      <c r="M363" s="4" t="s">
        <v>27</v>
      </c>
      <c r="N363" s="4">
        <v>39</v>
      </c>
      <c r="O363" s="4">
        <v>39</v>
      </c>
      <c r="P363" s="4" t="s">
        <v>2234</v>
      </c>
      <c r="Q363" s="4">
        <v>39</v>
      </c>
      <c r="R363" s="4" t="s">
        <v>2235</v>
      </c>
    </row>
    <row r="364" spans="1:18" hidden="1" x14ac:dyDescent="0.35">
      <c r="A364" s="4" t="s">
        <v>553</v>
      </c>
      <c r="B364" s="4" t="s">
        <v>4080</v>
      </c>
      <c r="C364" s="4" t="s">
        <v>2914</v>
      </c>
      <c r="D364" s="4" t="s">
        <v>2915</v>
      </c>
      <c r="E364" s="4" t="s">
        <v>1039</v>
      </c>
      <c r="F364" s="4" t="s">
        <v>33</v>
      </c>
      <c r="G364" s="4" t="s">
        <v>46</v>
      </c>
      <c r="H364" s="4" t="s">
        <v>2231</v>
      </c>
      <c r="I364" s="5" t="s">
        <v>2916</v>
      </c>
      <c r="J364" s="4" t="s">
        <v>539</v>
      </c>
      <c r="K364" s="4" t="s">
        <v>2859</v>
      </c>
      <c r="L364" s="4">
        <v>1996</v>
      </c>
      <c r="M364" s="4" t="s">
        <v>27</v>
      </c>
      <c r="N364" s="4">
        <v>39</v>
      </c>
      <c r="O364" s="4">
        <v>39</v>
      </c>
      <c r="P364" s="4" t="s">
        <v>2234</v>
      </c>
      <c r="Q364" s="4">
        <v>39</v>
      </c>
      <c r="R364" s="4" t="s">
        <v>2235</v>
      </c>
    </row>
    <row r="365" spans="1:18" x14ac:dyDescent="0.35">
      <c r="A365" s="4" t="s">
        <v>1562</v>
      </c>
      <c r="B365" s="4" t="s">
        <v>4080</v>
      </c>
      <c r="C365" s="4" t="s">
        <v>315</v>
      </c>
      <c r="D365" s="4" t="s">
        <v>2284</v>
      </c>
      <c r="E365" s="4" t="s">
        <v>1563</v>
      </c>
      <c r="F365" s="4" t="s">
        <v>33</v>
      </c>
      <c r="G365" s="4" t="s">
        <v>409</v>
      </c>
      <c r="H365" s="4" t="s">
        <v>2231</v>
      </c>
      <c r="I365" s="5">
        <v>36266</v>
      </c>
      <c r="J365" s="4" t="s">
        <v>1564</v>
      </c>
      <c r="K365" s="4" t="s">
        <v>865</v>
      </c>
      <c r="L365" s="4">
        <v>1967</v>
      </c>
      <c r="M365" s="4" t="s">
        <v>27</v>
      </c>
      <c r="N365" s="4">
        <v>12.07</v>
      </c>
      <c r="O365" s="4">
        <v>12.07</v>
      </c>
      <c r="P365" s="4" t="s">
        <v>2234</v>
      </c>
      <c r="Q365" s="4">
        <v>12.07</v>
      </c>
      <c r="R365" s="4" t="s">
        <v>2235</v>
      </c>
    </row>
    <row r="366" spans="1:18" hidden="1" x14ac:dyDescent="0.35">
      <c r="A366" s="4" t="s">
        <v>555</v>
      </c>
      <c r="B366" s="4" t="s">
        <v>4080</v>
      </c>
      <c r="C366" s="4" t="s">
        <v>2914</v>
      </c>
      <c r="D366" s="4" t="s">
        <v>2915</v>
      </c>
      <c r="E366" s="4" t="s">
        <v>2917</v>
      </c>
      <c r="F366" s="4" t="s">
        <v>33</v>
      </c>
      <c r="G366" s="4" t="s">
        <v>46</v>
      </c>
      <c r="H366" s="4" t="s">
        <v>2231</v>
      </c>
      <c r="I366" s="5" t="s">
        <v>2916</v>
      </c>
      <c r="J366" s="4" t="s">
        <v>539</v>
      </c>
      <c r="K366" s="4" t="s">
        <v>2859</v>
      </c>
      <c r="L366" s="4">
        <v>1996</v>
      </c>
      <c r="M366" s="4" t="s">
        <v>27</v>
      </c>
      <c r="N366" s="4">
        <v>39</v>
      </c>
      <c r="O366" s="4">
        <v>39</v>
      </c>
      <c r="P366" s="4" t="s">
        <v>2234</v>
      </c>
      <c r="Q366" s="4">
        <v>39</v>
      </c>
      <c r="R366" s="4" t="s">
        <v>2235</v>
      </c>
    </row>
    <row r="367" spans="1:18" hidden="1" x14ac:dyDescent="0.35">
      <c r="A367" s="4" t="s">
        <v>549</v>
      </c>
      <c r="B367" s="4" t="s">
        <v>4080</v>
      </c>
      <c r="C367" s="4" t="s">
        <v>2914</v>
      </c>
      <c r="D367" s="4" t="s">
        <v>2915</v>
      </c>
      <c r="E367" s="4" t="s">
        <v>2199</v>
      </c>
      <c r="F367" s="4" t="s">
        <v>33</v>
      </c>
      <c r="G367" s="4" t="s">
        <v>46</v>
      </c>
      <c r="H367" s="4" t="s">
        <v>2231</v>
      </c>
      <c r="I367" s="5" t="s">
        <v>2916</v>
      </c>
      <c r="J367" s="4" t="s">
        <v>539</v>
      </c>
      <c r="K367" s="4" t="s">
        <v>2859</v>
      </c>
      <c r="L367" s="4">
        <v>1996</v>
      </c>
      <c r="M367" s="4" t="s">
        <v>27</v>
      </c>
      <c r="N367" s="4">
        <v>25</v>
      </c>
      <c r="O367" s="4">
        <v>25</v>
      </c>
      <c r="P367" s="4" t="s">
        <v>2234</v>
      </c>
      <c r="Q367" s="4">
        <v>25</v>
      </c>
      <c r="R367" s="4" t="s">
        <v>2235</v>
      </c>
    </row>
    <row r="368" spans="1:18" hidden="1" x14ac:dyDescent="0.35">
      <c r="A368" s="4" t="s">
        <v>557</v>
      </c>
      <c r="B368" s="4" t="s">
        <v>4080</v>
      </c>
      <c r="C368" s="4" t="s">
        <v>2914</v>
      </c>
      <c r="D368" s="4" t="s">
        <v>2915</v>
      </c>
      <c r="E368" s="4" t="s">
        <v>1043</v>
      </c>
      <c r="F368" s="4" t="s">
        <v>33</v>
      </c>
      <c r="G368" s="4" t="s">
        <v>46</v>
      </c>
      <c r="H368" s="4" t="s">
        <v>2231</v>
      </c>
      <c r="I368" s="5" t="s">
        <v>2916</v>
      </c>
      <c r="J368" s="4" t="s">
        <v>539</v>
      </c>
      <c r="K368" s="4" t="s">
        <v>2859</v>
      </c>
      <c r="L368" s="4">
        <v>1996</v>
      </c>
      <c r="M368" s="4" t="s">
        <v>27</v>
      </c>
      <c r="N368" s="4">
        <v>39</v>
      </c>
      <c r="O368" s="4">
        <v>39</v>
      </c>
      <c r="P368" s="4" t="s">
        <v>2234</v>
      </c>
      <c r="Q368" s="4">
        <v>39</v>
      </c>
      <c r="R368" s="4" t="s">
        <v>2235</v>
      </c>
    </row>
    <row r="369" spans="1:18" hidden="1" x14ac:dyDescent="0.35">
      <c r="A369" s="4" t="s">
        <v>2918</v>
      </c>
      <c r="B369" s="4" t="s">
        <v>4080</v>
      </c>
      <c r="C369" s="4" t="s">
        <v>2854</v>
      </c>
      <c r="D369" s="4" t="s">
        <v>2919</v>
      </c>
      <c r="E369" s="4" t="s">
        <v>2856</v>
      </c>
      <c r="F369" s="4" t="s">
        <v>2255</v>
      </c>
      <c r="G369" s="4" t="s">
        <v>2256</v>
      </c>
      <c r="H369" s="4" t="s">
        <v>2249</v>
      </c>
      <c r="I369" s="5" t="s">
        <v>2920</v>
      </c>
      <c r="J369" s="4" t="s">
        <v>2921</v>
      </c>
      <c r="K369" s="4" t="s">
        <v>2859</v>
      </c>
      <c r="L369" s="4">
        <v>1932</v>
      </c>
      <c r="M369" s="4" t="s">
        <v>27</v>
      </c>
      <c r="N369" s="4">
        <v>39.9</v>
      </c>
      <c r="O369" s="4">
        <v>39.9</v>
      </c>
      <c r="P369" s="4" t="s">
        <v>2255</v>
      </c>
      <c r="Q369" s="4">
        <v>39.9</v>
      </c>
      <c r="R369" s="4" t="s">
        <v>2255</v>
      </c>
    </row>
    <row r="370" spans="1:18" hidden="1" x14ac:dyDescent="0.35">
      <c r="A370" s="4" t="s">
        <v>2922</v>
      </c>
      <c r="B370" s="4" t="s">
        <v>4080</v>
      </c>
      <c r="C370" s="4" t="s">
        <v>2854</v>
      </c>
      <c r="D370" s="4" t="s">
        <v>2919</v>
      </c>
      <c r="E370" s="4" t="s">
        <v>2861</v>
      </c>
      <c r="F370" s="4" t="s">
        <v>2255</v>
      </c>
      <c r="G370" s="4" t="s">
        <v>2256</v>
      </c>
      <c r="H370" s="4" t="s">
        <v>2249</v>
      </c>
      <c r="I370" s="5" t="s">
        <v>2920</v>
      </c>
      <c r="J370" s="4" t="s">
        <v>2921</v>
      </c>
      <c r="K370" s="4" t="s">
        <v>2859</v>
      </c>
      <c r="L370" s="4">
        <v>1932</v>
      </c>
      <c r="M370" s="4" t="s">
        <v>27</v>
      </c>
      <c r="N370" s="4">
        <v>39.9</v>
      </c>
      <c r="O370" s="4">
        <v>39.9</v>
      </c>
      <c r="P370" s="4" t="s">
        <v>2255</v>
      </c>
      <c r="Q370" s="4">
        <v>39.9</v>
      </c>
      <c r="R370" s="4" t="s">
        <v>2255</v>
      </c>
    </row>
    <row r="371" spans="1:18" hidden="1" x14ac:dyDescent="0.35">
      <c r="A371" s="4" t="s">
        <v>580</v>
      </c>
      <c r="B371" s="4" t="s">
        <v>4080</v>
      </c>
      <c r="C371" s="4" t="s">
        <v>2923</v>
      </c>
      <c r="D371" s="4" t="s">
        <v>2924</v>
      </c>
      <c r="E371" s="4" t="s">
        <v>2227</v>
      </c>
      <c r="F371" s="4" t="s">
        <v>33</v>
      </c>
      <c r="G371" s="4" t="s">
        <v>137</v>
      </c>
      <c r="H371" s="4" t="s">
        <v>2231</v>
      </c>
      <c r="I371" s="5" t="s">
        <v>2925</v>
      </c>
      <c r="J371" s="4" t="s">
        <v>584</v>
      </c>
      <c r="K371" s="4" t="s">
        <v>132</v>
      </c>
      <c r="L371" s="4">
        <v>2014</v>
      </c>
      <c r="M371" s="4" t="s">
        <v>27</v>
      </c>
      <c r="N371" s="4">
        <v>12.75</v>
      </c>
      <c r="O371" s="4">
        <v>12.75</v>
      </c>
      <c r="P371" s="4" t="s">
        <v>2234</v>
      </c>
      <c r="Q371" s="4">
        <v>12.75</v>
      </c>
      <c r="R371" s="4" t="s">
        <v>2235</v>
      </c>
    </row>
    <row r="372" spans="1:18" hidden="1" x14ac:dyDescent="0.35">
      <c r="A372" s="4" t="s">
        <v>2926</v>
      </c>
      <c r="B372" s="4" t="s">
        <v>4080</v>
      </c>
      <c r="C372" s="4" t="s">
        <v>1878</v>
      </c>
      <c r="D372" s="4" t="s">
        <v>2927</v>
      </c>
      <c r="E372" s="4" t="s">
        <v>2831</v>
      </c>
      <c r="F372" s="4" t="s">
        <v>33</v>
      </c>
      <c r="G372" s="4" t="s">
        <v>137</v>
      </c>
      <c r="H372" s="4" t="s">
        <v>2231</v>
      </c>
      <c r="I372" s="5" t="s">
        <v>583</v>
      </c>
      <c r="J372" s="4" t="s">
        <v>584</v>
      </c>
      <c r="K372" s="4" t="s">
        <v>132</v>
      </c>
      <c r="L372" s="4">
        <v>2017</v>
      </c>
      <c r="M372" s="4" t="s">
        <v>27</v>
      </c>
      <c r="N372" s="4">
        <v>3.74</v>
      </c>
      <c r="O372" s="4">
        <v>3.74</v>
      </c>
      <c r="P372" s="4" t="s">
        <v>2234</v>
      </c>
      <c r="Q372" s="4">
        <v>3.74</v>
      </c>
      <c r="R372" s="4" t="s">
        <v>2235</v>
      </c>
    </row>
    <row r="373" spans="1:18" hidden="1" x14ac:dyDescent="0.35">
      <c r="A373" s="4" t="s">
        <v>2928</v>
      </c>
      <c r="B373" s="4" t="s">
        <v>4080</v>
      </c>
      <c r="C373" s="4" t="s">
        <v>2854</v>
      </c>
      <c r="D373" s="4" t="s">
        <v>2929</v>
      </c>
      <c r="E373" s="4" t="s">
        <v>2856</v>
      </c>
      <c r="F373" s="4" t="s">
        <v>2255</v>
      </c>
      <c r="G373" s="4" t="s">
        <v>2256</v>
      </c>
      <c r="H373" s="4" t="s">
        <v>2249</v>
      </c>
      <c r="I373" s="5" t="s">
        <v>2930</v>
      </c>
      <c r="J373" s="4" t="s">
        <v>2929</v>
      </c>
      <c r="K373" s="4" t="s">
        <v>132</v>
      </c>
      <c r="L373" s="4">
        <v>1980</v>
      </c>
      <c r="M373" s="4" t="s">
        <v>27</v>
      </c>
      <c r="N373" s="4">
        <v>174.2</v>
      </c>
      <c r="O373" s="4">
        <v>174.2</v>
      </c>
      <c r="P373" s="4" t="s">
        <v>2255</v>
      </c>
      <c r="Q373" s="4">
        <v>174.2</v>
      </c>
      <c r="R373" s="4" t="s">
        <v>2255</v>
      </c>
    </row>
    <row r="374" spans="1:18" hidden="1" x14ac:dyDescent="0.35">
      <c r="A374" s="4" t="s">
        <v>2931</v>
      </c>
      <c r="B374" s="4" t="s">
        <v>4080</v>
      </c>
      <c r="C374" s="4" t="s">
        <v>2854</v>
      </c>
      <c r="D374" s="4" t="s">
        <v>2929</v>
      </c>
      <c r="E374" s="4" t="s">
        <v>2861</v>
      </c>
      <c r="F374" s="4" t="s">
        <v>2255</v>
      </c>
      <c r="G374" s="4" t="s">
        <v>2256</v>
      </c>
      <c r="H374" s="4" t="s">
        <v>2249</v>
      </c>
      <c r="I374" s="5" t="s">
        <v>2930</v>
      </c>
      <c r="J374" s="4" t="s">
        <v>2929</v>
      </c>
      <c r="K374" s="4" t="s">
        <v>132</v>
      </c>
      <c r="L374" s="4">
        <v>1980</v>
      </c>
      <c r="M374" s="4" t="s">
        <v>27</v>
      </c>
      <c r="N374" s="4">
        <v>174.2</v>
      </c>
      <c r="O374" s="4">
        <v>174.2</v>
      </c>
      <c r="P374" s="4" t="s">
        <v>2255</v>
      </c>
      <c r="Q374" s="4">
        <v>174.2</v>
      </c>
      <c r="R374" s="4" t="s">
        <v>2255</v>
      </c>
    </row>
    <row r="375" spans="1:18" hidden="1" x14ac:dyDescent="0.35">
      <c r="A375" s="4" t="s">
        <v>2932</v>
      </c>
      <c r="B375" s="4" t="s">
        <v>4080</v>
      </c>
      <c r="C375" s="4" t="s">
        <v>2854</v>
      </c>
      <c r="D375" s="4" t="s">
        <v>2929</v>
      </c>
      <c r="E375" s="4" t="s">
        <v>2866</v>
      </c>
      <c r="F375" s="4" t="s">
        <v>2255</v>
      </c>
      <c r="G375" s="4" t="s">
        <v>2256</v>
      </c>
      <c r="H375" s="4" t="s">
        <v>2249</v>
      </c>
      <c r="I375" s="5" t="s">
        <v>2930</v>
      </c>
      <c r="J375" s="4" t="s">
        <v>2929</v>
      </c>
      <c r="K375" s="4" t="s">
        <v>132</v>
      </c>
      <c r="L375" s="4">
        <v>1980</v>
      </c>
      <c r="M375" s="4" t="s">
        <v>27</v>
      </c>
      <c r="N375" s="4">
        <v>174.2</v>
      </c>
      <c r="O375" s="4">
        <v>174.2</v>
      </c>
      <c r="P375" s="4" t="s">
        <v>2255</v>
      </c>
      <c r="Q375" s="4">
        <v>174.2</v>
      </c>
      <c r="R375" s="4" t="s">
        <v>2255</v>
      </c>
    </row>
    <row r="376" spans="1:18" hidden="1" x14ac:dyDescent="0.35">
      <c r="A376" s="4" t="s">
        <v>2933</v>
      </c>
      <c r="B376" s="4" t="s">
        <v>4080</v>
      </c>
      <c r="C376" s="4" t="s">
        <v>2854</v>
      </c>
      <c r="D376" s="4" t="s">
        <v>2929</v>
      </c>
      <c r="E376" s="4" t="s">
        <v>2868</v>
      </c>
      <c r="F376" s="4" t="s">
        <v>2255</v>
      </c>
      <c r="G376" s="4" t="s">
        <v>2256</v>
      </c>
      <c r="H376" s="4" t="s">
        <v>2249</v>
      </c>
      <c r="I376" s="5" t="s">
        <v>2930</v>
      </c>
      <c r="J376" s="4" t="s">
        <v>2929</v>
      </c>
      <c r="K376" s="4" t="s">
        <v>132</v>
      </c>
      <c r="L376" s="4">
        <v>1980</v>
      </c>
      <c r="M376" s="4" t="s">
        <v>27</v>
      </c>
      <c r="N376" s="4">
        <v>174.2</v>
      </c>
      <c r="O376" s="4">
        <v>174.2</v>
      </c>
      <c r="P376" s="4" t="s">
        <v>2255</v>
      </c>
      <c r="Q376" s="4">
        <v>174.2</v>
      </c>
      <c r="R376" s="4" t="s">
        <v>2255</v>
      </c>
    </row>
    <row r="377" spans="1:18" hidden="1" x14ac:dyDescent="0.35">
      <c r="A377" s="4" t="s">
        <v>2934</v>
      </c>
      <c r="B377" s="4" t="s">
        <v>4080</v>
      </c>
      <c r="C377" s="4" t="s">
        <v>2854</v>
      </c>
      <c r="D377" s="4" t="s">
        <v>2929</v>
      </c>
      <c r="E377" s="4" t="s">
        <v>2870</v>
      </c>
      <c r="F377" s="4" t="s">
        <v>2255</v>
      </c>
      <c r="G377" s="4" t="s">
        <v>2256</v>
      </c>
      <c r="H377" s="4" t="s">
        <v>2249</v>
      </c>
      <c r="I377" s="5" t="s">
        <v>2930</v>
      </c>
      <c r="J377" s="4" t="s">
        <v>2929</v>
      </c>
      <c r="K377" s="4" t="s">
        <v>132</v>
      </c>
      <c r="L377" s="4">
        <v>1980</v>
      </c>
      <c r="M377" s="4" t="s">
        <v>27</v>
      </c>
      <c r="N377" s="4">
        <v>174.2</v>
      </c>
      <c r="O377" s="4">
        <v>174.2</v>
      </c>
      <c r="P377" s="4" t="s">
        <v>2255</v>
      </c>
      <c r="Q377" s="4">
        <v>174.2</v>
      </c>
      <c r="R377" s="4" t="s">
        <v>2255</v>
      </c>
    </row>
    <row r="378" spans="1:18" hidden="1" x14ac:dyDescent="0.35">
      <c r="A378" s="4" t="s">
        <v>2935</v>
      </c>
      <c r="B378" s="4" t="s">
        <v>4080</v>
      </c>
      <c r="C378" s="4" t="s">
        <v>2854</v>
      </c>
      <c r="D378" s="4" t="s">
        <v>2929</v>
      </c>
      <c r="E378" s="4" t="s">
        <v>2872</v>
      </c>
      <c r="F378" s="4" t="s">
        <v>2255</v>
      </c>
      <c r="G378" s="4" t="s">
        <v>2256</v>
      </c>
      <c r="H378" s="4" t="s">
        <v>2249</v>
      </c>
      <c r="I378" s="5" t="s">
        <v>2930</v>
      </c>
      <c r="J378" s="4" t="s">
        <v>2929</v>
      </c>
      <c r="K378" s="4" t="s">
        <v>132</v>
      </c>
      <c r="L378" s="4">
        <v>1980</v>
      </c>
      <c r="M378" s="4" t="s">
        <v>27</v>
      </c>
      <c r="N378" s="4">
        <v>174.2</v>
      </c>
      <c r="O378" s="4">
        <v>174.2</v>
      </c>
      <c r="P378" s="4" t="s">
        <v>2255</v>
      </c>
      <c r="Q378" s="4">
        <v>174.2</v>
      </c>
      <c r="R378" s="4" t="s">
        <v>2255</v>
      </c>
    </row>
    <row r="379" spans="1:18" hidden="1" x14ac:dyDescent="0.35">
      <c r="A379" s="4" t="s">
        <v>180</v>
      </c>
      <c r="B379" s="4" t="s">
        <v>4080</v>
      </c>
      <c r="C379" s="4" t="s">
        <v>2936</v>
      </c>
      <c r="D379" s="4" t="s">
        <v>2937</v>
      </c>
      <c r="E379" s="4" t="s">
        <v>2485</v>
      </c>
      <c r="F379" s="4" t="s">
        <v>33</v>
      </c>
      <c r="G379" s="4" t="s">
        <v>137</v>
      </c>
      <c r="H379" s="4" t="s">
        <v>2231</v>
      </c>
      <c r="I379" s="5" t="s">
        <v>183</v>
      </c>
      <c r="J379" s="4" t="s">
        <v>184</v>
      </c>
      <c r="K379" s="4" t="s">
        <v>132</v>
      </c>
      <c r="L379" s="4">
        <v>2023</v>
      </c>
      <c r="M379" s="4" t="s">
        <v>27</v>
      </c>
      <c r="N379" s="4">
        <v>12.5</v>
      </c>
      <c r="O379" s="4">
        <v>12.5</v>
      </c>
      <c r="P379" s="4" t="s">
        <v>2234</v>
      </c>
      <c r="Q379" s="4">
        <v>12.5</v>
      </c>
      <c r="R379" s="4" t="s">
        <v>2235</v>
      </c>
    </row>
    <row r="380" spans="1:18" hidden="1" x14ac:dyDescent="0.35">
      <c r="A380" s="4" t="s">
        <v>186</v>
      </c>
      <c r="B380" s="4" t="s">
        <v>4080</v>
      </c>
      <c r="C380" s="4" t="s">
        <v>2936</v>
      </c>
      <c r="D380" s="4" t="s">
        <v>2937</v>
      </c>
      <c r="E380" s="4" t="s">
        <v>2938</v>
      </c>
      <c r="F380" s="4" t="s">
        <v>33</v>
      </c>
      <c r="G380" s="4" t="s">
        <v>137</v>
      </c>
      <c r="H380" s="4" t="s">
        <v>2231</v>
      </c>
      <c r="I380" s="5" t="s">
        <v>183</v>
      </c>
      <c r="J380" s="4" t="s">
        <v>184</v>
      </c>
      <c r="K380" s="4" t="s">
        <v>132</v>
      </c>
      <c r="L380" s="4">
        <v>2023</v>
      </c>
      <c r="M380" s="4" t="s">
        <v>27</v>
      </c>
      <c r="N380" s="4">
        <v>12.5</v>
      </c>
      <c r="O380" s="4">
        <v>12.5</v>
      </c>
      <c r="P380" s="4" t="s">
        <v>2234</v>
      </c>
      <c r="Q380" s="4">
        <v>12.5</v>
      </c>
      <c r="R380" s="4" t="s">
        <v>2235</v>
      </c>
    </row>
    <row r="381" spans="1:18" hidden="1" x14ac:dyDescent="0.35">
      <c r="A381" s="4" t="s">
        <v>188</v>
      </c>
      <c r="B381" s="4" t="s">
        <v>4080</v>
      </c>
      <c r="C381" s="4" t="s">
        <v>2936</v>
      </c>
      <c r="D381" s="4" t="s">
        <v>2937</v>
      </c>
      <c r="E381" s="4" t="s">
        <v>2498</v>
      </c>
      <c r="F381" s="4" t="s">
        <v>33</v>
      </c>
      <c r="G381" s="4" t="s">
        <v>137</v>
      </c>
      <c r="H381" s="4" t="s">
        <v>2231</v>
      </c>
      <c r="I381" s="5" t="s">
        <v>183</v>
      </c>
      <c r="J381" s="4" t="s">
        <v>184</v>
      </c>
      <c r="K381" s="4" t="s">
        <v>132</v>
      </c>
      <c r="L381" s="4">
        <v>2023</v>
      </c>
      <c r="M381" s="4" t="s">
        <v>27</v>
      </c>
      <c r="N381" s="4">
        <v>12.5</v>
      </c>
      <c r="O381" s="4">
        <v>12.5</v>
      </c>
      <c r="P381" s="4" t="s">
        <v>2234</v>
      </c>
      <c r="Q381" s="4">
        <v>12.5</v>
      </c>
      <c r="R381" s="4" t="s">
        <v>2235</v>
      </c>
    </row>
    <row r="382" spans="1:18" hidden="1" x14ac:dyDescent="0.35">
      <c r="A382" s="4" t="s">
        <v>190</v>
      </c>
      <c r="B382" s="4" t="s">
        <v>4080</v>
      </c>
      <c r="C382" s="4" t="s">
        <v>2936</v>
      </c>
      <c r="D382" s="4" t="s">
        <v>2937</v>
      </c>
      <c r="E382" s="4" t="s">
        <v>2500</v>
      </c>
      <c r="F382" s="4" t="s">
        <v>33</v>
      </c>
      <c r="G382" s="4" t="s">
        <v>137</v>
      </c>
      <c r="H382" s="4" t="s">
        <v>2231</v>
      </c>
      <c r="I382" s="5" t="s">
        <v>183</v>
      </c>
      <c r="J382" s="4" t="s">
        <v>184</v>
      </c>
      <c r="K382" s="4" t="s">
        <v>132</v>
      </c>
      <c r="L382" s="4">
        <v>2023</v>
      </c>
      <c r="M382" s="4" t="s">
        <v>27</v>
      </c>
      <c r="N382" s="4">
        <v>12.5</v>
      </c>
      <c r="O382" s="4">
        <v>12.5</v>
      </c>
      <c r="P382" s="4" t="s">
        <v>2234</v>
      </c>
      <c r="Q382" s="4">
        <v>12.5</v>
      </c>
      <c r="R382" s="4" t="s">
        <v>2235</v>
      </c>
    </row>
    <row r="383" spans="1:18" hidden="1" x14ac:dyDescent="0.35">
      <c r="A383" s="4" t="s">
        <v>192</v>
      </c>
      <c r="B383" s="4" t="s">
        <v>4080</v>
      </c>
      <c r="C383" s="4" t="s">
        <v>2936</v>
      </c>
      <c r="D383" s="4" t="s">
        <v>2937</v>
      </c>
      <c r="E383" s="4" t="s">
        <v>2502</v>
      </c>
      <c r="F383" s="4" t="s">
        <v>33</v>
      </c>
      <c r="G383" s="4" t="s">
        <v>137</v>
      </c>
      <c r="H383" s="4" t="s">
        <v>2231</v>
      </c>
      <c r="I383" s="5" t="s">
        <v>183</v>
      </c>
      <c r="J383" s="4" t="s">
        <v>184</v>
      </c>
      <c r="K383" s="4" t="s">
        <v>132</v>
      </c>
      <c r="L383" s="4">
        <v>2023</v>
      </c>
      <c r="M383" s="4" t="s">
        <v>27</v>
      </c>
      <c r="N383" s="4">
        <v>12.5</v>
      </c>
      <c r="O383" s="4">
        <v>12.5</v>
      </c>
      <c r="P383" s="4" t="s">
        <v>2234</v>
      </c>
      <c r="Q383" s="4">
        <v>12.5</v>
      </c>
      <c r="R383" s="4" t="s">
        <v>2235</v>
      </c>
    </row>
    <row r="384" spans="1:18" hidden="1" x14ac:dyDescent="0.35">
      <c r="A384" s="4" t="s">
        <v>194</v>
      </c>
      <c r="B384" s="4" t="s">
        <v>4080</v>
      </c>
      <c r="C384" s="4" t="s">
        <v>2936</v>
      </c>
      <c r="D384" s="4" t="s">
        <v>2937</v>
      </c>
      <c r="E384" s="4" t="s">
        <v>2504</v>
      </c>
      <c r="F384" s="4" t="s">
        <v>33</v>
      </c>
      <c r="G384" s="4" t="s">
        <v>137</v>
      </c>
      <c r="H384" s="4" t="s">
        <v>2231</v>
      </c>
      <c r="I384" s="5" t="s">
        <v>183</v>
      </c>
      <c r="J384" s="4" t="s">
        <v>184</v>
      </c>
      <c r="K384" s="4" t="s">
        <v>132</v>
      </c>
      <c r="L384" s="4">
        <v>2023</v>
      </c>
      <c r="M384" s="4" t="s">
        <v>27</v>
      </c>
      <c r="N384" s="4">
        <v>12.5</v>
      </c>
      <c r="O384" s="4">
        <v>12.5</v>
      </c>
      <c r="P384" s="4" t="s">
        <v>2234</v>
      </c>
      <c r="Q384" s="4">
        <v>12.5</v>
      </c>
      <c r="R384" s="4" t="s">
        <v>2235</v>
      </c>
    </row>
    <row r="385" spans="1:18" hidden="1" x14ac:dyDescent="0.35">
      <c r="A385" s="4" t="s">
        <v>196</v>
      </c>
      <c r="B385" s="4" t="s">
        <v>4080</v>
      </c>
      <c r="C385" s="4" t="s">
        <v>2936</v>
      </c>
      <c r="D385" s="4" t="s">
        <v>2937</v>
      </c>
      <c r="E385" s="4" t="s">
        <v>2483</v>
      </c>
      <c r="F385" s="4" t="s">
        <v>33</v>
      </c>
      <c r="G385" s="4" t="s">
        <v>137</v>
      </c>
      <c r="H385" s="4" t="s">
        <v>2231</v>
      </c>
      <c r="I385" s="5" t="s">
        <v>183</v>
      </c>
      <c r="J385" s="4" t="s">
        <v>184</v>
      </c>
      <c r="K385" s="4" t="s">
        <v>132</v>
      </c>
      <c r="L385" s="4">
        <v>2023</v>
      </c>
      <c r="M385" s="4" t="s">
        <v>27</v>
      </c>
      <c r="N385" s="4">
        <v>12.5</v>
      </c>
      <c r="O385" s="4">
        <v>12.5</v>
      </c>
      <c r="P385" s="4" t="s">
        <v>2234</v>
      </c>
      <c r="Q385" s="4">
        <v>12.5</v>
      </c>
      <c r="R385" s="4" t="s">
        <v>2235</v>
      </c>
    </row>
    <row r="386" spans="1:18" hidden="1" x14ac:dyDescent="0.35">
      <c r="A386" s="4" t="s">
        <v>198</v>
      </c>
      <c r="B386" s="4" t="s">
        <v>4080</v>
      </c>
      <c r="C386" s="4" t="s">
        <v>2936</v>
      </c>
      <c r="D386" s="4" t="s">
        <v>2939</v>
      </c>
      <c r="E386" s="4" t="s">
        <v>2485</v>
      </c>
      <c r="F386" s="4" t="s">
        <v>33</v>
      </c>
      <c r="G386" s="4" t="s">
        <v>137</v>
      </c>
      <c r="H386" s="4" t="s">
        <v>2231</v>
      </c>
      <c r="I386" s="5" t="s">
        <v>200</v>
      </c>
      <c r="J386" s="4" t="s">
        <v>184</v>
      </c>
      <c r="K386" s="4" t="s">
        <v>132</v>
      </c>
      <c r="L386" s="4">
        <v>2022</v>
      </c>
      <c r="M386" s="4" t="s">
        <v>27</v>
      </c>
      <c r="N386" s="4">
        <v>12.5</v>
      </c>
      <c r="O386" s="4">
        <v>12.5</v>
      </c>
      <c r="P386" s="4" t="s">
        <v>2234</v>
      </c>
      <c r="Q386" s="4">
        <v>12.5</v>
      </c>
      <c r="R386" s="4" t="s">
        <v>2235</v>
      </c>
    </row>
    <row r="387" spans="1:18" hidden="1" x14ac:dyDescent="0.35">
      <c r="A387" s="4" t="s">
        <v>202</v>
      </c>
      <c r="B387" s="4" t="s">
        <v>4080</v>
      </c>
      <c r="C387" s="4" t="s">
        <v>2936</v>
      </c>
      <c r="D387" s="4" t="s">
        <v>2939</v>
      </c>
      <c r="E387" s="4" t="s">
        <v>2938</v>
      </c>
      <c r="F387" s="4" t="s">
        <v>33</v>
      </c>
      <c r="G387" s="4" t="s">
        <v>137</v>
      </c>
      <c r="H387" s="4" t="s">
        <v>2231</v>
      </c>
      <c r="I387" s="5" t="s">
        <v>200</v>
      </c>
      <c r="J387" s="4" t="s">
        <v>184</v>
      </c>
      <c r="K387" s="4" t="s">
        <v>132</v>
      </c>
      <c r="L387" s="4">
        <v>2022</v>
      </c>
      <c r="M387" s="4" t="s">
        <v>27</v>
      </c>
      <c r="N387" s="4">
        <v>12.5</v>
      </c>
      <c r="O387" s="4">
        <v>12.5</v>
      </c>
      <c r="P387" s="4" t="s">
        <v>2234</v>
      </c>
      <c r="Q387" s="4">
        <v>12.5</v>
      </c>
      <c r="R387" s="4" t="s">
        <v>2235</v>
      </c>
    </row>
    <row r="388" spans="1:18" hidden="1" x14ac:dyDescent="0.35">
      <c r="A388" s="4" t="s">
        <v>204</v>
      </c>
      <c r="B388" s="4" t="s">
        <v>4080</v>
      </c>
      <c r="C388" s="4" t="s">
        <v>2936</v>
      </c>
      <c r="D388" s="4" t="s">
        <v>2939</v>
      </c>
      <c r="E388" s="4" t="s">
        <v>2498</v>
      </c>
      <c r="F388" s="4" t="s">
        <v>33</v>
      </c>
      <c r="G388" s="4" t="s">
        <v>137</v>
      </c>
      <c r="H388" s="4" t="s">
        <v>2231</v>
      </c>
      <c r="I388" s="5" t="s">
        <v>200</v>
      </c>
      <c r="J388" s="4" t="s">
        <v>184</v>
      </c>
      <c r="K388" s="4" t="s">
        <v>132</v>
      </c>
      <c r="L388" s="4">
        <v>2022</v>
      </c>
      <c r="M388" s="4" t="s">
        <v>27</v>
      </c>
      <c r="N388" s="4">
        <v>12.5</v>
      </c>
      <c r="O388" s="4">
        <v>12.5</v>
      </c>
      <c r="P388" s="4" t="s">
        <v>2234</v>
      </c>
      <c r="Q388" s="4">
        <v>12.5</v>
      </c>
      <c r="R388" s="4" t="s">
        <v>2235</v>
      </c>
    </row>
    <row r="389" spans="1:18" hidden="1" x14ac:dyDescent="0.35">
      <c r="A389" s="4" t="s">
        <v>206</v>
      </c>
      <c r="B389" s="4" t="s">
        <v>4080</v>
      </c>
      <c r="C389" s="4" t="s">
        <v>2936</v>
      </c>
      <c r="D389" s="4" t="s">
        <v>2939</v>
      </c>
      <c r="E389" s="4" t="s">
        <v>2500</v>
      </c>
      <c r="F389" s="4" t="s">
        <v>33</v>
      </c>
      <c r="G389" s="4" t="s">
        <v>137</v>
      </c>
      <c r="H389" s="4" t="s">
        <v>2231</v>
      </c>
      <c r="I389" s="5" t="s">
        <v>200</v>
      </c>
      <c r="J389" s="4" t="s">
        <v>184</v>
      </c>
      <c r="K389" s="4" t="s">
        <v>132</v>
      </c>
      <c r="L389" s="4">
        <v>2022</v>
      </c>
      <c r="M389" s="4" t="s">
        <v>27</v>
      </c>
      <c r="N389" s="4">
        <v>12.5</v>
      </c>
      <c r="O389" s="4">
        <v>12.5</v>
      </c>
      <c r="P389" s="4" t="s">
        <v>2234</v>
      </c>
      <c r="Q389" s="4">
        <v>12.5</v>
      </c>
      <c r="R389" s="4" t="s">
        <v>2235</v>
      </c>
    </row>
    <row r="390" spans="1:18" hidden="1" x14ac:dyDescent="0.35">
      <c r="A390" s="4" t="s">
        <v>208</v>
      </c>
      <c r="B390" s="4" t="s">
        <v>4080</v>
      </c>
      <c r="C390" s="4" t="s">
        <v>2936</v>
      </c>
      <c r="D390" s="4" t="s">
        <v>2939</v>
      </c>
      <c r="E390" s="4" t="s">
        <v>2502</v>
      </c>
      <c r="F390" s="4" t="s">
        <v>33</v>
      </c>
      <c r="G390" s="4" t="s">
        <v>137</v>
      </c>
      <c r="H390" s="4" t="s">
        <v>2231</v>
      </c>
      <c r="I390" s="5" t="s">
        <v>200</v>
      </c>
      <c r="J390" s="4" t="s">
        <v>184</v>
      </c>
      <c r="K390" s="4" t="s">
        <v>132</v>
      </c>
      <c r="L390" s="4">
        <v>2022</v>
      </c>
      <c r="M390" s="4" t="s">
        <v>27</v>
      </c>
      <c r="N390" s="4">
        <v>12.5</v>
      </c>
      <c r="O390" s="4">
        <v>12.5</v>
      </c>
      <c r="P390" s="4" t="s">
        <v>2234</v>
      </c>
      <c r="Q390" s="4">
        <v>12.5</v>
      </c>
      <c r="R390" s="4" t="s">
        <v>2235</v>
      </c>
    </row>
    <row r="391" spans="1:18" hidden="1" x14ac:dyDescent="0.35">
      <c r="A391" s="4" t="s">
        <v>2940</v>
      </c>
      <c r="B391" s="4" t="s">
        <v>4080</v>
      </c>
      <c r="C391" s="4" t="s">
        <v>2941</v>
      </c>
      <c r="D391" s="4" t="s">
        <v>2942</v>
      </c>
      <c r="E391" s="4" t="s">
        <v>1010</v>
      </c>
      <c r="F391" s="4" t="s">
        <v>33</v>
      </c>
      <c r="G391" s="4" t="s">
        <v>36</v>
      </c>
      <c r="H391" s="4" t="s">
        <v>2231</v>
      </c>
      <c r="I391" s="5" t="s">
        <v>2943</v>
      </c>
      <c r="J391" s="4" t="s">
        <v>2944</v>
      </c>
      <c r="K391" s="4" t="s">
        <v>132</v>
      </c>
      <c r="L391" s="4">
        <v>2013</v>
      </c>
      <c r="M391" s="4" t="s">
        <v>27</v>
      </c>
      <c r="N391" s="4">
        <v>4.8</v>
      </c>
      <c r="O391" s="4">
        <v>4.8</v>
      </c>
      <c r="P391" s="4" t="s">
        <v>2234</v>
      </c>
      <c r="Q391" s="4">
        <v>4.8</v>
      </c>
      <c r="R391" s="4" t="s">
        <v>2235</v>
      </c>
    </row>
    <row r="392" spans="1:18" hidden="1" x14ac:dyDescent="0.35">
      <c r="A392" s="4" t="s">
        <v>2945</v>
      </c>
      <c r="B392" s="4" t="s">
        <v>4080</v>
      </c>
      <c r="C392" s="4" t="s">
        <v>2941</v>
      </c>
      <c r="D392" s="4" t="s">
        <v>2942</v>
      </c>
      <c r="E392" s="4" t="s">
        <v>2113</v>
      </c>
      <c r="F392" s="4" t="s">
        <v>33</v>
      </c>
      <c r="G392" s="4" t="s">
        <v>137</v>
      </c>
      <c r="H392" s="4" t="s">
        <v>2231</v>
      </c>
      <c r="I392" s="5" t="s">
        <v>2943</v>
      </c>
      <c r="J392" s="4" t="s">
        <v>2944</v>
      </c>
      <c r="K392" s="4" t="s">
        <v>132</v>
      </c>
      <c r="L392" s="4">
        <v>2013</v>
      </c>
      <c r="M392" s="4" t="s">
        <v>27</v>
      </c>
      <c r="N392" s="4">
        <v>4.3</v>
      </c>
      <c r="O392" s="4">
        <v>4.3</v>
      </c>
      <c r="P392" s="4" t="s">
        <v>2234</v>
      </c>
      <c r="Q392" s="4">
        <v>4.3</v>
      </c>
      <c r="R392" s="4" t="s">
        <v>2235</v>
      </c>
    </row>
    <row r="393" spans="1:18" x14ac:dyDescent="0.35">
      <c r="A393" s="4" t="s">
        <v>2946</v>
      </c>
      <c r="B393" s="4" t="s">
        <v>4080</v>
      </c>
      <c r="C393" s="4" t="s">
        <v>1731</v>
      </c>
      <c r="D393" s="4" t="s">
        <v>2947</v>
      </c>
      <c r="E393" s="4" t="s">
        <v>159</v>
      </c>
      <c r="F393" s="4" t="s">
        <v>33</v>
      </c>
      <c r="G393" s="4" t="s">
        <v>46</v>
      </c>
      <c r="H393" s="4" t="s">
        <v>2231</v>
      </c>
      <c r="I393" s="5">
        <v>33699</v>
      </c>
      <c r="J393" s="4" t="s">
        <v>1636</v>
      </c>
      <c r="K393" s="4" t="s">
        <v>693</v>
      </c>
      <c r="L393" s="4">
        <v>2005</v>
      </c>
      <c r="M393" s="4" t="s">
        <v>27</v>
      </c>
      <c r="N393" s="4">
        <v>10.7</v>
      </c>
      <c r="O393" s="4">
        <v>10.7</v>
      </c>
      <c r="P393" s="4" t="s">
        <v>2234</v>
      </c>
      <c r="Q393" s="4">
        <v>10.7</v>
      </c>
      <c r="R393" s="4" t="s">
        <v>2235</v>
      </c>
    </row>
    <row r="394" spans="1:18" x14ac:dyDescent="0.35">
      <c r="A394" s="4" t="s">
        <v>2948</v>
      </c>
      <c r="B394" s="4" t="s">
        <v>4080</v>
      </c>
      <c r="C394" s="4" t="s">
        <v>2394</v>
      </c>
      <c r="D394" s="4" t="s">
        <v>2395</v>
      </c>
      <c r="E394" s="4" t="s">
        <v>2949</v>
      </c>
      <c r="F394" s="4" t="s">
        <v>33</v>
      </c>
      <c r="G394" s="4" t="s">
        <v>46</v>
      </c>
      <c r="H394" s="4" t="s">
        <v>2231</v>
      </c>
      <c r="I394" s="5">
        <v>36269</v>
      </c>
      <c r="J394" s="4" t="s">
        <v>1570</v>
      </c>
      <c r="K394" s="4" t="s">
        <v>865</v>
      </c>
      <c r="L394" s="4">
        <v>2006</v>
      </c>
      <c r="M394" s="4" t="s">
        <v>27</v>
      </c>
      <c r="N394" s="4">
        <v>6</v>
      </c>
      <c r="O394" s="4">
        <v>6</v>
      </c>
      <c r="P394" s="4" t="s">
        <v>2234</v>
      </c>
      <c r="Q394" s="4">
        <v>6</v>
      </c>
      <c r="R394" s="4" t="s">
        <v>2235</v>
      </c>
    </row>
    <row r="395" spans="1:18" hidden="1" x14ac:dyDescent="0.35">
      <c r="A395" s="4" t="s">
        <v>2950</v>
      </c>
      <c r="B395" s="4" t="s">
        <v>4080</v>
      </c>
      <c r="C395" s="4" t="s">
        <v>2941</v>
      </c>
      <c r="D395" s="4" t="s">
        <v>2942</v>
      </c>
      <c r="E395" s="4" t="s">
        <v>2951</v>
      </c>
      <c r="F395" s="4" t="s">
        <v>33</v>
      </c>
      <c r="G395" s="4" t="s">
        <v>137</v>
      </c>
      <c r="H395" s="4" t="s">
        <v>2231</v>
      </c>
      <c r="I395" s="5" t="s">
        <v>2943</v>
      </c>
      <c r="J395" s="4" t="s">
        <v>2944</v>
      </c>
      <c r="K395" s="4" t="s">
        <v>132</v>
      </c>
      <c r="L395" s="4">
        <v>2013</v>
      </c>
      <c r="M395" s="4" t="s">
        <v>27</v>
      </c>
      <c r="N395" s="4">
        <v>4.3</v>
      </c>
      <c r="O395" s="4">
        <v>4.3</v>
      </c>
      <c r="P395" s="4" t="s">
        <v>2234</v>
      </c>
      <c r="Q395" s="4">
        <v>4.3</v>
      </c>
      <c r="R395" s="4" t="s">
        <v>2235</v>
      </c>
    </row>
    <row r="396" spans="1:18" hidden="1" x14ac:dyDescent="0.35">
      <c r="A396" s="4" t="s">
        <v>2952</v>
      </c>
      <c r="B396" s="4" t="s">
        <v>4080</v>
      </c>
      <c r="C396" s="4" t="s">
        <v>2953</v>
      </c>
      <c r="D396" s="4" t="s">
        <v>2953</v>
      </c>
      <c r="E396" s="4" t="s">
        <v>525</v>
      </c>
      <c r="F396" s="4" t="s">
        <v>33</v>
      </c>
      <c r="G396" s="4" t="s">
        <v>36</v>
      </c>
      <c r="H396" s="4" t="s">
        <v>2231</v>
      </c>
      <c r="I396" s="5" t="s">
        <v>2954</v>
      </c>
      <c r="J396" s="4" t="s">
        <v>2955</v>
      </c>
      <c r="K396" s="4" t="s">
        <v>132</v>
      </c>
      <c r="L396" s="4">
        <v>1976</v>
      </c>
      <c r="M396" s="4" t="s">
        <v>27</v>
      </c>
      <c r="N396" s="4">
        <v>2.8</v>
      </c>
      <c r="O396" s="4">
        <v>2.8</v>
      </c>
      <c r="P396" s="4" t="s">
        <v>2234</v>
      </c>
      <c r="Q396" s="4">
        <v>2.8</v>
      </c>
      <c r="R396" s="4" t="s">
        <v>2235</v>
      </c>
    </row>
    <row r="397" spans="1:18" hidden="1" x14ac:dyDescent="0.35">
      <c r="A397" s="4" t="s">
        <v>2956</v>
      </c>
      <c r="B397" s="4" t="s">
        <v>4080</v>
      </c>
      <c r="C397" s="4" t="s">
        <v>2953</v>
      </c>
      <c r="D397" s="4" t="s">
        <v>2953</v>
      </c>
      <c r="E397" s="4" t="s">
        <v>159</v>
      </c>
      <c r="F397" s="4" t="s">
        <v>33</v>
      </c>
      <c r="G397" s="4" t="s">
        <v>409</v>
      </c>
      <c r="H397" s="4" t="s">
        <v>2231</v>
      </c>
      <c r="I397" s="5" t="s">
        <v>2954</v>
      </c>
      <c r="J397" s="4" t="s">
        <v>2955</v>
      </c>
      <c r="K397" s="4" t="s">
        <v>132</v>
      </c>
      <c r="L397" s="4">
        <v>1976</v>
      </c>
      <c r="M397" s="4" t="s">
        <v>27</v>
      </c>
      <c r="N397" s="4">
        <v>2.8</v>
      </c>
      <c r="O397" s="4">
        <v>2.8</v>
      </c>
      <c r="P397" s="4" t="s">
        <v>2234</v>
      </c>
      <c r="Q397" s="4">
        <v>2.8</v>
      </c>
      <c r="R397" s="4" t="s">
        <v>2235</v>
      </c>
    </row>
    <row r="398" spans="1:18" hidden="1" x14ac:dyDescent="0.35">
      <c r="A398" s="4" t="s">
        <v>2957</v>
      </c>
      <c r="B398" s="4" t="s">
        <v>4080</v>
      </c>
      <c r="C398" s="4" t="s">
        <v>2953</v>
      </c>
      <c r="D398" s="4" t="s">
        <v>2953</v>
      </c>
      <c r="E398" s="4" t="s">
        <v>527</v>
      </c>
      <c r="F398" s="4" t="s">
        <v>33</v>
      </c>
      <c r="G398" s="4" t="s">
        <v>36</v>
      </c>
      <c r="H398" s="4" t="s">
        <v>2231</v>
      </c>
      <c r="I398" s="5" t="s">
        <v>2954</v>
      </c>
      <c r="J398" s="4" t="s">
        <v>2955</v>
      </c>
      <c r="K398" s="4" t="s">
        <v>132</v>
      </c>
      <c r="L398" s="4">
        <v>1976</v>
      </c>
      <c r="M398" s="4" t="s">
        <v>27</v>
      </c>
      <c r="N398" s="4">
        <v>2.8</v>
      </c>
      <c r="O398" s="4">
        <v>2.8</v>
      </c>
      <c r="P398" s="4" t="s">
        <v>2234</v>
      </c>
      <c r="Q398" s="4">
        <v>2.8</v>
      </c>
      <c r="R398" s="4" t="s">
        <v>2235</v>
      </c>
    </row>
    <row r="399" spans="1:18" hidden="1" x14ac:dyDescent="0.35">
      <c r="A399" s="4" t="s">
        <v>2958</v>
      </c>
      <c r="B399" s="4" t="s">
        <v>4080</v>
      </c>
      <c r="C399" s="4" t="s">
        <v>2953</v>
      </c>
      <c r="D399" s="4" t="s">
        <v>2953</v>
      </c>
      <c r="E399" s="4" t="s">
        <v>529</v>
      </c>
      <c r="F399" s="4" t="s">
        <v>33</v>
      </c>
      <c r="G399" s="4" t="s">
        <v>36</v>
      </c>
      <c r="H399" s="4" t="s">
        <v>2231</v>
      </c>
      <c r="I399" s="5" t="s">
        <v>2954</v>
      </c>
      <c r="J399" s="4" t="s">
        <v>2955</v>
      </c>
      <c r="K399" s="4" t="s">
        <v>132</v>
      </c>
      <c r="L399" s="4">
        <v>1996</v>
      </c>
      <c r="M399" s="4" t="s">
        <v>27</v>
      </c>
      <c r="N399" s="4">
        <v>2.8</v>
      </c>
      <c r="O399" s="4">
        <v>2.8</v>
      </c>
      <c r="P399" s="4" t="s">
        <v>2234</v>
      </c>
      <c r="Q399" s="4">
        <v>2.8</v>
      </c>
      <c r="R399" s="4" t="s">
        <v>2235</v>
      </c>
    </row>
    <row r="400" spans="1:18" hidden="1" x14ac:dyDescent="0.35">
      <c r="A400" s="4" t="s">
        <v>97</v>
      </c>
      <c r="B400" s="4" t="s">
        <v>4080</v>
      </c>
      <c r="C400" s="4" t="s">
        <v>2959</v>
      </c>
      <c r="D400" s="4" t="s">
        <v>2960</v>
      </c>
      <c r="E400" s="4" t="s">
        <v>159</v>
      </c>
      <c r="F400" s="4" t="s">
        <v>33</v>
      </c>
      <c r="G400" s="4" t="s">
        <v>46</v>
      </c>
      <c r="H400" s="4" t="s">
        <v>2231</v>
      </c>
      <c r="I400" s="5">
        <v>10179</v>
      </c>
      <c r="J400" s="4" t="s">
        <v>58</v>
      </c>
      <c r="K400" s="4" t="s">
        <v>58</v>
      </c>
      <c r="L400" s="4">
        <v>1997</v>
      </c>
      <c r="M400" s="4" t="s">
        <v>27</v>
      </c>
      <c r="N400" s="4">
        <v>116</v>
      </c>
      <c r="O400" s="4">
        <v>116</v>
      </c>
      <c r="P400" s="4" t="s">
        <v>2234</v>
      </c>
      <c r="Q400" s="4">
        <v>116</v>
      </c>
      <c r="R400" s="4" t="s">
        <v>2235</v>
      </c>
    </row>
    <row r="401" spans="1:18" hidden="1" x14ac:dyDescent="0.35">
      <c r="A401" s="4" t="s">
        <v>1646</v>
      </c>
      <c r="B401" s="4" t="s">
        <v>4081</v>
      </c>
      <c r="C401" s="4" t="s">
        <v>2382</v>
      </c>
      <c r="D401" s="4" t="s">
        <v>2383</v>
      </c>
      <c r="E401" s="4" t="s">
        <v>49</v>
      </c>
      <c r="F401" s="4" t="s">
        <v>33</v>
      </c>
      <c r="G401" s="4" t="s">
        <v>46</v>
      </c>
      <c r="H401" s="4" t="s">
        <v>2231</v>
      </c>
      <c r="I401" s="5">
        <v>90441</v>
      </c>
      <c r="J401" s="4" t="s">
        <v>2250</v>
      </c>
      <c r="K401" s="4" t="s">
        <v>701</v>
      </c>
      <c r="L401" s="4">
        <v>2010</v>
      </c>
      <c r="M401" s="4" t="s">
        <v>27</v>
      </c>
      <c r="N401" s="4">
        <v>16.079999999999998</v>
      </c>
      <c r="O401" s="4">
        <v>16.079999999999998</v>
      </c>
      <c r="P401" s="4" t="s">
        <v>2234</v>
      </c>
      <c r="Q401" s="4">
        <v>16.079999999999998</v>
      </c>
      <c r="R401" s="4" t="s">
        <v>2235</v>
      </c>
    </row>
    <row r="402" spans="1:18" hidden="1" x14ac:dyDescent="0.35">
      <c r="A402" s="4" t="s">
        <v>100</v>
      </c>
      <c r="B402" s="4" t="s">
        <v>4080</v>
      </c>
      <c r="C402" s="4" t="s">
        <v>2959</v>
      </c>
      <c r="D402" s="4" t="s">
        <v>2960</v>
      </c>
      <c r="E402" s="4" t="s">
        <v>54</v>
      </c>
      <c r="F402" s="4" t="s">
        <v>33</v>
      </c>
      <c r="G402" s="4" t="s">
        <v>46</v>
      </c>
      <c r="H402" s="4" t="s">
        <v>2231</v>
      </c>
      <c r="I402" s="5">
        <v>10179</v>
      </c>
      <c r="J402" s="4" t="s">
        <v>58</v>
      </c>
      <c r="K402" s="4" t="s">
        <v>58</v>
      </c>
      <c r="L402" s="4">
        <v>1997</v>
      </c>
      <c r="M402" s="4" t="s">
        <v>27</v>
      </c>
      <c r="N402" s="4">
        <v>164</v>
      </c>
      <c r="O402" s="4">
        <v>164</v>
      </c>
      <c r="P402" s="4" t="s">
        <v>2234</v>
      </c>
      <c r="Q402" s="4">
        <v>164</v>
      </c>
      <c r="R402" s="4" t="s">
        <v>2235</v>
      </c>
    </row>
    <row r="403" spans="1:18" hidden="1" x14ac:dyDescent="0.35">
      <c r="A403" s="4" t="s">
        <v>102</v>
      </c>
      <c r="B403" s="4" t="s">
        <v>4080</v>
      </c>
      <c r="C403" s="4" t="s">
        <v>2959</v>
      </c>
      <c r="D403" s="4" t="s">
        <v>2960</v>
      </c>
      <c r="E403" s="4" t="s">
        <v>52</v>
      </c>
      <c r="F403" s="4" t="s">
        <v>33</v>
      </c>
      <c r="G403" s="4" t="s">
        <v>46</v>
      </c>
      <c r="H403" s="4" t="s">
        <v>2231</v>
      </c>
      <c r="I403" s="5">
        <v>10179</v>
      </c>
      <c r="J403" s="4" t="s">
        <v>58</v>
      </c>
      <c r="K403" s="4" t="s">
        <v>58</v>
      </c>
      <c r="L403" s="4">
        <v>1997</v>
      </c>
      <c r="M403" s="4" t="s">
        <v>27</v>
      </c>
      <c r="N403" s="4">
        <v>164</v>
      </c>
      <c r="O403" s="4">
        <v>164</v>
      </c>
      <c r="P403" s="4" t="s">
        <v>2234</v>
      </c>
      <c r="Q403" s="4">
        <v>164</v>
      </c>
      <c r="R403" s="4" t="s">
        <v>2235</v>
      </c>
    </row>
    <row r="404" spans="1:18" hidden="1" x14ac:dyDescent="0.35">
      <c r="A404" s="4" t="s">
        <v>2227</v>
      </c>
      <c r="B404" s="4" t="s">
        <v>4080</v>
      </c>
      <c r="C404" s="4" t="s">
        <v>2959</v>
      </c>
      <c r="D404" s="4" t="s">
        <v>2961</v>
      </c>
      <c r="E404" s="4" t="s">
        <v>2962</v>
      </c>
      <c r="F404" s="4" t="s">
        <v>71</v>
      </c>
      <c r="G404" s="4" t="s">
        <v>137</v>
      </c>
      <c r="H404" s="4" t="s">
        <v>2231</v>
      </c>
      <c r="I404" s="5">
        <v>10317</v>
      </c>
      <c r="J404" s="4" t="s">
        <v>58</v>
      </c>
      <c r="K404" s="4" t="s">
        <v>58</v>
      </c>
      <c r="L404" s="4">
        <v>2028</v>
      </c>
      <c r="M404" s="4" t="s">
        <v>2459</v>
      </c>
      <c r="N404" s="4">
        <v>50</v>
      </c>
      <c r="O404" s="4">
        <v>50</v>
      </c>
      <c r="P404" s="4" t="s">
        <v>71</v>
      </c>
      <c r="Q404" s="4">
        <v>50</v>
      </c>
      <c r="R404" s="4" t="s">
        <v>71</v>
      </c>
    </row>
    <row r="405" spans="1:18" hidden="1" x14ac:dyDescent="0.35">
      <c r="A405" s="4" t="s">
        <v>2227</v>
      </c>
      <c r="B405" s="4" t="s">
        <v>4080</v>
      </c>
      <c r="C405" s="4" t="s">
        <v>2959</v>
      </c>
      <c r="D405" s="4" t="s">
        <v>2963</v>
      </c>
      <c r="E405" s="4" t="s">
        <v>2227</v>
      </c>
      <c r="F405" s="4" t="s">
        <v>33</v>
      </c>
      <c r="G405" s="4" t="s">
        <v>46</v>
      </c>
      <c r="H405" s="4" t="s">
        <v>2231</v>
      </c>
      <c r="I405" s="5">
        <v>10589</v>
      </c>
      <c r="J405" s="4" t="s">
        <v>58</v>
      </c>
      <c r="K405" s="4" t="s">
        <v>58</v>
      </c>
      <c r="L405" s="4">
        <v>2028</v>
      </c>
      <c r="M405" s="4" t="s">
        <v>2459</v>
      </c>
      <c r="N405" s="4">
        <v>174</v>
      </c>
      <c r="O405" s="4">
        <v>174</v>
      </c>
      <c r="P405" s="4" t="s">
        <v>2234</v>
      </c>
      <c r="Q405" s="4">
        <v>174</v>
      </c>
      <c r="R405" s="4" t="s">
        <v>2235</v>
      </c>
    </row>
    <row r="406" spans="1:18" hidden="1" x14ac:dyDescent="0.35">
      <c r="A406" s="4" t="s">
        <v>250</v>
      </c>
      <c r="B406" s="4" t="s">
        <v>4080</v>
      </c>
      <c r="C406" s="4" t="s">
        <v>251</v>
      </c>
      <c r="D406" s="4" t="s">
        <v>252</v>
      </c>
      <c r="E406" s="4" t="s">
        <v>252</v>
      </c>
      <c r="F406" s="4" t="s">
        <v>33</v>
      </c>
      <c r="G406" s="4" t="s">
        <v>137</v>
      </c>
      <c r="H406" s="4" t="s">
        <v>2231</v>
      </c>
      <c r="I406" s="5">
        <v>12059</v>
      </c>
      <c r="J406" s="4" t="s">
        <v>58</v>
      </c>
      <c r="K406" s="4" t="s">
        <v>58</v>
      </c>
      <c r="L406" s="4">
        <v>2023</v>
      </c>
      <c r="M406" s="4" t="s">
        <v>27</v>
      </c>
      <c r="N406" s="4">
        <v>10</v>
      </c>
      <c r="O406" s="4">
        <v>10</v>
      </c>
      <c r="P406" s="4" t="s">
        <v>2234</v>
      </c>
      <c r="Q406" s="4">
        <v>10</v>
      </c>
      <c r="R406" s="4" t="s">
        <v>2235</v>
      </c>
    </row>
    <row r="407" spans="1:18" hidden="1" x14ac:dyDescent="0.35">
      <c r="A407" s="4" t="s">
        <v>2190</v>
      </c>
      <c r="B407" s="4" t="s">
        <v>4081</v>
      </c>
      <c r="C407" s="4" t="s">
        <v>2187</v>
      </c>
      <c r="D407" s="4" t="s">
        <v>2964</v>
      </c>
      <c r="E407" s="4" t="s">
        <v>2965</v>
      </c>
      <c r="F407" s="4" t="s">
        <v>33</v>
      </c>
      <c r="G407" s="4" t="s">
        <v>409</v>
      </c>
      <c r="H407" s="4" t="s">
        <v>2231</v>
      </c>
      <c r="I407" s="5">
        <v>70569</v>
      </c>
      <c r="J407" s="4" t="s">
        <v>2044</v>
      </c>
      <c r="K407" s="4" t="s">
        <v>2232</v>
      </c>
      <c r="L407" s="4">
        <v>1968</v>
      </c>
      <c r="M407" s="4" t="s">
        <v>27</v>
      </c>
      <c r="N407" s="4">
        <v>11.6</v>
      </c>
      <c r="O407" s="4">
        <v>11.6</v>
      </c>
      <c r="P407" s="4" t="s">
        <v>2234</v>
      </c>
      <c r="Q407" s="4">
        <v>11.6</v>
      </c>
      <c r="R407" s="4" t="s">
        <v>2235</v>
      </c>
    </row>
    <row r="408" spans="1:18" hidden="1" x14ac:dyDescent="0.35">
      <c r="A408" s="4" t="s">
        <v>2966</v>
      </c>
      <c r="B408" s="4" t="s">
        <v>4080</v>
      </c>
      <c r="C408" s="4" t="s">
        <v>251</v>
      </c>
      <c r="D408" s="4" t="s">
        <v>2967</v>
      </c>
      <c r="E408" s="4" t="s">
        <v>2968</v>
      </c>
      <c r="F408" s="4" t="s">
        <v>33</v>
      </c>
      <c r="G408" s="4" t="s">
        <v>137</v>
      </c>
      <c r="H408" s="4" t="s">
        <v>2231</v>
      </c>
      <c r="I408" s="5">
        <v>12059</v>
      </c>
      <c r="J408" s="4" t="s">
        <v>58</v>
      </c>
      <c r="K408" s="4" t="s">
        <v>58</v>
      </c>
      <c r="L408" s="4">
        <v>2013</v>
      </c>
      <c r="M408" s="4" t="s">
        <v>27</v>
      </c>
      <c r="N408" s="4">
        <v>2</v>
      </c>
      <c r="O408" s="4">
        <v>2</v>
      </c>
      <c r="P408" s="4" t="s">
        <v>2234</v>
      </c>
      <c r="Q408" s="4">
        <v>2</v>
      </c>
      <c r="R408" s="4" t="s">
        <v>2235</v>
      </c>
    </row>
    <row r="409" spans="1:18" hidden="1" x14ac:dyDescent="0.35">
      <c r="A409" s="4" t="s">
        <v>2969</v>
      </c>
      <c r="B409" s="4" t="s">
        <v>4080</v>
      </c>
      <c r="C409" s="4" t="s">
        <v>251</v>
      </c>
      <c r="D409" s="4" t="s">
        <v>2967</v>
      </c>
      <c r="E409" s="4" t="s">
        <v>2970</v>
      </c>
      <c r="F409" s="4" t="s">
        <v>33</v>
      </c>
      <c r="G409" s="4" t="s">
        <v>137</v>
      </c>
      <c r="H409" s="4" t="s">
        <v>2231</v>
      </c>
      <c r="I409" s="5">
        <v>12059</v>
      </c>
      <c r="J409" s="4" t="s">
        <v>58</v>
      </c>
      <c r="K409" s="4" t="s">
        <v>58</v>
      </c>
      <c r="L409" s="4">
        <v>2013</v>
      </c>
      <c r="M409" s="4" t="s">
        <v>27</v>
      </c>
      <c r="N409" s="4">
        <v>2</v>
      </c>
      <c r="O409" s="4">
        <v>2</v>
      </c>
      <c r="P409" s="4" t="s">
        <v>2234</v>
      </c>
      <c r="Q409" s="4">
        <v>2</v>
      </c>
      <c r="R409" s="4" t="s">
        <v>2235</v>
      </c>
    </row>
    <row r="410" spans="1:18" hidden="1" x14ac:dyDescent="0.35">
      <c r="A410" s="4" t="s">
        <v>2971</v>
      </c>
      <c r="B410" s="4" t="s">
        <v>4080</v>
      </c>
      <c r="C410" s="4" t="s">
        <v>251</v>
      </c>
      <c r="D410" s="4" t="s">
        <v>2967</v>
      </c>
      <c r="E410" s="4" t="s">
        <v>2972</v>
      </c>
      <c r="F410" s="4" t="s">
        <v>33</v>
      </c>
      <c r="G410" s="4" t="s">
        <v>137</v>
      </c>
      <c r="H410" s="4" t="s">
        <v>2231</v>
      </c>
      <c r="I410" s="5">
        <v>12059</v>
      </c>
      <c r="J410" s="4" t="s">
        <v>58</v>
      </c>
      <c r="K410" s="4" t="s">
        <v>58</v>
      </c>
      <c r="L410" s="4">
        <v>2013</v>
      </c>
      <c r="M410" s="4" t="s">
        <v>27</v>
      </c>
      <c r="N410" s="4">
        <v>2</v>
      </c>
      <c r="O410" s="4">
        <v>2</v>
      </c>
      <c r="P410" s="4" t="s">
        <v>2234</v>
      </c>
      <c r="Q410" s="4">
        <v>2</v>
      </c>
      <c r="R410" s="4" t="s">
        <v>2235</v>
      </c>
    </row>
    <row r="411" spans="1:18" hidden="1" x14ac:dyDescent="0.35">
      <c r="A411" s="4" t="s">
        <v>2973</v>
      </c>
      <c r="B411" s="4" t="s">
        <v>4080</v>
      </c>
      <c r="C411" s="4" t="s">
        <v>251</v>
      </c>
      <c r="D411" s="4" t="s">
        <v>2967</v>
      </c>
      <c r="E411" s="4" t="s">
        <v>2974</v>
      </c>
      <c r="F411" s="4" t="s">
        <v>33</v>
      </c>
      <c r="G411" s="4" t="s">
        <v>137</v>
      </c>
      <c r="H411" s="4" t="s">
        <v>2231</v>
      </c>
      <c r="I411" s="5">
        <v>12059</v>
      </c>
      <c r="J411" s="4" t="s">
        <v>58</v>
      </c>
      <c r="K411" s="4" t="s">
        <v>58</v>
      </c>
      <c r="L411" s="4">
        <v>2014</v>
      </c>
      <c r="M411" s="4" t="s">
        <v>27</v>
      </c>
      <c r="N411" s="4">
        <v>2</v>
      </c>
      <c r="O411" s="4">
        <v>2</v>
      </c>
      <c r="P411" s="4" t="s">
        <v>2234</v>
      </c>
      <c r="Q411" s="4">
        <v>2</v>
      </c>
      <c r="R411" s="4" t="s">
        <v>2235</v>
      </c>
    </row>
    <row r="412" spans="1:18" hidden="1" x14ac:dyDescent="0.35">
      <c r="A412" s="4" t="s">
        <v>2975</v>
      </c>
      <c r="B412" s="4" t="s">
        <v>4080</v>
      </c>
      <c r="C412" s="4" t="s">
        <v>251</v>
      </c>
      <c r="D412" s="4" t="s">
        <v>2967</v>
      </c>
      <c r="E412" s="4" t="s">
        <v>2976</v>
      </c>
      <c r="F412" s="4" t="s">
        <v>33</v>
      </c>
      <c r="G412" s="4" t="s">
        <v>137</v>
      </c>
      <c r="H412" s="4" t="s">
        <v>2231</v>
      </c>
      <c r="I412" s="5">
        <v>12059</v>
      </c>
      <c r="J412" s="4" t="s">
        <v>58</v>
      </c>
      <c r="K412" s="4" t="s">
        <v>58</v>
      </c>
      <c r="L412" s="4">
        <v>2020</v>
      </c>
      <c r="M412" s="4" t="s">
        <v>27</v>
      </c>
      <c r="N412" s="4">
        <v>2</v>
      </c>
      <c r="O412" s="4">
        <v>2</v>
      </c>
      <c r="P412" s="4" t="s">
        <v>2234</v>
      </c>
      <c r="Q412" s="4">
        <v>2</v>
      </c>
      <c r="R412" s="4" t="s">
        <v>2235</v>
      </c>
    </row>
    <row r="413" spans="1:18" hidden="1" x14ac:dyDescent="0.35">
      <c r="A413" s="4" t="s">
        <v>104</v>
      </c>
      <c r="B413" s="4" t="s">
        <v>4080</v>
      </c>
      <c r="C413" s="4" t="s">
        <v>2959</v>
      </c>
      <c r="D413" s="4" t="s">
        <v>2977</v>
      </c>
      <c r="E413" s="4" t="s">
        <v>311</v>
      </c>
      <c r="F413" s="4" t="s">
        <v>33</v>
      </c>
      <c r="G413" s="4" t="s">
        <v>46</v>
      </c>
      <c r="H413" s="4" t="s">
        <v>2231</v>
      </c>
      <c r="I413" s="5">
        <v>12207</v>
      </c>
      <c r="J413" s="4" t="s">
        <v>58</v>
      </c>
      <c r="K413" s="4" t="s">
        <v>58</v>
      </c>
      <c r="L413" s="4">
        <v>2019</v>
      </c>
      <c r="M413" s="4" t="s">
        <v>27</v>
      </c>
      <c r="N413" s="4">
        <v>185</v>
      </c>
      <c r="O413" s="4">
        <v>185</v>
      </c>
      <c r="P413" s="4" t="s">
        <v>2234</v>
      </c>
      <c r="Q413" s="4">
        <v>185</v>
      </c>
      <c r="R413" s="4" t="s">
        <v>2235</v>
      </c>
    </row>
    <row r="414" spans="1:18" hidden="1" x14ac:dyDescent="0.35">
      <c r="A414" s="4" t="s">
        <v>94</v>
      </c>
      <c r="B414" s="4" t="s">
        <v>4080</v>
      </c>
      <c r="C414" s="4" t="s">
        <v>2959</v>
      </c>
      <c r="D414" s="4" t="s">
        <v>2977</v>
      </c>
      <c r="E414" s="4" t="s">
        <v>2978</v>
      </c>
      <c r="F414" s="4" t="s">
        <v>33</v>
      </c>
      <c r="G414" s="4" t="s">
        <v>46</v>
      </c>
      <c r="H414" s="4" t="s">
        <v>2231</v>
      </c>
      <c r="I414" s="5">
        <v>12207</v>
      </c>
      <c r="J414" s="4" t="s">
        <v>58</v>
      </c>
      <c r="K414" s="4" t="s">
        <v>58</v>
      </c>
      <c r="L414" s="4">
        <v>2019</v>
      </c>
      <c r="M414" s="4" t="s">
        <v>27</v>
      </c>
      <c r="N414" s="4">
        <v>115</v>
      </c>
      <c r="O414" s="4">
        <v>115</v>
      </c>
      <c r="P414" s="4" t="s">
        <v>2234</v>
      </c>
      <c r="Q414" s="4">
        <v>115</v>
      </c>
      <c r="R414" s="4" t="s">
        <v>2235</v>
      </c>
    </row>
    <row r="415" spans="1:18" hidden="1" x14ac:dyDescent="0.35">
      <c r="A415" s="4" t="s">
        <v>2979</v>
      </c>
      <c r="B415" s="4" t="s">
        <v>4080</v>
      </c>
      <c r="C415" s="4" t="s">
        <v>2980</v>
      </c>
      <c r="D415" s="4" t="s">
        <v>2981</v>
      </c>
      <c r="E415" s="4" t="s">
        <v>2982</v>
      </c>
      <c r="F415" s="4" t="s">
        <v>33</v>
      </c>
      <c r="G415" s="4" t="s">
        <v>137</v>
      </c>
      <c r="H415" s="4" t="s">
        <v>2231</v>
      </c>
      <c r="I415" s="5">
        <v>12489</v>
      </c>
      <c r="J415" s="4" t="s">
        <v>58</v>
      </c>
      <c r="K415" s="4" t="s">
        <v>58</v>
      </c>
      <c r="L415" s="4">
        <v>2023</v>
      </c>
      <c r="M415" s="4" t="s">
        <v>27</v>
      </c>
      <c r="N415" s="4">
        <v>8.8000000000000007</v>
      </c>
      <c r="O415" s="4">
        <v>8.8000000000000007</v>
      </c>
      <c r="P415" s="4" t="s">
        <v>2234</v>
      </c>
      <c r="Q415" s="4">
        <v>8.8000000000000007</v>
      </c>
      <c r="R415" s="4" t="s">
        <v>2235</v>
      </c>
    </row>
    <row r="416" spans="1:18" hidden="1" x14ac:dyDescent="0.35">
      <c r="A416" s="4" t="s">
        <v>2983</v>
      </c>
      <c r="B416" s="4" t="s">
        <v>4080</v>
      </c>
      <c r="C416" s="4" t="s">
        <v>2980</v>
      </c>
      <c r="D416" s="4" t="s">
        <v>2981</v>
      </c>
      <c r="E416" s="4" t="s">
        <v>2984</v>
      </c>
      <c r="F416" s="4" t="s">
        <v>33</v>
      </c>
      <c r="G416" s="4" t="s">
        <v>137</v>
      </c>
      <c r="H416" s="4" t="s">
        <v>2231</v>
      </c>
      <c r="I416" s="5">
        <v>12489</v>
      </c>
      <c r="J416" s="4" t="s">
        <v>58</v>
      </c>
      <c r="K416" s="4" t="s">
        <v>58</v>
      </c>
      <c r="L416" s="4">
        <v>2023</v>
      </c>
      <c r="M416" s="4" t="s">
        <v>27</v>
      </c>
      <c r="N416" s="4">
        <v>8.8000000000000007</v>
      </c>
      <c r="O416" s="4">
        <v>8.8000000000000007</v>
      </c>
      <c r="P416" s="4" t="s">
        <v>2234</v>
      </c>
      <c r="Q416" s="4">
        <v>8.8000000000000007</v>
      </c>
      <c r="R416" s="4" t="s">
        <v>2235</v>
      </c>
    </row>
    <row r="417" spans="1:18" hidden="1" x14ac:dyDescent="0.35">
      <c r="A417" s="4" t="s">
        <v>106</v>
      </c>
      <c r="B417" s="4" t="s">
        <v>4080</v>
      </c>
      <c r="C417" s="4" t="s">
        <v>2959</v>
      </c>
      <c r="D417" s="4" t="s">
        <v>2985</v>
      </c>
      <c r="E417" s="4" t="s">
        <v>2227</v>
      </c>
      <c r="F417" s="4" t="s">
        <v>33</v>
      </c>
      <c r="G417" s="4" t="s">
        <v>46</v>
      </c>
      <c r="H417" s="4" t="s">
        <v>2231</v>
      </c>
      <c r="I417" s="5">
        <v>12681</v>
      </c>
      <c r="J417" s="4" t="s">
        <v>58</v>
      </c>
      <c r="K417" s="4" t="s">
        <v>58</v>
      </c>
      <c r="L417" s="4">
        <v>2020</v>
      </c>
      <c r="M417" s="4" t="s">
        <v>27</v>
      </c>
      <c r="N417" s="4">
        <v>189.5</v>
      </c>
      <c r="O417" s="4">
        <v>189.5</v>
      </c>
      <c r="P417" s="4" t="s">
        <v>2234</v>
      </c>
      <c r="Q417" s="4">
        <v>189.5</v>
      </c>
      <c r="R417" s="4" t="s">
        <v>2235</v>
      </c>
    </row>
    <row r="418" spans="1:18" hidden="1" x14ac:dyDescent="0.35">
      <c r="A418" s="4" t="s">
        <v>79</v>
      </c>
      <c r="B418" s="4" t="s">
        <v>4080</v>
      </c>
      <c r="C418" s="4" t="s">
        <v>2959</v>
      </c>
      <c r="D418" s="4" t="s">
        <v>2985</v>
      </c>
      <c r="E418" s="4" t="s">
        <v>2227</v>
      </c>
      <c r="F418" s="4" t="s">
        <v>33</v>
      </c>
      <c r="G418" s="4" t="s">
        <v>46</v>
      </c>
      <c r="H418" s="4" t="s">
        <v>2231</v>
      </c>
      <c r="I418" s="5">
        <v>12681</v>
      </c>
      <c r="J418" s="4" t="s">
        <v>58</v>
      </c>
      <c r="K418" s="4" t="s">
        <v>58</v>
      </c>
      <c r="L418" s="4">
        <v>2020</v>
      </c>
      <c r="M418" s="4" t="s">
        <v>27</v>
      </c>
      <c r="N418" s="4">
        <v>69.3</v>
      </c>
      <c r="O418" s="4">
        <v>69.3</v>
      </c>
      <c r="P418" s="4" t="s">
        <v>2234</v>
      </c>
      <c r="Q418" s="4">
        <v>69.3</v>
      </c>
      <c r="R418" s="4" t="s">
        <v>2235</v>
      </c>
    </row>
    <row r="419" spans="1:18" hidden="1" x14ac:dyDescent="0.35">
      <c r="A419" s="4" t="s">
        <v>2986</v>
      </c>
      <c r="B419" s="4" t="s">
        <v>4080</v>
      </c>
      <c r="C419" s="4" t="s">
        <v>2987</v>
      </c>
      <c r="D419" s="4" t="s">
        <v>2988</v>
      </c>
      <c r="E419" s="4" t="s">
        <v>2227</v>
      </c>
      <c r="F419" s="4" t="s">
        <v>33</v>
      </c>
      <c r="G419" s="4" t="s">
        <v>46</v>
      </c>
      <c r="H419" s="4" t="s">
        <v>2231</v>
      </c>
      <c r="I419" s="5">
        <v>13353</v>
      </c>
      <c r="J419" s="4" t="s">
        <v>58</v>
      </c>
      <c r="K419" s="4" t="s">
        <v>58</v>
      </c>
      <c r="L419" s="4">
        <v>1972</v>
      </c>
      <c r="M419" s="4" t="s">
        <v>27</v>
      </c>
      <c r="N419" s="4">
        <v>9.6</v>
      </c>
      <c r="O419" s="4">
        <v>9.6</v>
      </c>
      <c r="P419" s="4" t="s">
        <v>2234</v>
      </c>
      <c r="Q419" s="4">
        <v>9.6</v>
      </c>
      <c r="R419" s="4" t="s">
        <v>2235</v>
      </c>
    </row>
    <row r="420" spans="1:18" hidden="1" x14ac:dyDescent="0.35">
      <c r="A420" s="4" t="s">
        <v>2989</v>
      </c>
      <c r="B420" s="4" t="s">
        <v>4080</v>
      </c>
      <c r="C420" s="4" t="s">
        <v>2987</v>
      </c>
      <c r="D420" s="4" t="s">
        <v>2988</v>
      </c>
      <c r="E420" s="4" t="s">
        <v>2227</v>
      </c>
      <c r="F420" s="4" t="s">
        <v>33</v>
      </c>
      <c r="G420" s="4" t="s">
        <v>46</v>
      </c>
      <c r="H420" s="4" t="s">
        <v>2231</v>
      </c>
      <c r="I420" s="5">
        <v>13353</v>
      </c>
      <c r="J420" s="4" t="s">
        <v>58</v>
      </c>
      <c r="K420" s="4" t="s">
        <v>58</v>
      </c>
      <c r="L420" s="4">
        <v>1972</v>
      </c>
      <c r="M420" s="4" t="s">
        <v>27</v>
      </c>
      <c r="N420" s="4">
        <v>5.7</v>
      </c>
      <c r="O420" s="4">
        <v>5.7</v>
      </c>
      <c r="P420" s="4" t="s">
        <v>2234</v>
      </c>
      <c r="Q420" s="4">
        <v>5.7</v>
      </c>
      <c r="R420" s="4" t="s">
        <v>2235</v>
      </c>
    </row>
    <row r="421" spans="1:18" hidden="1" x14ac:dyDescent="0.35">
      <c r="A421" s="4" t="s">
        <v>2227</v>
      </c>
      <c r="B421" s="4" t="s">
        <v>4080</v>
      </c>
      <c r="C421" s="4" t="s">
        <v>2959</v>
      </c>
      <c r="D421" s="4" t="s">
        <v>2990</v>
      </c>
      <c r="E421" s="4" t="s">
        <v>2227</v>
      </c>
      <c r="F421" s="4" t="s">
        <v>71</v>
      </c>
      <c r="G421" s="4" t="s">
        <v>137</v>
      </c>
      <c r="H421" s="4" t="s">
        <v>2231</v>
      </c>
      <c r="I421" s="5">
        <v>13599</v>
      </c>
      <c r="J421" s="4" t="s">
        <v>58</v>
      </c>
      <c r="K421" s="4" t="s">
        <v>58</v>
      </c>
      <c r="L421" s="4">
        <v>2029</v>
      </c>
      <c r="M421" s="4" t="s">
        <v>2459</v>
      </c>
      <c r="N421" s="4">
        <v>26</v>
      </c>
      <c r="O421" s="4">
        <v>26</v>
      </c>
      <c r="P421" s="4" t="s">
        <v>71</v>
      </c>
      <c r="Q421" s="4">
        <v>26</v>
      </c>
      <c r="R421" s="4" t="s">
        <v>71</v>
      </c>
    </row>
    <row r="422" spans="1:18" hidden="1" x14ac:dyDescent="0.35">
      <c r="A422" s="4" t="s">
        <v>66</v>
      </c>
      <c r="B422" s="4" t="s">
        <v>4080</v>
      </c>
      <c r="C422" s="4" t="s">
        <v>2959</v>
      </c>
      <c r="D422" s="4" t="s">
        <v>2991</v>
      </c>
      <c r="E422" s="4" t="s">
        <v>2992</v>
      </c>
      <c r="F422" s="4" t="s">
        <v>173</v>
      </c>
      <c r="G422" s="4" t="s">
        <v>409</v>
      </c>
      <c r="H422" s="4" t="s">
        <v>2231</v>
      </c>
      <c r="I422" s="5">
        <v>13599</v>
      </c>
      <c r="J422" s="4" t="s">
        <v>58</v>
      </c>
      <c r="K422" s="4" t="s">
        <v>58</v>
      </c>
      <c r="L422" s="4">
        <v>1998</v>
      </c>
      <c r="M422" s="4" t="s">
        <v>27</v>
      </c>
      <c r="N422" s="4">
        <v>36</v>
      </c>
      <c r="O422" s="4">
        <v>36</v>
      </c>
      <c r="P422" s="4" t="s">
        <v>173</v>
      </c>
      <c r="Q422" s="4">
        <v>36</v>
      </c>
      <c r="R422" s="4" t="s">
        <v>173</v>
      </c>
    </row>
    <row r="423" spans="1:18" hidden="1" x14ac:dyDescent="0.35">
      <c r="A423" s="4" t="s">
        <v>2227</v>
      </c>
      <c r="B423" s="4" t="s">
        <v>4080</v>
      </c>
      <c r="C423" s="4" t="s">
        <v>2959</v>
      </c>
      <c r="D423" s="4" t="s">
        <v>2993</v>
      </c>
      <c r="E423" s="4" t="s">
        <v>2227</v>
      </c>
      <c r="F423" s="4" t="s">
        <v>33</v>
      </c>
      <c r="G423" s="4" t="s">
        <v>46</v>
      </c>
      <c r="H423" s="4" t="s">
        <v>2231</v>
      </c>
      <c r="I423" s="5">
        <v>14199</v>
      </c>
      <c r="J423" s="4" t="s">
        <v>58</v>
      </c>
      <c r="K423" s="4" t="s">
        <v>58</v>
      </c>
      <c r="L423" s="4">
        <v>2025</v>
      </c>
      <c r="M423" s="4" t="s">
        <v>2459</v>
      </c>
      <c r="N423" s="4">
        <v>64</v>
      </c>
      <c r="O423" s="4">
        <v>64</v>
      </c>
      <c r="P423" s="4" t="s">
        <v>2234</v>
      </c>
      <c r="Q423" s="4">
        <v>64</v>
      </c>
      <c r="R423" s="4" t="s">
        <v>2235</v>
      </c>
    </row>
    <row r="424" spans="1:18" hidden="1" x14ac:dyDescent="0.35">
      <c r="A424" s="4" t="s">
        <v>210</v>
      </c>
      <c r="B424" s="4" t="s">
        <v>4080</v>
      </c>
      <c r="C424" s="4" t="s">
        <v>211</v>
      </c>
      <c r="D424" s="4" t="s">
        <v>2994</v>
      </c>
      <c r="E424" s="4" t="s">
        <v>2995</v>
      </c>
      <c r="F424" s="4" t="s">
        <v>33</v>
      </c>
      <c r="G424" s="4" t="s">
        <v>46</v>
      </c>
      <c r="H424" s="4" t="s">
        <v>2231</v>
      </c>
      <c r="I424" s="5">
        <v>14478</v>
      </c>
      <c r="J424" s="4" t="s">
        <v>213</v>
      </c>
      <c r="K424" s="4" t="s">
        <v>32</v>
      </c>
      <c r="L424" s="4">
        <v>1996</v>
      </c>
      <c r="M424" s="4" t="s">
        <v>27</v>
      </c>
      <c r="N424" s="4">
        <v>40.9</v>
      </c>
      <c r="O424" s="4">
        <v>40.9</v>
      </c>
      <c r="P424" s="4" t="s">
        <v>2234</v>
      </c>
      <c r="Q424" s="4">
        <v>40.9</v>
      </c>
      <c r="R424" s="4" t="s">
        <v>2235</v>
      </c>
    </row>
    <row r="425" spans="1:18" hidden="1" x14ac:dyDescent="0.35">
      <c r="A425" s="4" t="s">
        <v>215</v>
      </c>
      <c r="B425" s="4" t="s">
        <v>4080</v>
      </c>
      <c r="C425" s="4" t="s">
        <v>211</v>
      </c>
      <c r="D425" s="4" t="s">
        <v>2994</v>
      </c>
      <c r="E425" s="4" t="s">
        <v>2996</v>
      </c>
      <c r="F425" s="4" t="s">
        <v>33</v>
      </c>
      <c r="G425" s="4" t="s">
        <v>46</v>
      </c>
      <c r="H425" s="4" t="s">
        <v>2231</v>
      </c>
      <c r="I425" s="5">
        <v>14478</v>
      </c>
      <c r="J425" s="4" t="s">
        <v>213</v>
      </c>
      <c r="K425" s="4" t="s">
        <v>32</v>
      </c>
      <c r="L425" s="4">
        <v>1996</v>
      </c>
      <c r="M425" s="4" t="s">
        <v>27</v>
      </c>
      <c r="N425" s="4">
        <v>40.9</v>
      </c>
      <c r="O425" s="4">
        <v>40.9</v>
      </c>
      <c r="P425" s="4" t="s">
        <v>2234</v>
      </c>
      <c r="Q425" s="4">
        <v>40.9</v>
      </c>
      <c r="R425" s="4" t="s">
        <v>2235</v>
      </c>
    </row>
    <row r="426" spans="1:18" hidden="1" x14ac:dyDescent="0.35">
      <c r="A426" s="4" t="s">
        <v>174</v>
      </c>
      <c r="B426" s="4" t="s">
        <v>4080</v>
      </c>
      <c r="C426" s="4" t="s">
        <v>175</v>
      </c>
      <c r="D426" s="4" t="s">
        <v>2997</v>
      </c>
      <c r="E426" s="4" t="s">
        <v>176</v>
      </c>
      <c r="F426" s="4" t="s">
        <v>173</v>
      </c>
      <c r="G426" s="4" t="s">
        <v>409</v>
      </c>
      <c r="H426" s="4" t="s">
        <v>2231</v>
      </c>
      <c r="I426" s="5">
        <v>14727</v>
      </c>
      <c r="J426" s="4" t="s">
        <v>177</v>
      </c>
      <c r="K426" s="4" t="s">
        <v>32</v>
      </c>
      <c r="L426" s="4">
        <v>2021</v>
      </c>
      <c r="M426" s="4" t="s">
        <v>27</v>
      </c>
      <c r="N426" s="4">
        <v>32.299999999999997</v>
      </c>
      <c r="O426" s="4">
        <v>32.299999999999997</v>
      </c>
      <c r="P426" s="4" t="s">
        <v>173</v>
      </c>
      <c r="Q426" s="4">
        <v>32.299999999999997</v>
      </c>
      <c r="R426" s="4" t="s">
        <v>173</v>
      </c>
    </row>
    <row r="427" spans="1:18" hidden="1" x14ac:dyDescent="0.35">
      <c r="A427" s="4" t="s">
        <v>2998</v>
      </c>
      <c r="B427" s="4" t="s">
        <v>4080</v>
      </c>
      <c r="C427" s="4" t="s">
        <v>175</v>
      </c>
      <c r="D427" s="4" t="s">
        <v>2997</v>
      </c>
      <c r="E427" s="4" t="s">
        <v>2999</v>
      </c>
      <c r="F427" s="4" t="s">
        <v>173</v>
      </c>
      <c r="G427" s="4" t="s">
        <v>409</v>
      </c>
      <c r="H427" s="4" t="s">
        <v>2231</v>
      </c>
      <c r="I427" s="5">
        <v>14727</v>
      </c>
      <c r="J427" s="4" t="s">
        <v>177</v>
      </c>
      <c r="K427" s="4" t="s">
        <v>32</v>
      </c>
      <c r="L427" s="4">
        <v>2005</v>
      </c>
      <c r="M427" s="4" t="s">
        <v>27</v>
      </c>
      <c r="N427" s="4">
        <v>1.35</v>
      </c>
      <c r="O427" s="4">
        <v>1.35</v>
      </c>
      <c r="P427" s="4" t="s">
        <v>173</v>
      </c>
      <c r="Q427" s="4">
        <v>1.35</v>
      </c>
      <c r="R427" s="4" t="s">
        <v>173</v>
      </c>
    </row>
    <row r="428" spans="1:18" hidden="1" x14ac:dyDescent="0.35">
      <c r="A428" s="4" t="s">
        <v>515</v>
      </c>
      <c r="B428" s="4" t="s">
        <v>4080</v>
      </c>
      <c r="C428" s="4" t="s">
        <v>3000</v>
      </c>
      <c r="D428" s="4" t="s">
        <v>2744</v>
      </c>
      <c r="E428" s="4" t="s">
        <v>2227</v>
      </c>
      <c r="F428" s="4" t="s">
        <v>33</v>
      </c>
      <c r="G428" s="4" t="s">
        <v>36</v>
      </c>
      <c r="H428" s="4" t="s">
        <v>2231</v>
      </c>
      <c r="I428" s="5">
        <v>14772</v>
      </c>
      <c r="J428" s="4" t="s">
        <v>32</v>
      </c>
      <c r="K428" s="4" t="s">
        <v>32</v>
      </c>
      <c r="L428" s="4">
        <v>1997</v>
      </c>
      <c r="M428" s="4" t="s">
        <v>27</v>
      </c>
      <c r="N428" s="4">
        <v>36.799999999999997</v>
      </c>
      <c r="O428" s="4">
        <v>36.799999999999997</v>
      </c>
      <c r="P428" s="4" t="s">
        <v>2234</v>
      </c>
      <c r="Q428" s="4">
        <v>36.799999999999997</v>
      </c>
      <c r="R428" s="4" t="s">
        <v>2235</v>
      </c>
    </row>
    <row r="429" spans="1:18" hidden="1" x14ac:dyDescent="0.35">
      <c r="A429" s="4" t="s">
        <v>572</v>
      </c>
      <c r="B429" s="4" t="s">
        <v>4080</v>
      </c>
      <c r="C429" s="4" t="s">
        <v>2246</v>
      </c>
      <c r="D429" s="4" t="s">
        <v>3001</v>
      </c>
      <c r="E429" s="4" t="s">
        <v>525</v>
      </c>
      <c r="F429" s="4" t="s">
        <v>33</v>
      </c>
      <c r="G429" s="4" t="s">
        <v>46</v>
      </c>
      <c r="H429" s="4" t="s">
        <v>2249</v>
      </c>
      <c r="I429" s="5">
        <v>14774</v>
      </c>
      <c r="J429" s="4" t="s">
        <v>32</v>
      </c>
      <c r="K429" s="4" t="s">
        <v>32</v>
      </c>
      <c r="L429" s="4">
        <v>1994</v>
      </c>
      <c r="M429" s="4" t="s">
        <v>27</v>
      </c>
      <c r="N429" s="4">
        <v>60</v>
      </c>
      <c r="O429" s="4">
        <v>60</v>
      </c>
      <c r="P429" s="4" t="s">
        <v>2234</v>
      </c>
      <c r="Q429" s="4">
        <v>60</v>
      </c>
      <c r="R429" s="4" t="s">
        <v>2235</v>
      </c>
    </row>
    <row r="430" spans="1:18" hidden="1" x14ac:dyDescent="0.35">
      <c r="A430" s="4" t="s">
        <v>574</v>
      </c>
      <c r="B430" s="4" t="s">
        <v>4080</v>
      </c>
      <c r="C430" s="4" t="s">
        <v>2246</v>
      </c>
      <c r="D430" s="4" t="s">
        <v>3001</v>
      </c>
      <c r="E430" s="4" t="s">
        <v>527</v>
      </c>
      <c r="F430" s="4" t="s">
        <v>33</v>
      </c>
      <c r="G430" s="4" t="s">
        <v>46</v>
      </c>
      <c r="H430" s="4" t="s">
        <v>2249</v>
      </c>
      <c r="I430" s="5">
        <v>14774</v>
      </c>
      <c r="J430" s="4" t="s">
        <v>32</v>
      </c>
      <c r="K430" s="4" t="s">
        <v>32</v>
      </c>
      <c r="L430" s="4">
        <v>1994</v>
      </c>
      <c r="M430" s="4" t="s">
        <v>27</v>
      </c>
      <c r="N430" s="4">
        <v>60</v>
      </c>
      <c r="O430" s="4">
        <v>60</v>
      </c>
      <c r="P430" s="4" t="s">
        <v>2234</v>
      </c>
      <c r="Q430" s="4">
        <v>60</v>
      </c>
      <c r="R430" s="4" t="s">
        <v>2235</v>
      </c>
    </row>
    <row r="431" spans="1:18" hidden="1" x14ac:dyDescent="0.35">
      <c r="A431" s="4" t="s">
        <v>568</v>
      </c>
      <c r="B431" s="4" t="s">
        <v>4080</v>
      </c>
      <c r="C431" s="4" t="s">
        <v>2246</v>
      </c>
      <c r="D431" s="4" t="s">
        <v>3001</v>
      </c>
      <c r="E431" s="4" t="s">
        <v>159</v>
      </c>
      <c r="F431" s="4" t="s">
        <v>33</v>
      </c>
      <c r="G431" s="4" t="s">
        <v>46</v>
      </c>
      <c r="H431" s="4" t="s">
        <v>2249</v>
      </c>
      <c r="I431" s="5">
        <v>14774</v>
      </c>
      <c r="J431" s="4" t="s">
        <v>32</v>
      </c>
      <c r="K431" s="4" t="s">
        <v>32</v>
      </c>
      <c r="L431" s="4">
        <v>1994</v>
      </c>
      <c r="M431" s="4" t="s">
        <v>27</v>
      </c>
      <c r="N431" s="4">
        <v>56</v>
      </c>
      <c r="O431" s="4">
        <v>56</v>
      </c>
      <c r="P431" s="4" t="s">
        <v>2234</v>
      </c>
      <c r="Q431" s="4">
        <v>56</v>
      </c>
      <c r="R431" s="4" t="s">
        <v>2235</v>
      </c>
    </row>
    <row r="432" spans="1:18" hidden="1" x14ac:dyDescent="0.35">
      <c r="A432" s="4" t="s">
        <v>2186</v>
      </c>
      <c r="B432" s="4" t="s">
        <v>4081</v>
      </c>
      <c r="C432" s="4" t="s">
        <v>2187</v>
      </c>
      <c r="D432" s="4" t="s">
        <v>2964</v>
      </c>
      <c r="E432" s="4" t="s">
        <v>3002</v>
      </c>
      <c r="F432" s="4" t="s">
        <v>33</v>
      </c>
      <c r="G432" s="4" t="s">
        <v>409</v>
      </c>
      <c r="H432" s="4" t="s">
        <v>2231</v>
      </c>
      <c r="I432" s="5">
        <v>70569</v>
      </c>
      <c r="J432" s="4" t="s">
        <v>2044</v>
      </c>
      <c r="K432" s="4" t="s">
        <v>2232</v>
      </c>
      <c r="L432" s="4">
        <v>1969</v>
      </c>
      <c r="M432" s="4" t="s">
        <v>27</v>
      </c>
      <c r="N432" s="4">
        <v>11.3</v>
      </c>
      <c r="O432" s="4">
        <v>11.3</v>
      </c>
      <c r="P432" s="4" t="s">
        <v>2234</v>
      </c>
      <c r="Q432" s="4">
        <v>11.3</v>
      </c>
      <c r="R432" s="4" t="s">
        <v>2235</v>
      </c>
    </row>
    <row r="433" spans="1:18" hidden="1" x14ac:dyDescent="0.35">
      <c r="A433" s="4" t="s">
        <v>471</v>
      </c>
      <c r="B433" s="4" t="s">
        <v>4080</v>
      </c>
      <c r="C433" s="4" t="s">
        <v>3003</v>
      </c>
      <c r="D433" s="4" t="s">
        <v>3004</v>
      </c>
      <c r="E433" s="4" t="s">
        <v>2766</v>
      </c>
      <c r="F433" s="4" t="s">
        <v>33</v>
      </c>
      <c r="G433" s="4" t="s">
        <v>137</v>
      </c>
      <c r="H433" s="4" t="s">
        <v>2231</v>
      </c>
      <c r="I433" s="5">
        <v>15236</v>
      </c>
      <c r="J433" s="4" t="s">
        <v>3005</v>
      </c>
      <c r="K433" s="4" t="s">
        <v>32</v>
      </c>
      <c r="L433" s="4">
        <v>2022</v>
      </c>
      <c r="M433" s="4" t="s">
        <v>27</v>
      </c>
      <c r="N433" s="4">
        <v>10.1</v>
      </c>
      <c r="O433" s="4">
        <v>10.1</v>
      </c>
      <c r="P433" s="4" t="s">
        <v>2234</v>
      </c>
      <c r="Q433" s="4">
        <v>10.1</v>
      </c>
      <c r="R433" s="4" t="s">
        <v>2235</v>
      </c>
    </row>
    <row r="434" spans="1:18" hidden="1" x14ac:dyDescent="0.35">
      <c r="A434" s="4" t="s">
        <v>477</v>
      </c>
      <c r="B434" s="4" t="s">
        <v>4080</v>
      </c>
      <c r="C434" s="4" t="s">
        <v>3003</v>
      </c>
      <c r="D434" s="4" t="s">
        <v>3004</v>
      </c>
      <c r="E434" s="4" t="s">
        <v>2309</v>
      </c>
      <c r="F434" s="4" t="s">
        <v>33</v>
      </c>
      <c r="G434" s="4" t="s">
        <v>137</v>
      </c>
      <c r="H434" s="4" t="s">
        <v>2231</v>
      </c>
      <c r="I434" s="5">
        <v>15236</v>
      </c>
      <c r="J434" s="4" t="s">
        <v>3005</v>
      </c>
      <c r="K434" s="4" t="s">
        <v>32</v>
      </c>
      <c r="L434" s="4">
        <v>2022</v>
      </c>
      <c r="M434" s="4" t="s">
        <v>27</v>
      </c>
      <c r="N434" s="4">
        <v>10.1</v>
      </c>
      <c r="O434" s="4">
        <v>10.1</v>
      </c>
      <c r="P434" s="4" t="s">
        <v>2234</v>
      </c>
      <c r="Q434" s="4">
        <v>10.1</v>
      </c>
      <c r="R434" s="4" t="s">
        <v>2235</v>
      </c>
    </row>
    <row r="435" spans="1:18" hidden="1" x14ac:dyDescent="0.35">
      <c r="A435" s="4" t="s">
        <v>3006</v>
      </c>
      <c r="B435" s="4" t="s">
        <v>4081</v>
      </c>
      <c r="C435" s="4" t="s">
        <v>3007</v>
      </c>
      <c r="D435" s="4" t="s">
        <v>3008</v>
      </c>
      <c r="E435" s="4" t="s">
        <v>2227</v>
      </c>
      <c r="F435" s="4" t="s">
        <v>33</v>
      </c>
      <c r="G435" s="4" t="s">
        <v>409</v>
      </c>
      <c r="H435" s="4" t="s">
        <v>2249</v>
      </c>
      <c r="I435" s="5">
        <v>84489</v>
      </c>
      <c r="J435" s="4" t="s">
        <v>1890</v>
      </c>
      <c r="K435" s="4" t="s">
        <v>701</v>
      </c>
      <c r="L435" s="4">
        <v>1969</v>
      </c>
      <c r="M435" s="4" t="s">
        <v>27</v>
      </c>
      <c r="N435" s="4">
        <v>7.9</v>
      </c>
      <c r="O435" s="4">
        <v>7.9</v>
      </c>
      <c r="P435" s="4" t="s">
        <v>2234</v>
      </c>
      <c r="Q435" s="4">
        <v>7.9</v>
      </c>
      <c r="R435" s="4" t="s">
        <v>2235</v>
      </c>
    </row>
    <row r="436" spans="1:18" hidden="1" x14ac:dyDescent="0.35">
      <c r="A436" s="4" t="s">
        <v>479</v>
      </c>
      <c r="B436" s="4" t="s">
        <v>4080</v>
      </c>
      <c r="C436" s="4" t="s">
        <v>3003</v>
      </c>
      <c r="D436" s="4" t="s">
        <v>3004</v>
      </c>
      <c r="E436" s="4" t="s">
        <v>2311</v>
      </c>
      <c r="F436" s="4" t="s">
        <v>33</v>
      </c>
      <c r="G436" s="4" t="s">
        <v>137</v>
      </c>
      <c r="H436" s="4" t="s">
        <v>2231</v>
      </c>
      <c r="I436" s="5">
        <v>15236</v>
      </c>
      <c r="J436" s="4" t="s">
        <v>3005</v>
      </c>
      <c r="K436" s="4" t="s">
        <v>32</v>
      </c>
      <c r="L436" s="4">
        <v>2022</v>
      </c>
      <c r="M436" s="4" t="s">
        <v>27</v>
      </c>
      <c r="N436" s="4">
        <v>10.1</v>
      </c>
      <c r="O436" s="4">
        <v>10.1</v>
      </c>
      <c r="P436" s="4" t="s">
        <v>2234</v>
      </c>
      <c r="Q436" s="4">
        <v>10.1</v>
      </c>
      <c r="R436" s="4" t="s">
        <v>2235</v>
      </c>
    </row>
    <row r="437" spans="1:18" hidden="1" x14ac:dyDescent="0.35">
      <c r="A437" s="4" t="s">
        <v>482</v>
      </c>
      <c r="B437" s="4" t="s">
        <v>4080</v>
      </c>
      <c r="C437" s="4" t="s">
        <v>3003</v>
      </c>
      <c r="D437" s="4" t="s">
        <v>3004</v>
      </c>
      <c r="E437" s="4" t="s">
        <v>1753</v>
      </c>
      <c r="F437" s="4" t="s">
        <v>33</v>
      </c>
      <c r="G437" s="4" t="s">
        <v>137</v>
      </c>
      <c r="H437" s="4" t="s">
        <v>2231</v>
      </c>
      <c r="I437" s="5">
        <v>15236</v>
      </c>
      <c r="J437" s="4" t="s">
        <v>3005</v>
      </c>
      <c r="K437" s="4" t="s">
        <v>32</v>
      </c>
      <c r="L437" s="4">
        <v>2022</v>
      </c>
      <c r="M437" s="4" t="s">
        <v>27</v>
      </c>
      <c r="N437" s="4">
        <v>10.1</v>
      </c>
      <c r="O437" s="4">
        <v>10.1</v>
      </c>
      <c r="P437" s="4" t="s">
        <v>2234</v>
      </c>
      <c r="Q437" s="4">
        <v>10.1</v>
      </c>
      <c r="R437" s="4" t="s">
        <v>2235</v>
      </c>
    </row>
    <row r="438" spans="1:18" hidden="1" x14ac:dyDescent="0.35">
      <c r="A438" s="4" t="s">
        <v>484</v>
      </c>
      <c r="B438" s="4" t="s">
        <v>4080</v>
      </c>
      <c r="C438" s="4" t="s">
        <v>3003</v>
      </c>
      <c r="D438" s="4" t="s">
        <v>3004</v>
      </c>
      <c r="E438" s="4" t="s">
        <v>2772</v>
      </c>
      <c r="F438" s="4" t="s">
        <v>33</v>
      </c>
      <c r="G438" s="4" t="s">
        <v>137</v>
      </c>
      <c r="H438" s="4" t="s">
        <v>2231</v>
      </c>
      <c r="I438" s="5">
        <v>15236</v>
      </c>
      <c r="J438" s="4" t="s">
        <v>3005</v>
      </c>
      <c r="K438" s="4" t="s">
        <v>32</v>
      </c>
      <c r="L438" s="4">
        <v>2022</v>
      </c>
      <c r="M438" s="4" t="s">
        <v>27</v>
      </c>
      <c r="N438" s="4">
        <v>10.1</v>
      </c>
      <c r="O438" s="4">
        <v>10.1</v>
      </c>
      <c r="P438" s="4" t="s">
        <v>2234</v>
      </c>
      <c r="Q438" s="4">
        <v>10.1</v>
      </c>
      <c r="R438" s="4" t="s">
        <v>2235</v>
      </c>
    </row>
    <row r="439" spans="1:18" hidden="1" x14ac:dyDescent="0.35">
      <c r="A439" s="4" t="s">
        <v>3009</v>
      </c>
      <c r="B439" s="4" t="s">
        <v>4080</v>
      </c>
      <c r="C439" s="4" t="s">
        <v>3003</v>
      </c>
      <c r="D439" s="4" t="s">
        <v>3010</v>
      </c>
      <c r="E439" s="4" t="s">
        <v>3010</v>
      </c>
      <c r="F439" s="4" t="s">
        <v>33</v>
      </c>
      <c r="G439" s="4" t="s">
        <v>137</v>
      </c>
      <c r="H439" s="4" t="s">
        <v>2231</v>
      </c>
      <c r="I439" s="5">
        <v>15236</v>
      </c>
      <c r="J439" s="4" t="s">
        <v>3005</v>
      </c>
      <c r="K439" s="4" t="s">
        <v>32</v>
      </c>
      <c r="L439" s="4">
        <v>2015</v>
      </c>
      <c r="M439" s="4" t="s">
        <v>27</v>
      </c>
      <c r="N439" s="4">
        <v>2</v>
      </c>
      <c r="O439" s="4">
        <v>2</v>
      </c>
      <c r="P439" s="4" t="s">
        <v>2234</v>
      </c>
      <c r="Q439" s="4">
        <v>2</v>
      </c>
      <c r="R439" s="4" t="s">
        <v>2235</v>
      </c>
    </row>
    <row r="440" spans="1:18" hidden="1" x14ac:dyDescent="0.35">
      <c r="A440" s="4" t="s">
        <v>289</v>
      </c>
      <c r="B440" s="4" t="s">
        <v>4080</v>
      </c>
      <c r="C440" s="4" t="s">
        <v>2779</v>
      </c>
      <c r="D440" s="4" t="s">
        <v>3011</v>
      </c>
      <c r="E440" s="4" t="s">
        <v>2227</v>
      </c>
      <c r="F440" s="4" t="s">
        <v>173</v>
      </c>
      <c r="G440" s="4" t="s">
        <v>409</v>
      </c>
      <c r="H440" s="4" t="s">
        <v>2231</v>
      </c>
      <c r="I440" s="5">
        <v>15562</v>
      </c>
      <c r="J440" s="4" t="s">
        <v>3012</v>
      </c>
      <c r="K440" s="4" t="s">
        <v>32</v>
      </c>
      <c r="L440" s="4">
        <v>2009</v>
      </c>
      <c r="M440" s="4" t="s">
        <v>27</v>
      </c>
      <c r="N440" s="4">
        <v>30</v>
      </c>
      <c r="O440" s="4">
        <v>30</v>
      </c>
      <c r="P440" s="4" t="s">
        <v>173</v>
      </c>
      <c r="Q440" s="4">
        <v>30</v>
      </c>
      <c r="R440" s="4" t="s">
        <v>173</v>
      </c>
    </row>
    <row r="441" spans="1:18" hidden="1" x14ac:dyDescent="0.35">
      <c r="A441" s="4" t="s">
        <v>26</v>
      </c>
      <c r="B441" s="4" t="s">
        <v>4080</v>
      </c>
      <c r="C441" s="4" t="s">
        <v>3013</v>
      </c>
      <c r="D441" s="4" t="s">
        <v>3014</v>
      </c>
      <c r="E441" s="4" t="s">
        <v>3014</v>
      </c>
      <c r="F441" s="4" t="s">
        <v>33</v>
      </c>
      <c r="G441" s="4" t="s">
        <v>46</v>
      </c>
      <c r="H441" s="4" t="s">
        <v>2231</v>
      </c>
      <c r="I441" s="5">
        <v>15890</v>
      </c>
      <c r="J441" s="4" t="s">
        <v>3015</v>
      </c>
      <c r="K441" s="4" t="s">
        <v>32</v>
      </c>
      <c r="L441" s="4">
        <v>2019</v>
      </c>
      <c r="M441" s="4" t="s">
        <v>27</v>
      </c>
      <c r="N441" s="4">
        <v>61.6</v>
      </c>
      <c r="O441" s="4">
        <v>61.6</v>
      </c>
      <c r="P441" s="4" t="s">
        <v>2234</v>
      </c>
      <c r="Q441" s="4">
        <v>61.6</v>
      </c>
      <c r="R441" s="4" t="s">
        <v>2235</v>
      </c>
    </row>
    <row r="442" spans="1:18" hidden="1" x14ac:dyDescent="0.35">
      <c r="A442" s="4" t="s">
        <v>418</v>
      </c>
      <c r="B442" s="4" t="s">
        <v>4080</v>
      </c>
      <c r="C442" s="4" t="s">
        <v>3016</v>
      </c>
      <c r="D442" s="4" t="s">
        <v>3017</v>
      </c>
      <c r="E442" s="4" t="s">
        <v>2227</v>
      </c>
      <c r="F442" s="4" t="s">
        <v>173</v>
      </c>
      <c r="G442" s="4" t="s">
        <v>409</v>
      </c>
      <c r="H442" s="4" t="s">
        <v>2231</v>
      </c>
      <c r="I442" s="5">
        <v>15890</v>
      </c>
      <c r="J442" s="4" t="s">
        <v>3015</v>
      </c>
      <c r="K442" s="4" t="s">
        <v>32</v>
      </c>
      <c r="L442" s="4">
        <v>2009</v>
      </c>
      <c r="M442" s="4" t="s">
        <v>27</v>
      </c>
      <c r="N442" s="4">
        <v>32</v>
      </c>
      <c r="O442" s="4">
        <v>32</v>
      </c>
      <c r="P442" s="4" t="s">
        <v>173</v>
      </c>
      <c r="Q442" s="4">
        <v>32</v>
      </c>
      <c r="R442" s="4" t="s">
        <v>173</v>
      </c>
    </row>
    <row r="443" spans="1:18" hidden="1" x14ac:dyDescent="0.35">
      <c r="A443" s="4" t="s">
        <v>368</v>
      </c>
      <c r="B443" s="4" t="s">
        <v>4080</v>
      </c>
      <c r="C443" s="4" t="s">
        <v>3018</v>
      </c>
      <c r="D443" s="4" t="s">
        <v>3019</v>
      </c>
      <c r="E443" s="4" t="s">
        <v>2227</v>
      </c>
      <c r="F443" s="4" t="s">
        <v>173</v>
      </c>
      <c r="G443" s="4" t="s">
        <v>409</v>
      </c>
      <c r="H443" s="4" t="s">
        <v>2231</v>
      </c>
      <c r="I443" s="5">
        <v>16303</v>
      </c>
      <c r="J443" s="4" t="s">
        <v>371</v>
      </c>
      <c r="K443" s="4" t="s">
        <v>32</v>
      </c>
      <c r="L443" s="4">
        <v>2011</v>
      </c>
      <c r="M443" s="4" t="s">
        <v>27</v>
      </c>
      <c r="N443" s="4">
        <v>28.9</v>
      </c>
      <c r="O443" s="4">
        <v>28.9</v>
      </c>
      <c r="P443" s="4" t="s">
        <v>173</v>
      </c>
      <c r="Q443" s="4">
        <v>28.9</v>
      </c>
      <c r="R443" s="4" t="s">
        <v>173</v>
      </c>
    </row>
    <row r="444" spans="1:18" hidden="1" x14ac:dyDescent="0.35">
      <c r="A444" s="4" t="s">
        <v>3020</v>
      </c>
      <c r="B444" s="4" t="s">
        <v>4080</v>
      </c>
      <c r="C444" s="4" t="s">
        <v>369</v>
      </c>
      <c r="D444" s="4" t="s">
        <v>3021</v>
      </c>
      <c r="E444" s="4" t="s">
        <v>3021</v>
      </c>
      <c r="F444" s="4" t="s">
        <v>33</v>
      </c>
      <c r="G444" s="4" t="s">
        <v>409</v>
      </c>
      <c r="H444" s="4" t="s">
        <v>2231</v>
      </c>
      <c r="I444" s="5">
        <v>16306</v>
      </c>
      <c r="J444" s="4" t="s">
        <v>371</v>
      </c>
      <c r="K444" s="4" t="s">
        <v>32</v>
      </c>
      <c r="L444" s="4">
        <v>2005</v>
      </c>
      <c r="M444" s="4" t="s">
        <v>27</v>
      </c>
      <c r="N444" s="4">
        <v>4.7</v>
      </c>
      <c r="O444" s="4">
        <v>4.7</v>
      </c>
      <c r="P444" s="4" t="s">
        <v>2234</v>
      </c>
      <c r="Q444" s="4">
        <v>4.7</v>
      </c>
      <c r="R444" s="4" t="s">
        <v>2235</v>
      </c>
    </row>
    <row r="445" spans="1:18" hidden="1" x14ac:dyDescent="0.35">
      <c r="A445" s="4" t="s">
        <v>3022</v>
      </c>
      <c r="B445" s="4" t="s">
        <v>4080</v>
      </c>
      <c r="C445" s="4" t="s">
        <v>3023</v>
      </c>
      <c r="D445" s="4" t="s">
        <v>2831</v>
      </c>
      <c r="E445" s="4" t="s">
        <v>2831</v>
      </c>
      <c r="F445" s="4" t="s">
        <v>33</v>
      </c>
      <c r="G445" s="4" t="s">
        <v>137</v>
      </c>
      <c r="H445" s="4" t="s">
        <v>2231</v>
      </c>
      <c r="I445" s="5">
        <v>16909</v>
      </c>
      <c r="J445" s="4" t="s">
        <v>3024</v>
      </c>
      <c r="K445" s="4" t="s">
        <v>32</v>
      </c>
      <c r="L445" s="4">
        <v>2016</v>
      </c>
      <c r="M445" s="4" t="s">
        <v>27</v>
      </c>
      <c r="N445" s="4">
        <v>2</v>
      </c>
      <c r="O445" s="4">
        <v>2</v>
      </c>
      <c r="P445" s="4" t="s">
        <v>2234</v>
      </c>
      <c r="Q445" s="4">
        <v>2</v>
      </c>
      <c r="R445" s="4" t="s">
        <v>2235</v>
      </c>
    </row>
    <row r="446" spans="1:18" hidden="1" x14ac:dyDescent="0.35">
      <c r="A446" s="4" t="s">
        <v>404</v>
      </c>
      <c r="B446" s="4" t="s">
        <v>4080</v>
      </c>
      <c r="C446" s="4" t="s">
        <v>401</v>
      </c>
      <c r="D446" s="4" t="s">
        <v>3025</v>
      </c>
      <c r="E446" s="4" t="s">
        <v>54</v>
      </c>
      <c r="F446" s="4" t="s">
        <v>33</v>
      </c>
      <c r="G446" s="4" t="s">
        <v>46</v>
      </c>
      <c r="H446" s="4" t="s">
        <v>2231</v>
      </c>
      <c r="I446" s="5">
        <v>17034</v>
      </c>
      <c r="J446" s="4" t="s">
        <v>402</v>
      </c>
      <c r="K446" s="4" t="s">
        <v>125</v>
      </c>
      <c r="L446" s="4">
        <v>1997</v>
      </c>
      <c r="M446" s="4" t="s">
        <v>27</v>
      </c>
      <c r="N446" s="4">
        <v>23.8</v>
      </c>
      <c r="O446" s="4">
        <v>23.8</v>
      </c>
      <c r="P446" s="4" t="s">
        <v>2234</v>
      </c>
      <c r="Q446" s="4">
        <v>23.8</v>
      </c>
      <c r="R446" s="4" t="s">
        <v>2235</v>
      </c>
    </row>
    <row r="447" spans="1:18" hidden="1" x14ac:dyDescent="0.35">
      <c r="A447" s="4" t="s">
        <v>400</v>
      </c>
      <c r="B447" s="4" t="s">
        <v>4080</v>
      </c>
      <c r="C447" s="4" t="s">
        <v>401</v>
      </c>
      <c r="D447" s="4" t="s">
        <v>3025</v>
      </c>
      <c r="E447" s="4" t="s">
        <v>52</v>
      </c>
      <c r="F447" s="4" t="s">
        <v>33</v>
      </c>
      <c r="G447" s="4" t="s">
        <v>46</v>
      </c>
      <c r="H447" s="4" t="s">
        <v>2231</v>
      </c>
      <c r="I447" s="5">
        <v>17034</v>
      </c>
      <c r="J447" s="4" t="s">
        <v>402</v>
      </c>
      <c r="K447" s="4" t="s">
        <v>125</v>
      </c>
      <c r="L447" s="4">
        <v>1997</v>
      </c>
      <c r="M447" s="4" t="s">
        <v>27</v>
      </c>
      <c r="N447" s="4">
        <v>23.1</v>
      </c>
      <c r="O447" s="4">
        <v>23.1</v>
      </c>
      <c r="P447" s="4" t="s">
        <v>2234</v>
      </c>
      <c r="Q447" s="4">
        <v>23.1</v>
      </c>
      <c r="R447" s="4" t="s">
        <v>2235</v>
      </c>
    </row>
    <row r="448" spans="1:18" hidden="1" x14ac:dyDescent="0.35">
      <c r="A448" s="4" t="s">
        <v>405</v>
      </c>
      <c r="B448" s="4" t="s">
        <v>4080</v>
      </c>
      <c r="C448" s="4" t="s">
        <v>401</v>
      </c>
      <c r="D448" s="4" t="s">
        <v>3025</v>
      </c>
      <c r="E448" s="4" t="s">
        <v>159</v>
      </c>
      <c r="F448" s="4" t="s">
        <v>33</v>
      </c>
      <c r="G448" s="4" t="s">
        <v>46</v>
      </c>
      <c r="H448" s="4" t="s">
        <v>2231</v>
      </c>
      <c r="I448" s="5">
        <v>17034</v>
      </c>
      <c r="J448" s="4" t="s">
        <v>402</v>
      </c>
      <c r="K448" s="4" t="s">
        <v>125</v>
      </c>
      <c r="L448" s="4">
        <v>1997</v>
      </c>
      <c r="M448" s="4" t="s">
        <v>27</v>
      </c>
      <c r="N448" s="4">
        <v>26.5</v>
      </c>
      <c r="O448" s="4">
        <v>26.5</v>
      </c>
      <c r="P448" s="4" t="s">
        <v>2234</v>
      </c>
      <c r="Q448" s="4">
        <v>26.5</v>
      </c>
      <c r="R448" s="4" t="s">
        <v>2235</v>
      </c>
    </row>
    <row r="449" spans="1:18" hidden="1" x14ac:dyDescent="0.35">
      <c r="A449" s="4" t="s">
        <v>120</v>
      </c>
      <c r="B449" s="4" t="s">
        <v>4080</v>
      </c>
      <c r="C449" s="4" t="s">
        <v>3026</v>
      </c>
      <c r="D449" s="4" t="s">
        <v>3027</v>
      </c>
      <c r="E449" s="4" t="s">
        <v>2227</v>
      </c>
      <c r="F449" s="4" t="s">
        <v>33</v>
      </c>
      <c r="G449" s="4" t="s">
        <v>409</v>
      </c>
      <c r="H449" s="4" t="s">
        <v>2231</v>
      </c>
      <c r="I449" s="5">
        <v>17389</v>
      </c>
      <c r="J449" s="4" t="s">
        <v>123</v>
      </c>
      <c r="K449" s="4" t="s">
        <v>125</v>
      </c>
      <c r="L449" s="4">
        <v>1993</v>
      </c>
      <c r="M449" s="4" t="s">
        <v>27</v>
      </c>
      <c r="N449" s="4">
        <v>15</v>
      </c>
      <c r="O449" s="4">
        <v>15</v>
      </c>
      <c r="P449" s="4" t="s">
        <v>2234</v>
      </c>
      <c r="Q449" s="4">
        <v>15</v>
      </c>
      <c r="R449" s="4" t="s">
        <v>2235</v>
      </c>
    </row>
    <row r="450" spans="1:18" hidden="1" x14ac:dyDescent="0.35">
      <c r="A450" s="4" t="s">
        <v>3028</v>
      </c>
      <c r="B450" s="4" t="s">
        <v>4080</v>
      </c>
      <c r="C450" s="4" t="s">
        <v>3029</v>
      </c>
      <c r="D450" s="4" t="s">
        <v>3030</v>
      </c>
      <c r="E450" s="4" t="s">
        <v>1039</v>
      </c>
      <c r="F450" s="4" t="s">
        <v>33</v>
      </c>
      <c r="G450" s="4" t="s">
        <v>36</v>
      </c>
      <c r="H450" s="4" t="s">
        <v>2231</v>
      </c>
      <c r="I450" s="5">
        <v>17489</v>
      </c>
      <c r="J450" s="4" t="s">
        <v>3031</v>
      </c>
      <c r="K450" s="4" t="s">
        <v>125</v>
      </c>
      <c r="L450" s="4">
        <v>1996</v>
      </c>
      <c r="M450" s="4" t="s">
        <v>27</v>
      </c>
      <c r="N450" s="4">
        <v>4.8899999999999997</v>
      </c>
      <c r="O450" s="4">
        <v>4.8899999999999997</v>
      </c>
      <c r="P450" s="4" t="s">
        <v>2234</v>
      </c>
      <c r="Q450" s="4">
        <v>4.8899999999999997</v>
      </c>
      <c r="R450" s="4" t="s">
        <v>2235</v>
      </c>
    </row>
    <row r="451" spans="1:18" hidden="1" x14ac:dyDescent="0.35">
      <c r="A451" s="4" t="s">
        <v>3032</v>
      </c>
      <c r="B451" s="4" t="s">
        <v>4080</v>
      </c>
      <c r="C451" s="4" t="s">
        <v>3029</v>
      </c>
      <c r="D451" s="4" t="s">
        <v>3033</v>
      </c>
      <c r="E451" s="4" t="s">
        <v>3034</v>
      </c>
      <c r="F451" s="4" t="s">
        <v>33</v>
      </c>
      <c r="G451" s="4" t="s">
        <v>137</v>
      </c>
      <c r="H451" s="4" t="s">
        <v>2231</v>
      </c>
      <c r="I451" s="5">
        <v>17489</v>
      </c>
      <c r="J451" s="4" t="s">
        <v>3031</v>
      </c>
      <c r="K451" s="4" t="s">
        <v>125</v>
      </c>
      <c r="L451" s="4">
        <v>2018</v>
      </c>
      <c r="M451" s="4" t="s">
        <v>27</v>
      </c>
      <c r="N451" s="4">
        <v>2.6</v>
      </c>
      <c r="O451" s="4">
        <v>2.6</v>
      </c>
      <c r="P451" s="4" t="s">
        <v>2234</v>
      </c>
      <c r="Q451" s="4">
        <v>2.6</v>
      </c>
      <c r="R451" s="4" t="s">
        <v>2235</v>
      </c>
    </row>
    <row r="452" spans="1:18" hidden="1" x14ac:dyDescent="0.35">
      <c r="A452" s="4" t="s">
        <v>3035</v>
      </c>
      <c r="B452" s="4" t="s">
        <v>4080</v>
      </c>
      <c r="C452" s="4" t="s">
        <v>3029</v>
      </c>
      <c r="D452" s="4" t="s">
        <v>3033</v>
      </c>
      <c r="E452" s="4" t="s">
        <v>3036</v>
      </c>
      <c r="F452" s="4" t="s">
        <v>33</v>
      </c>
      <c r="G452" s="4" t="s">
        <v>137</v>
      </c>
      <c r="H452" s="4" t="s">
        <v>2231</v>
      </c>
      <c r="I452" s="5">
        <v>17489</v>
      </c>
      <c r="J452" s="4" t="s">
        <v>3031</v>
      </c>
      <c r="K452" s="4" t="s">
        <v>125</v>
      </c>
      <c r="L452" s="4">
        <v>2018</v>
      </c>
      <c r="M452" s="4" t="s">
        <v>27</v>
      </c>
      <c r="N452" s="4">
        <v>2.6</v>
      </c>
      <c r="O452" s="4">
        <v>2.6</v>
      </c>
      <c r="P452" s="4" t="s">
        <v>2234</v>
      </c>
      <c r="Q452" s="4">
        <v>2.6</v>
      </c>
      <c r="R452" s="4" t="s">
        <v>2235</v>
      </c>
    </row>
    <row r="453" spans="1:18" hidden="1" x14ac:dyDescent="0.35">
      <c r="A453" s="4" t="s">
        <v>3037</v>
      </c>
      <c r="B453" s="4" t="s">
        <v>4080</v>
      </c>
      <c r="C453" s="4" t="s">
        <v>3029</v>
      </c>
      <c r="D453" s="4" t="s">
        <v>3010</v>
      </c>
      <c r="E453" s="4" t="s">
        <v>3010</v>
      </c>
      <c r="F453" s="4" t="s">
        <v>33</v>
      </c>
      <c r="G453" s="4" t="s">
        <v>137</v>
      </c>
      <c r="H453" s="4" t="s">
        <v>2231</v>
      </c>
      <c r="I453" s="5">
        <v>17489</v>
      </c>
      <c r="J453" s="4" t="s">
        <v>3031</v>
      </c>
      <c r="K453" s="4" t="s">
        <v>125</v>
      </c>
      <c r="L453" s="4">
        <v>2020</v>
      </c>
      <c r="M453" s="4" t="s">
        <v>27</v>
      </c>
      <c r="N453" s="4">
        <v>4.0999999999999996</v>
      </c>
      <c r="O453" s="4">
        <v>4.0999999999999996</v>
      </c>
      <c r="P453" s="4" t="s">
        <v>2234</v>
      </c>
      <c r="Q453" s="4">
        <v>4.0999999999999996</v>
      </c>
      <c r="R453" s="4" t="s">
        <v>2235</v>
      </c>
    </row>
    <row r="454" spans="1:18" hidden="1" x14ac:dyDescent="0.35">
      <c r="A454" s="4" t="s">
        <v>3038</v>
      </c>
      <c r="B454" s="4" t="s">
        <v>4080</v>
      </c>
      <c r="C454" s="4" t="s">
        <v>3029</v>
      </c>
      <c r="D454" s="4" t="s">
        <v>3039</v>
      </c>
      <c r="E454" s="4" t="s">
        <v>2485</v>
      </c>
      <c r="F454" s="4" t="s">
        <v>33</v>
      </c>
      <c r="G454" s="4" t="s">
        <v>137</v>
      </c>
      <c r="H454" s="4" t="s">
        <v>2249</v>
      </c>
      <c r="I454" s="5">
        <v>17489</v>
      </c>
      <c r="J454" s="4" t="s">
        <v>3031</v>
      </c>
      <c r="K454" s="4" t="s">
        <v>125</v>
      </c>
      <c r="L454" s="4">
        <v>2023</v>
      </c>
      <c r="M454" s="4" t="s">
        <v>2233</v>
      </c>
      <c r="N454" s="4">
        <v>4.5</v>
      </c>
      <c r="O454" s="4">
        <v>4.5</v>
      </c>
      <c r="P454" s="4" t="s">
        <v>2234</v>
      </c>
      <c r="Q454" s="4">
        <v>4.5</v>
      </c>
      <c r="R454" s="4" t="s">
        <v>2235</v>
      </c>
    </row>
    <row r="455" spans="1:18" hidden="1" x14ac:dyDescent="0.35">
      <c r="A455" s="4" t="s">
        <v>294</v>
      </c>
      <c r="B455" s="4" t="s">
        <v>4080</v>
      </c>
      <c r="C455" s="4" t="s">
        <v>295</v>
      </c>
      <c r="D455" s="4" t="s">
        <v>3040</v>
      </c>
      <c r="E455" s="4" t="s">
        <v>3040</v>
      </c>
      <c r="F455" s="4" t="s">
        <v>33</v>
      </c>
      <c r="G455" s="4" t="s">
        <v>36</v>
      </c>
      <c r="H455" s="4" t="s">
        <v>2231</v>
      </c>
      <c r="I455" s="5">
        <v>17509</v>
      </c>
      <c r="J455" s="4" t="s">
        <v>296</v>
      </c>
      <c r="K455" s="4" t="s">
        <v>125</v>
      </c>
      <c r="L455" s="4">
        <v>2013</v>
      </c>
      <c r="M455" s="4" t="s">
        <v>27</v>
      </c>
      <c r="N455" s="4">
        <v>38.200000000000003</v>
      </c>
      <c r="O455" s="4">
        <v>38.200000000000003</v>
      </c>
      <c r="P455" s="4" t="s">
        <v>2234</v>
      </c>
      <c r="Q455" s="4">
        <v>38.200000000000003</v>
      </c>
      <c r="R455" s="4" t="s">
        <v>2235</v>
      </c>
    </row>
    <row r="456" spans="1:18" hidden="1" x14ac:dyDescent="0.35">
      <c r="A456" s="4" t="s">
        <v>506</v>
      </c>
      <c r="B456" s="4" t="s">
        <v>4080</v>
      </c>
      <c r="C456" s="4" t="s">
        <v>3041</v>
      </c>
      <c r="D456" s="4" t="s">
        <v>3042</v>
      </c>
      <c r="E456" s="4" t="s">
        <v>2995</v>
      </c>
      <c r="F456" s="4" t="s">
        <v>33</v>
      </c>
      <c r="G456" s="4" t="s">
        <v>46</v>
      </c>
      <c r="H456" s="4" t="s">
        <v>2231</v>
      </c>
      <c r="I456" s="5">
        <v>18069</v>
      </c>
      <c r="J456" s="4" t="s">
        <v>509</v>
      </c>
      <c r="K456" s="4" t="s">
        <v>125</v>
      </c>
      <c r="L456" s="4">
        <v>1996</v>
      </c>
      <c r="M456" s="4" t="s">
        <v>27</v>
      </c>
      <c r="N456" s="4">
        <v>36</v>
      </c>
      <c r="O456" s="4">
        <v>36</v>
      </c>
      <c r="P456" s="4" t="s">
        <v>2234</v>
      </c>
      <c r="Q456" s="4">
        <v>36</v>
      </c>
      <c r="R456" s="4" t="s">
        <v>2235</v>
      </c>
    </row>
    <row r="457" spans="1:18" hidden="1" x14ac:dyDescent="0.35">
      <c r="A457" s="4" t="s">
        <v>511</v>
      </c>
      <c r="B457" s="4" t="s">
        <v>4080</v>
      </c>
      <c r="C457" s="4" t="s">
        <v>3041</v>
      </c>
      <c r="D457" s="4" t="s">
        <v>3042</v>
      </c>
      <c r="E457" s="4" t="s">
        <v>2996</v>
      </c>
      <c r="F457" s="4" t="s">
        <v>33</v>
      </c>
      <c r="G457" s="4" t="s">
        <v>46</v>
      </c>
      <c r="H457" s="4" t="s">
        <v>2231</v>
      </c>
      <c r="I457" s="5">
        <v>18069</v>
      </c>
      <c r="J457" s="4" t="s">
        <v>509</v>
      </c>
      <c r="K457" s="4" t="s">
        <v>125</v>
      </c>
      <c r="L457" s="4">
        <v>1996</v>
      </c>
      <c r="M457" s="4" t="s">
        <v>27</v>
      </c>
      <c r="N457" s="4">
        <v>36</v>
      </c>
      <c r="O457" s="4">
        <v>36</v>
      </c>
      <c r="P457" s="4" t="s">
        <v>2234</v>
      </c>
      <c r="Q457" s="4">
        <v>36</v>
      </c>
      <c r="R457" s="4" t="s">
        <v>2235</v>
      </c>
    </row>
    <row r="458" spans="1:18" hidden="1" x14ac:dyDescent="0.35">
      <c r="A458" s="4" t="s">
        <v>513</v>
      </c>
      <c r="B458" s="4" t="s">
        <v>4080</v>
      </c>
      <c r="C458" s="4" t="s">
        <v>3041</v>
      </c>
      <c r="D458" s="4" t="s">
        <v>3042</v>
      </c>
      <c r="E458" s="4" t="s">
        <v>3043</v>
      </c>
      <c r="F458" s="4" t="s">
        <v>33</v>
      </c>
      <c r="G458" s="4" t="s">
        <v>46</v>
      </c>
      <c r="H458" s="4" t="s">
        <v>2231</v>
      </c>
      <c r="I458" s="5">
        <v>18069</v>
      </c>
      <c r="J458" s="4" t="s">
        <v>509</v>
      </c>
      <c r="K458" s="4" t="s">
        <v>125</v>
      </c>
      <c r="L458" s="4">
        <v>1996</v>
      </c>
      <c r="M458" s="4" t="s">
        <v>27</v>
      </c>
      <c r="N458" s="4">
        <v>36</v>
      </c>
      <c r="O458" s="4">
        <v>36</v>
      </c>
      <c r="P458" s="4" t="s">
        <v>2234</v>
      </c>
      <c r="Q458" s="4">
        <v>36</v>
      </c>
      <c r="R458" s="4" t="s">
        <v>2235</v>
      </c>
    </row>
    <row r="459" spans="1:18" hidden="1" x14ac:dyDescent="0.35">
      <c r="A459" s="4" t="s">
        <v>576</v>
      </c>
      <c r="B459" s="4" t="s">
        <v>4080</v>
      </c>
      <c r="C459" s="4" t="s">
        <v>577</v>
      </c>
      <c r="D459" s="4" t="s">
        <v>578</v>
      </c>
      <c r="E459" s="4" t="s">
        <v>2227</v>
      </c>
      <c r="F459" s="4" t="s">
        <v>173</v>
      </c>
      <c r="G459" s="4" t="s">
        <v>409</v>
      </c>
      <c r="H459" s="4" t="s">
        <v>2231</v>
      </c>
      <c r="I459" s="5">
        <v>18147</v>
      </c>
      <c r="J459" s="4" t="s">
        <v>509</v>
      </c>
      <c r="K459" s="4" t="s">
        <v>125</v>
      </c>
      <c r="L459" s="4">
        <v>2010</v>
      </c>
      <c r="M459" s="4" t="s">
        <v>27</v>
      </c>
      <c r="N459" s="4">
        <v>18.5</v>
      </c>
      <c r="O459" s="4">
        <v>18.5</v>
      </c>
      <c r="P459" s="4" t="s">
        <v>173</v>
      </c>
      <c r="Q459" s="4">
        <v>18.5</v>
      </c>
      <c r="R459" s="4" t="s">
        <v>173</v>
      </c>
    </row>
    <row r="460" spans="1:18" hidden="1" x14ac:dyDescent="0.35">
      <c r="A460" s="4" t="s">
        <v>2227</v>
      </c>
      <c r="B460" s="4" t="s">
        <v>4080</v>
      </c>
      <c r="C460" s="4" t="s">
        <v>2227</v>
      </c>
      <c r="D460" s="4" t="s">
        <v>2227</v>
      </c>
      <c r="E460" s="4" t="s">
        <v>2227</v>
      </c>
      <c r="F460" s="4" t="s">
        <v>2234</v>
      </c>
      <c r="G460" s="4" t="s">
        <v>46</v>
      </c>
      <c r="H460" s="4" t="s">
        <v>2231</v>
      </c>
      <c r="I460" s="5" t="s">
        <v>2227</v>
      </c>
      <c r="J460" s="5" t="s">
        <v>2227</v>
      </c>
      <c r="K460" s="4" t="s">
        <v>125</v>
      </c>
      <c r="L460" s="4" t="s">
        <v>2227</v>
      </c>
      <c r="M460" s="4" t="s">
        <v>2459</v>
      </c>
      <c r="N460" s="6">
        <v>972</v>
      </c>
      <c r="O460" s="6">
        <v>877.51869288285798</v>
      </c>
      <c r="P460" s="4" t="s">
        <v>2234</v>
      </c>
      <c r="Q460" s="6">
        <v>877.51869288285798</v>
      </c>
      <c r="R460" s="4" t="s">
        <v>2235</v>
      </c>
    </row>
    <row r="461" spans="1:18" hidden="1" x14ac:dyDescent="0.35">
      <c r="A461" s="4" t="s">
        <v>3044</v>
      </c>
      <c r="B461" s="4" t="s">
        <v>4080</v>
      </c>
      <c r="C461" s="4" t="s">
        <v>3045</v>
      </c>
      <c r="D461" s="4" t="s">
        <v>3046</v>
      </c>
      <c r="E461" s="4" t="s">
        <v>3047</v>
      </c>
      <c r="F461" s="4" t="s">
        <v>33</v>
      </c>
      <c r="G461" s="4" t="s">
        <v>46</v>
      </c>
      <c r="H461" s="4" t="s">
        <v>2231</v>
      </c>
      <c r="I461" s="5">
        <v>19057</v>
      </c>
      <c r="J461" s="4" t="s">
        <v>220</v>
      </c>
      <c r="K461" s="4" t="s">
        <v>125</v>
      </c>
      <c r="L461" s="4">
        <v>1994</v>
      </c>
      <c r="M461" s="4" t="s">
        <v>27</v>
      </c>
      <c r="N461" s="4">
        <v>6</v>
      </c>
      <c r="O461" s="4">
        <v>6</v>
      </c>
      <c r="P461" s="4" t="s">
        <v>2234</v>
      </c>
      <c r="Q461" s="4">
        <v>6</v>
      </c>
      <c r="R461" s="4" t="s">
        <v>2235</v>
      </c>
    </row>
    <row r="462" spans="1:18" hidden="1" x14ac:dyDescent="0.35">
      <c r="A462" s="4" t="s">
        <v>225</v>
      </c>
      <c r="B462" s="4" t="s">
        <v>4080</v>
      </c>
      <c r="C462" s="4" t="s">
        <v>218</v>
      </c>
      <c r="D462" s="4" t="s">
        <v>3048</v>
      </c>
      <c r="E462" s="4" t="s">
        <v>54</v>
      </c>
      <c r="F462" s="4" t="s">
        <v>33</v>
      </c>
      <c r="G462" s="4" t="s">
        <v>46</v>
      </c>
      <c r="H462" s="4" t="s">
        <v>2231</v>
      </c>
      <c r="I462" s="5">
        <v>19061</v>
      </c>
      <c r="J462" s="4" t="s">
        <v>220</v>
      </c>
      <c r="K462" s="4" t="s">
        <v>125</v>
      </c>
      <c r="L462" s="4">
        <v>2022</v>
      </c>
      <c r="M462" s="4" t="s">
        <v>27</v>
      </c>
      <c r="N462" s="4">
        <v>25</v>
      </c>
      <c r="O462" s="4">
        <v>25</v>
      </c>
      <c r="P462" s="4" t="s">
        <v>2234</v>
      </c>
      <c r="Q462" s="4">
        <v>25</v>
      </c>
      <c r="R462" s="4" t="s">
        <v>2235</v>
      </c>
    </row>
    <row r="463" spans="1:18" hidden="1" x14ac:dyDescent="0.35">
      <c r="A463" s="4" t="s">
        <v>227</v>
      </c>
      <c r="B463" s="4" t="s">
        <v>4080</v>
      </c>
      <c r="C463" s="4" t="s">
        <v>218</v>
      </c>
      <c r="D463" s="4" t="s">
        <v>3048</v>
      </c>
      <c r="E463" s="4" t="s">
        <v>52</v>
      </c>
      <c r="F463" s="4" t="s">
        <v>33</v>
      </c>
      <c r="G463" s="4" t="s">
        <v>46</v>
      </c>
      <c r="H463" s="4" t="s">
        <v>2231</v>
      </c>
      <c r="I463" s="5">
        <v>19061</v>
      </c>
      <c r="J463" s="4" t="s">
        <v>220</v>
      </c>
      <c r="K463" s="4" t="s">
        <v>125</v>
      </c>
      <c r="L463" s="4">
        <v>2022</v>
      </c>
      <c r="M463" s="4" t="s">
        <v>27</v>
      </c>
      <c r="N463" s="4">
        <v>25</v>
      </c>
      <c r="O463" s="4">
        <v>25</v>
      </c>
      <c r="P463" s="4" t="s">
        <v>2234</v>
      </c>
      <c r="Q463" s="4">
        <v>25</v>
      </c>
      <c r="R463" s="4" t="s">
        <v>2235</v>
      </c>
    </row>
    <row r="464" spans="1:18" hidden="1" x14ac:dyDescent="0.35">
      <c r="A464" s="4" t="s">
        <v>222</v>
      </c>
      <c r="B464" s="4" t="s">
        <v>4080</v>
      </c>
      <c r="C464" s="4" t="s">
        <v>218</v>
      </c>
      <c r="D464" s="4" t="s">
        <v>3048</v>
      </c>
      <c r="E464" s="4" t="s">
        <v>159</v>
      </c>
      <c r="F464" s="4" t="s">
        <v>33</v>
      </c>
      <c r="G464" s="4" t="s">
        <v>46</v>
      </c>
      <c r="H464" s="4" t="s">
        <v>2231</v>
      </c>
      <c r="I464" s="5">
        <v>19061</v>
      </c>
      <c r="J464" s="4" t="s">
        <v>220</v>
      </c>
      <c r="K464" s="4" t="s">
        <v>125</v>
      </c>
      <c r="L464" s="4">
        <v>2022</v>
      </c>
      <c r="M464" s="4" t="s">
        <v>27</v>
      </c>
      <c r="N464" s="4">
        <v>23</v>
      </c>
      <c r="O464" s="4">
        <v>23</v>
      </c>
      <c r="P464" s="4" t="s">
        <v>2234</v>
      </c>
      <c r="Q464" s="4">
        <v>23</v>
      </c>
      <c r="R464" s="4" t="s">
        <v>2235</v>
      </c>
    </row>
    <row r="465" spans="1:18" hidden="1" x14ac:dyDescent="0.35">
      <c r="A465" s="4" t="s">
        <v>3049</v>
      </c>
      <c r="B465" s="4" t="s">
        <v>4080</v>
      </c>
      <c r="C465" s="4" t="s">
        <v>262</v>
      </c>
      <c r="D465" s="4" t="s">
        <v>3050</v>
      </c>
      <c r="E465" s="4" t="s">
        <v>2831</v>
      </c>
      <c r="F465" s="4" t="s">
        <v>33</v>
      </c>
      <c r="G465" s="4" t="s">
        <v>137</v>
      </c>
      <c r="H465" s="4" t="s">
        <v>2231</v>
      </c>
      <c r="I465" s="5">
        <v>20457</v>
      </c>
      <c r="J465" s="4" t="s">
        <v>264</v>
      </c>
      <c r="K465" s="4" t="s">
        <v>264</v>
      </c>
      <c r="L465" s="4">
        <v>2005</v>
      </c>
      <c r="M465" s="4" t="s">
        <v>27</v>
      </c>
      <c r="N465" s="4">
        <v>1.9</v>
      </c>
      <c r="O465" s="4">
        <v>1.9</v>
      </c>
      <c r="P465" s="4" t="s">
        <v>2234</v>
      </c>
      <c r="Q465" s="4">
        <v>1.9</v>
      </c>
      <c r="R465" s="4" t="s">
        <v>2235</v>
      </c>
    </row>
    <row r="466" spans="1:18" hidden="1" x14ac:dyDescent="0.35">
      <c r="A466" s="4" t="s">
        <v>3051</v>
      </c>
      <c r="B466" s="4" t="s">
        <v>4080</v>
      </c>
      <c r="C466" s="4" t="s">
        <v>3052</v>
      </c>
      <c r="D466" s="4" t="s">
        <v>3053</v>
      </c>
      <c r="E466" s="4" t="s">
        <v>409</v>
      </c>
      <c r="F466" s="4" t="s">
        <v>173</v>
      </c>
      <c r="G466" s="4" t="s">
        <v>409</v>
      </c>
      <c r="H466" s="4" t="s">
        <v>2231</v>
      </c>
      <c r="I466" s="5">
        <v>20457</v>
      </c>
      <c r="J466" s="4" t="s">
        <v>264</v>
      </c>
      <c r="K466" s="4" t="s">
        <v>264</v>
      </c>
      <c r="L466" s="4">
        <v>1997</v>
      </c>
      <c r="M466" s="4" t="s">
        <v>27</v>
      </c>
      <c r="N466" s="4">
        <v>3.6</v>
      </c>
      <c r="O466" s="4">
        <v>3.6</v>
      </c>
      <c r="P466" s="4" t="s">
        <v>173</v>
      </c>
      <c r="Q466" s="4">
        <v>3.6</v>
      </c>
      <c r="R466" s="4" t="s">
        <v>173</v>
      </c>
    </row>
    <row r="467" spans="1:18" hidden="1" x14ac:dyDescent="0.35">
      <c r="A467" s="4" t="s">
        <v>3054</v>
      </c>
      <c r="B467" s="4" t="s">
        <v>4080</v>
      </c>
      <c r="C467" s="4" t="s">
        <v>3055</v>
      </c>
      <c r="D467" s="4" t="s">
        <v>3056</v>
      </c>
      <c r="E467" s="4" t="s">
        <v>525</v>
      </c>
      <c r="F467" s="4" t="s">
        <v>33</v>
      </c>
      <c r="G467" s="4" t="s">
        <v>36</v>
      </c>
      <c r="H467" s="4" t="s">
        <v>2231</v>
      </c>
      <c r="I467" s="5">
        <v>21107</v>
      </c>
      <c r="J467" s="4" t="s">
        <v>264</v>
      </c>
      <c r="K467" s="4" t="s">
        <v>264</v>
      </c>
      <c r="L467" s="4">
        <v>2013</v>
      </c>
      <c r="M467" s="4" t="s">
        <v>27</v>
      </c>
      <c r="N467" s="4">
        <v>5.5</v>
      </c>
      <c r="O467" s="4">
        <v>5.5</v>
      </c>
      <c r="P467" s="4" t="s">
        <v>2234</v>
      </c>
      <c r="Q467" s="4">
        <v>5.5</v>
      </c>
      <c r="R467" s="4" t="s">
        <v>2235</v>
      </c>
    </row>
    <row r="468" spans="1:18" hidden="1" x14ac:dyDescent="0.35">
      <c r="A468" s="4" t="s">
        <v>3057</v>
      </c>
      <c r="B468" s="4" t="s">
        <v>4080</v>
      </c>
      <c r="C468" s="4" t="s">
        <v>3055</v>
      </c>
      <c r="D468" s="4" t="s">
        <v>3056</v>
      </c>
      <c r="E468" s="4" t="s">
        <v>527</v>
      </c>
      <c r="F468" s="4" t="s">
        <v>33</v>
      </c>
      <c r="G468" s="4" t="s">
        <v>36</v>
      </c>
      <c r="H468" s="4" t="s">
        <v>2231</v>
      </c>
      <c r="I468" s="5">
        <v>21107</v>
      </c>
      <c r="J468" s="4" t="s">
        <v>264</v>
      </c>
      <c r="K468" s="4" t="s">
        <v>264</v>
      </c>
      <c r="L468" s="4">
        <v>2013</v>
      </c>
      <c r="M468" s="4" t="s">
        <v>27</v>
      </c>
      <c r="N468" s="4">
        <v>5.5</v>
      </c>
      <c r="O468" s="4">
        <v>5.5</v>
      </c>
      <c r="P468" s="4" t="s">
        <v>2234</v>
      </c>
      <c r="Q468" s="4">
        <v>5.5</v>
      </c>
      <c r="R468" s="4" t="s">
        <v>2235</v>
      </c>
    </row>
    <row r="469" spans="1:18" hidden="1" x14ac:dyDescent="0.35">
      <c r="A469" s="4" t="s">
        <v>3058</v>
      </c>
      <c r="B469" s="4" t="s">
        <v>4080</v>
      </c>
      <c r="C469" s="4" t="s">
        <v>3055</v>
      </c>
      <c r="D469" s="4" t="s">
        <v>3056</v>
      </c>
      <c r="E469" s="4" t="s">
        <v>3059</v>
      </c>
      <c r="F469" s="4" t="s">
        <v>33</v>
      </c>
      <c r="G469" s="4" t="s">
        <v>36</v>
      </c>
      <c r="H469" s="4" t="s">
        <v>2231</v>
      </c>
      <c r="I469" s="5">
        <v>21107</v>
      </c>
      <c r="J469" s="4" t="s">
        <v>264</v>
      </c>
      <c r="K469" s="4" t="s">
        <v>264</v>
      </c>
      <c r="L469" s="4">
        <v>2013</v>
      </c>
      <c r="M469" s="4" t="s">
        <v>27</v>
      </c>
      <c r="N469" s="4">
        <v>5.5</v>
      </c>
      <c r="O469" s="4">
        <v>5.5</v>
      </c>
      <c r="P469" s="4" t="s">
        <v>2234</v>
      </c>
      <c r="Q469" s="4">
        <v>5.5</v>
      </c>
      <c r="R469" s="4" t="s">
        <v>2235</v>
      </c>
    </row>
    <row r="470" spans="1:18" hidden="1" x14ac:dyDescent="0.35">
      <c r="A470" s="4" t="s">
        <v>3060</v>
      </c>
      <c r="B470" s="4" t="s">
        <v>4080</v>
      </c>
      <c r="C470" s="4" t="s">
        <v>3055</v>
      </c>
      <c r="D470" s="4" t="s">
        <v>3056</v>
      </c>
      <c r="E470" s="4" t="s">
        <v>529</v>
      </c>
      <c r="F470" s="4" t="s">
        <v>33</v>
      </c>
      <c r="G470" s="4" t="s">
        <v>36</v>
      </c>
      <c r="H470" s="4" t="s">
        <v>2231</v>
      </c>
      <c r="I470" s="5">
        <v>21107</v>
      </c>
      <c r="J470" s="4" t="s">
        <v>264</v>
      </c>
      <c r="K470" s="4" t="s">
        <v>264</v>
      </c>
      <c r="L470" s="4">
        <v>2008</v>
      </c>
      <c r="M470" s="4" t="s">
        <v>27</v>
      </c>
      <c r="N470" s="4">
        <v>5</v>
      </c>
      <c r="O470" s="4">
        <v>5</v>
      </c>
      <c r="P470" s="4" t="s">
        <v>2234</v>
      </c>
      <c r="Q470" s="4">
        <v>5</v>
      </c>
      <c r="R470" s="4" t="s">
        <v>2235</v>
      </c>
    </row>
    <row r="471" spans="1:18" hidden="1" x14ac:dyDescent="0.35">
      <c r="A471" s="4" t="s">
        <v>3061</v>
      </c>
      <c r="B471" s="4" t="s">
        <v>4080</v>
      </c>
      <c r="C471" s="4" t="s">
        <v>3055</v>
      </c>
      <c r="D471" s="4" t="s">
        <v>3056</v>
      </c>
      <c r="E471" s="4" t="s">
        <v>409</v>
      </c>
      <c r="F471" s="4" t="s">
        <v>33</v>
      </c>
      <c r="G471" s="4" t="s">
        <v>409</v>
      </c>
      <c r="H471" s="4" t="s">
        <v>2231</v>
      </c>
      <c r="I471" s="5">
        <v>21107</v>
      </c>
      <c r="J471" s="4" t="s">
        <v>264</v>
      </c>
      <c r="K471" s="4" t="s">
        <v>264</v>
      </c>
      <c r="L471" s="4">
        <v>2009</v>
      </c>
      <c r="M471" s="4" t="s">
        <v>27</v>
      </c>
      <c r="N471" s="4">
        <v>2</v>
      </c>
      <c r="O471" s="4">
        <v>2</v>
      </c>
      <c r="P471" s="4" t="s">
        <v>2234</v>
      </c>
      <c r="Q471" s="4">
        <v>2</v>
      </c>
      <c r="R471" s="4" t="s">
        <v>2235</v>
      </c>
    </row>
    <row r="472" spans="1:18" hidden="1" x14ac:dyDescent="0.35">
      <c r="A472" s="4" t="s">
        <v>390</v>
      </c>
      <c r="B472" s="4" t="s">
        <v>4080</v>
      </c>
      <c r="C472" s="4" t="s">
        <v>3062</v>
      </c>
      <c r="D472" s="4" t="s">
        <v>3063</v>
      </c>
      <c r="E472" s="4" t="s">
        <v>2227</v>
      </c>
      <c r="F472" s="4" t="s">
        <v>173</v>
      </c>
      <c r="G472" s="4" t="s">
        <v>409</v>
      </c>
      <c r="H472" s="4" t="s">
        <v>2231</v>
      </c>
      <c r="I472" s="5">
        <v>21129</v>
      </c>
      <c r="J472" s="4" t="s">
        <v>264</v>
      </c>
      <c r="K472" s="4" t="s">
        <v>264</v>
      </c>
      <c r="L472" s="4">
        <v>1999</v>
      </c>
      <c r="M472" s="4" t="s">
        <v>27</v>
      </c>
      <c r="N472" s="4">
        <v>23.88</v>
      </c>
      <c r="O472" s="4">
        <v>23.88</v>
      </c>
      <c r="P472" s="4" t="s">
        <v>173</v>
      </c>
      <c r="Q472" s="4">
        <v>23.88</v>
      </c>
      <c r="R472" s="4" t="s">
        <v>173</v>
      </c>
    </row>
    <row r="473" spans="1:18" hidden="1" x14ac:dyDescent="0.35">
      <c r="A473" s="4" t="s">
        <v>2227</v>
      </c>
      <c r="B473" s="4" t="s">
        <v>4080</v>
      </c>
      <c r="C473" s="4" t="s">
        <v>3064</v>
      </c>
      <c r="D473" s="4" t="s">
        <v>3065</v>
      </c>
      <c r="E473" s="4" t="s">
        <v>2227</v>
      </c>
      <c r="F473" s="4" t="s">
        <v>33</v>
      </c>
      <c r="G473" s="4" t="s">
        <v>46</v>
      </c>
      <c r="H473" s="4" t="s">
        <v>2231</v>
      </c>
      <c r="I473" s="5">
        <v>21129</v>
      </c>
      <c r="J473" s="4" t="s">
        <v>264</v>
      </c>
      <c r="K473" s="4" t="s">
        <v>264</v>
      </c>
      <c r="L473" s="4">
        <v>2025</v>
      </c>
      <c r="M473" s="4" t="s">
        <v>2233</v>
      </c>
      <c r="N473" s="4">
        <v>182</v>
      </c>
      <c r="O473" s="4">
        <v>182</v>
      </c>
      <c r="P473" s="4" t="s">
        <v>2234</v>
      </c>
      <c r="Q473" s="4">
        <v>182</v>
      </c>
      <c r="R473" s="4" t="s">
        <v>2235</v>
      </c>
    </row>
    <row r="474" spans="1:18" hidden="1" x14ac:dyDescent="0.35">
      <c r="A474" s="4" t="s">
        <v>3066</v>
      </c>
      <c r="B474" s="4" t="s">
        <v>4080</v>
      </c>
      <c r="C474" s="4" t="s">
        <v>3067</v>
      </c>
      <c r="D474" s="4" t="s">
        <v>3068</v>
      </c>
      <c r="E474" s="4" t="s">
        <v>2749</v>
      </c>
      <c r="F474" s="4" t="s">
        <v>33</v>
      </c>
      <c r="G474" s="4" t="s">
        <v>137</v>
      </c>
      <c r="H474" s="4" t="s">
        <v>2231</v>
      </c>
      <c r="I474" s="5">
        <v>21129</v>
      </c>
      <c r="J474" s="4" t="s">
        <v>264</v>
      </c>
      <c r="K474" s="4" t="s">
        <v>264</v>
      </c>
      <c r="L474" s="4">
        <v>2013</v>
      </c>
      <c r="M474" s="4" t="s">
        <v>27</v>
      </c>
      <c r="N474" s="4">
        <v>4.0999999999999996</v>
      </c>
      <c r="O474" s="4">
        <v>4.0999999999999996</v>
      </c>
      <c r="P474" s="4" t="s">
        <v>2234</v>
      </c>
      <c r="Q474" s="4">
        <v>4.0999999999999996</v>
      </c>
      <c r="R474" s="4" t="s">
        <v>2235</v>
      </c>
    </row>
    <row r="475" spans="1:18" hidden="1" x14ac:dyDescent="0.35">
      <c r="A475" s="4" t="s">
        <v>3069</v>
      </c>
      <c r="B475" s="4" t="s">
        <v>4080</v>
      </c>
      <c r="C475" s="4" t="s">
        <v>3067</v>
      </c>
      <c r="D475" s="4" t="s">
        <v>3068</v>
      </c>
      <c r="E475" s="4" t="s">
        <v>3070</v>
      </c>
      <c r="F475" s="4" t="s">
        <v>33</v>
      </c>
      <c r="G475" s="4" t="s">
        <v>137</v>
      </c>
      <c r="H475" s="4" t="s">
        <v>2231</v>
      </c>
      <c r="I475" s="5">
        <v>21129</v>
      </c>
      <c r="J475" s="4" t="s">
        <v>264</v>
      </c>
      <c r="K475" s="4" t="s">
        <v>264</v>
      </c>
      <c r="L475" s="4">
        <v>2016</v>
      </c>
      <c r="M475" s="4" t="s">
        <v>27</v>
      </c>
      <c r="N475" s="4">
        <v>2</v>
      </c>
      <c r="O475" s="4">
        <v>2</v>
      </c>
      <c r="P475" s="4" t="s">
        <v>2234</v>
      </c>
      <c r="Q475" s="4">
        <v>2</v>
      </c>
      <c r="R475" s="4" t="s">
        <v>2235</v>
      </c>
    </row>
    <row r="476" spans="1:18" hidden="1" x14ac:dyDescent="0.35">
      <c r="A476" s="4" t="s">
        <v>3071</v>
      </c>
      <c r="B476" s="4" t="s">
        <v>4080</v>
      </c>
      <c r="C476" s="4" t="s">
        <v>2854</v>
      </c>
      <c r="D476" s="4" t="s">
        <v>3072</v>
      </c>
      <c r="E476" s="4" t="s">
        <v>2856</v>
      </c>
      <c r="F476" s="4" t="s">
        <v>2255</v>
      </c>
      <c r="G476" s="4" t="s">
        <v>2256</v>
      </c>
      <c r="H476" s="4" t="s">
        <v>2249</v>
      </c>
      <c r="I476" s="5">
        <v>21502</v>
      </c>
      <c r="J476" s="4" t="s">
        <v>3072</v>
      </c>
      <c r="K476" s="4" t="s">
        <v>276</v>
      </c>
      <c r="L476" s="4">
        <v>1958</v>
      </c>
      <c r="M476" s="4" t="s">
        <v>27</v>
      </c>
      <c r="N476" s="4">
        <v>39.700000000000003</v>
      </c>
      <c r="O476" s="4">
        <v>39.700000000000003</v>
      </c>
      <c r="P476" s="4" t="s">
        <v>2255</v>
      </c>
      <c r="Q476" s="4">
        <v>39.700000000000003</v>
      </c>
      <c r="R476" s="4" t="s">
        <v>2255</v>
      </c>
    </row>
    <row r="477" spans="1:18" hidden="1" x14ac:dyDescent="0.35">
      <c r="A477" s="4" t="s">
        <v>3073</v>
      </c>
      <c r="B477" s="4" t="s">
        <v>4080</v>
      </c>
      <c r="C477" s="4" t="s">
        <v>2854</v>
      </c>
      <c r="D477" s="4" t="s">
        <v>3072</v>
      </c>
      <c r="E477" s="4" t="s">
        <v>2861</v>
      </c>
      <c r="F477" s="4" t="s">
        <v>2255</v>
      </c>
      <c r="G477" s="4" t="s">
        <v>2256</v>
      </c>
      <c r="H477" s="4" t="s">
        <v>2249</v>
      </c>
      <c r="I477" s="5">
        <v>21502</v>
      </c>
      <c r="J477" s="4" t="s">
        <v>3072</v>
      </c>
      <c r="K477" s="4" t="s">
        <v>276</v>
      </c>
      <c r="L477" s="4">
        <v>1958</v>
      </c>
      <c r="M477" s="4" t="s">
        <v>27</v>
      </c>
      <c r="N477" s="4">
        <v>39.700000000000003</v>
      </c>
      <c r="O477" s="4">
        <v>39.700000000000003</v>
      </c>
      <c r="P477" s="4" t="s">
        <v>2255</v>
      </c>
      <c r="Q477" s="4">
        <v>39.700000000000003</v>
      </c>
      <c r="R477" s="4" t="s">
        <v>2255</v>
      </c>
    </row>
    <row r="478" spans="1:18" hidden="1" x14ac:dyDescent="0.35">
      <c r="A478" s="4" t="s">
        <v>3074</v>
      </c>
      <c r="B478" s="4" t="s">
        <v>4080</v>
      </c>
      <c r="C478" s="4" t="s">
        <v>2854</v>
      </c>
      <c r="D478" s="4" t="s">
        <v>3072</v>
      </c>
      <c r="E478" s="4" t="s">
        <v>2866</v>
      </c>
      <c r="F478" s="4" t="s">
        <v>2255</v>
      </c>
      <c r="G478" s="4" t="s">
        <v>2256</v>
      </c>
      <c r="H478" s="4" t="s">
        <v>2249</v>
      </c>
      <c r="I478" s="5">
        <v>21502</v>
      </c>
      <c r="J478" s="4" t="s">
        <v>3072</v>
      </c>
      <c r="K478" s="4" t="s">
        <v>276</v>
      </c>
      <c r="L478" s="4">
        <v>1958</v>
      </c>
      <c r="M478" s="4" t="s">
        <v>27</v>
      </c>
      <c r="N478" s="4">
        <v>39.700000000000003</v>
      </c>
      <c r="O478" s="4">
        <v>39.700000000000003</v>
      </c>
      <c r="P478" s="4" t="s">
        <v>2255</v>
      </c>
      <c r="Q478" s="4">
        <v>39.700000000000003</v>
      </c>
      <c r="R478" s="4" t="s">
        <v>2255</v>
      </c>
    </row>
    <row r="479" spans="1:18" hidden="1" x14ac:dyDescent="0.35">
      <c r="A479" s="4" t="s">
        <v>3075</v>
      </c>
      <c r="B479" s="4" t="s">
        <v>4080</v>
      </c>
      <c r="C479" s="4" t="s">
        <v>3076</v>
      </c>
      <c r="D479" s="4" t="s">
        <v>3077</v>
      </c>
      <c r="E479" s="4" t="s">
        <v>2831</v>
      </c>
      <c r="F479" s="4" t="s">
        <v>33</v>
      </c>
      <c r="G479" s="4" t="s">
        <v>137</v>
      </c>
      <c r="H479" s="4" t="s">
        <v>2231</v>
      </c>
      <c r="I479" s="5">
        <v>22047</v>
      </c>
      <c r="J479" s="4" t="s">
        <v>264</v>
      </c>
      <c r="K479" s="4" t="s">
        <v>264</v>
      </c>
      <c r="L479" s="4">
        <v>2017</v>
      </c>
      <c r="M479" s="4" t="s">
        <v>27</v>
      </c>
      <c r="N479" s="4">
        <v>1.5</v>
      </c>
      <c r="O479" s="4">
        <v>1.5</v>
      </c>
      <c r="P479" s="4" t="s">
        <v>2234</v>
      </c>
      <c r="Q479" s="4">
        <v>1.5</v>
      </c>
      <c r="R479" s="4" t="s">
        <v>2235</v>
      </c>
    </row>
    <row r="480" spans="1:18" hidden="1" x14ac:dyDescent="0.35">
      <c r="A480" s="4" t="s">
        <v>268</v>
      </c>
      <c r="B480" s="4" t="s">
        <v>4080</v>
      </c>
      <c r="C480" s="4" t="s">
        <v>3078</v>
      </c>
      <c r="D480" s="4" t="s">
        <v>3079</v>
      </c>
      <c r="E480" s="4" t="s">
        <v>46</v>
      </c>
      <c r="F480" s="4" t="s">
        <v>33</v>
      </c>
      <c r="G480" s="4" t="s">
        <v>46</v>
      </c>
      <c r="H480" s="4" t="s">
        <v>2231</v>
      </c>
      <c r="I480" s="5">
        <v>22113</v>
      </c>
      <c r="J480" s="4" t="s">
        <v>264</v>
      </c>
      <c r="K480" s="4" t="s">
        <v>264</v>
      </c>
      <c r="L480" s="4">
        <v>2009</v>
      </c>
      <c r="M480" s="4" t="s">
        <v>27</v>
      </c>
      <c r="N480" s="4">
        <v>127</v>
      </c>
      <c r="O480" s="4">
        <v>127</v>
      </c>
      <c r="P480" s="4" t="s">
        <v>2234</v>
      </c>
      <c r="Q480" s="4">
        <v>127</v>
      </c>
      <c r="R480" s="4" t="s">
        <v>2235</v>
      </c>
    </row>
    <row r="481" spans="1:18" hidden="1" x14ac:dyDescent="0.35">
      <c r="A481" s="4" t="s">
        <v>3080</v>
      </c>
      <c r="B481" s="4" t="s">
        <v>4080</v>
      </c>
      <c r="C481" s="4" t="s">
        <v>3081</v>
      </c>
      <c r="D481" s="4" t="s">
        <v>3082</v>
      </c>
      <c r="E481" s="4" t="s">
        <v>3083</v>
      </c>
      <c r="F481" s="4" t="s">
        <v>173</v>
      </c>
      <c r="G481" s="4" t="s">
        <v>409</v>
      </c>
      <c r="H481" s="4" t="s">
        <v>2231</v>
      </c>
      <c r="I481" s="5">
        <v>22113</v>
      </c>
      <c r="J481" s="4" t="s">
        <v>264</v>
      </c>
      <c r="K481" s="4" t="s">
        <v>264</v>
      </c>
      <c r="L481" s="4">
        <v>2010</v>
      </c>
      <c r="M481" s="4" t="s">
        <v>27</v>
      </c>
      <c r="N481" s="4">
        <v>0.1</v>
      </c>
      <c r="O481" s="4">
        <v>0.1</v>
      </c>
      <c r="P481" s="4" t="s">
        <v>173</v>
      </c>
      <c r="Q481" s="4">
        <v>0.1</v>
      </c>
      <c r="R481" s="4" t="s">
        <v>173</v>
      </c>
    </row>
    <row r="482" spans="1:18" hidden="1" x14ac:dyDescent="0.35">
      <c r="A482" s="4" t="s">
        <v>3084</v>
      </c>
      <c r="B482" s="4" t="s">
        <v>4080</v>
      </c>
      <c r="C482" s="4" t="s">
        <v>3076</v>
      </c>
      <c r="D482" s="4" t="s">
        <v>3085</v>
      </c>
      <c r="E482" s="4" t="s">
        <v>2749</v>
      </c>
      <c r="F482" s="4" t="s">
        <v>33</v>
      </c>
      <c r="G482" s="4" t="s">
        <v>137</v>
      </c>
      <c r="H482" s="4" t="s">
        <v>2231</v>
      </c>
      <c r="I482" s="5">
        <v>22525</v>
      </c>
      <c r="J482" s="4" t="s">
        <v>264</v>
      </c>
      <c r="K482" s="4" t="s">
        <v>264</v>
      </c>
      <c r="L482" s="4">
        <v>2017</v>
      </c>
      <c r="M482" s="4" t="s">
        <v>27</v>
      </c>
      <c r="N482" s="4">
        <v>4.3</v>
      </c>
      <c r="O482" s="4">
        <v>4.3</v>
      </c>
      <c r="P482" s="4" t="s">
        <v>2234</v>
      </c>
      <c r="Q482" s="4">
        <v>4.3</v>
      </c>
      <c r="R482" s="4" t="s">
        <v>2235</v>
      </c>
    </row>
    <row r="483" spans="1:18" hidden="1" x14ac:dyDescent="0.35">
      <c r="A483" s="4" t="s">
        <v>3086</v>
      </c>
      <c r="B483" s="4" t="s">
        <v>4080</v>
      </c>
      <c r="C483" s="4" t="s">
        <v>3076</v>
      </c>
      <c r="D483" s="4" t="s">
        <v>3085</v>
      </c>
      <c r="E483" s="4" t="s">
        <v>3070</v>
      </c>
      <c r="F483" s="4" t="s">
        <v>33</v>
      </c>
      <c r="G483" s="4" t="s">
        <v>137</v>
      </c>
      <c r="H483" s="4" t="s">
        <v>2231</v>
      </c>
      <c r="I483" s="5">
        <v>22525</v>
      </c>
      <c r="J483" s="4" t="s">
        <v>264</v>
      </c>
      <c r="K483" s="4" t="s">
        <v>264</v>
      </c>
      <c r="L483" s="4">
        <v>2017</v>
      </c>
      <c r="M483" s="4" t="s">
        <v>27</v>
      </c>
      <c r="N483" s="4">
        <v>2</v>
      </c>
      <c r="O483" s="4">
        <v>2</v>
      </c>
      <c r="P483" s="4" t="s">
        <v>2234</v>
      </c>
      <c r="Q483" s="4">
        <v>2</v>
      </c>
      <c r="R483" s="4" t="s">
        <v>2235</v>
      </c>
    </row>
    <row r="484" spans="1:18" hidden="1" x14ac:dyDescent="0.35">
      <c r="A484" s="4" t="s">
        <v>3087</v>
      </c>
      <c r="B484" s="4" t="s">
        <v>4080</v>
      </c>
      <c r="C484" s="4" t="s">
        <v>3076</v>
      </c>
      <c r="D484" s="4" t="s">
        <v>3085</v>
      </c>
      <c r="E484" s="4" t="s">
        <v>3088</v>
      </c>
      <c r="F484" s="4" t="s">
        <v>33</v>
      </c>
      <c r="G484" s="4" t="s">
        <v>137</v>
      </c>
      <c r="H484" s="4" t="s">
        <v>2231</v>
      </c>
      <c r="I484" s="5">
        <v>22525</v>
      </c>
      <c r="J484" s="4" t="s">
        <v>264</v>
      </c>
      <c r="K484" s="4" t="s">
        <v>264</v>
      </c>
      <c r="L484" s="4">
        <v>2017</v>
      </c>
      <c r="M484" s="4" t="s">
        <v>27</v>
      </c>
      <c r="N484" s="4">
        <v>2</v>
      </c>
      <c r="O484" s="4">
        <v>2</v>
      </c>
      <c r="P484" s="4" t="s">
        <v>2234</v>
      </c>
      <c r="Q484" s="4">
        <v>2</v>
      </c>
      <c r="R484" s="4" t="s">
        <v>2235</v>
      </c>
    </row>
    <row r="485" spans="1:18" hidden="1" x14ac:dyDescent="0.35">
      <c r="A485" s="4" t="s">
        <v>3089</v>
      </c>
      <c r="B485" s="4" t="s">
        <v>4080</v>
      </c>
      <c r="C485" s="4" t="s">
        <v>3090</v>
      </c>
      <c r="D485" s="4" t="s">
        <v>3091</v>
      </c>
      <c r="E485" s="4" t="s">
        <v>3092</v>
      </c>
      <c r="F485" s="4" t="s">
        <v>173</v>
      </c>
      <c r="G485" s="4" t="s">
        <v>409</v>
      </c>
      <c r="H485" s="4" t="s">
        <v>2249</v>
      </c>
      <c r="I485" s="5">
        <v>22525</v>
      </c>
      <c r="J485" s="4" t="s">
        <v>264</v>
      </c>
      <c r="K485" s="4" t="s">
        <v>264</v>
      </c>
      <c r="L485" s="4">
        <v>2026</v>
      </c>
      <c r="M485" s="4" t="s">
        <v>2459</v>
      </c>
      <c r="N485" s="4">
        <v>18.8</v>
      </c>
      <c r="O485" s="4">
        <v>18.8</v>
      </c>
      <c r="P485" s="4" t="s">
        <v>173</v>
      </c>
      <c r="Q485" s="4">
        <v>18.8</v>
      </c>
      <c r="R485" s="4" t="s">
        <v>173</v>
      </c>
    </row>
    <row r="486" spans="1:18" hidden="1" x14ac:dyDescent="0.35">
      <c r="A486" s="4" t="s">
        <v>3093</v>
      </c>
      <c r="B486" s="4" t="s">
        <v>4080</v>
      </c>
      <c r="C486" s="4" t="s">
        <v>3090</v>
      </c>
      <c r="D486" s="4" t="s">
        <v>3091</v>
      </c>
      <c r="E486" s="4" t="s">
        <v>1010</v>
      </c>
      <c r="F486" s="4" t="s">
        <v>173</v>
      </c>
      <c r="G486" s="4" t="s">
        <v>36</v>
      </c>
      <c r="H486" s="4" t="s">
        <v>2249</v>
      </c>
      <c r="I486" s="5">
        <v>22525</v>
      </c>
      <c r="J486" s="4" t="s">
        <v>264</v>
      </c>
      <c r="K486" s="4" t="s">
        <v>264</v>
      </c>
      <c r="L486" s="4">
        <v>2026</v>
      </c>
      <c r="M486" s="4" t="s">
        <v>2459</v>
      </c>
      <c r="N486" s="4">
        <v>6.7</v>
      </c>
      <c r="O486" s="4">
        <v>6.7</v>
      </c>
      <c r="P486" s="4" t="s">
        <v>173</v>
      </c>
      <c r="Q486" s="4">
        <v>6.7</v>
      </c>
      <c r="R486" s="4" t="s">
        <v>173</v>
      </c>
    </row>
    <row r="487" spans="1:18" hidden="1" x14ac:dyDescent="0.35">
      <c r="A487" s="4" t="s">
        <v>3094</v>
      </c>
      <c r="B487" s="4" t="s">
        <v>4080</v>
      </c>
      <c r="C487" s="4" t="s">
        <v>262</v>
      </c>
      <c r="D487" s="4" t="s">
        <v>3095</v>
      </c>
      <c r="E487" s="4" t="s">
        <v>2831</v>
      </c>
      <c r="F487" s="4" t="s">
        <v>33</v>
      </c>
      <c r="G487" s="4" t="s">
        <v>137</v>
      </c>
      <c r="H487" s="4" t="s">
        <v>2231</v>
      </c>
      <c r="I487" s="5">
        <v>22769</v>
      </c>
      <c r="J487" s="4" t="s">
        <v>264</v>
      </c>
      <c r="K487" s="4" t="s">
        <v>264</v>
      </c>
      <c r="L487" s="4">
        <v>2016</v>
      </c>
      <c r="M487" s="4" t="s">
        <v>27</v>
      </c>
      <c r="N487" s="4">
        <v>1.3</v>
      </c>
      <c r="O487" s="4">
        <v>1.3</v>
      </c>
      <c r="P487" s="4" t="s">
        <v>2234</v>
      </c>
      <c r="Q487" s="4">
        <v>1.3</v>
      </c>
      <c r="R487" s="4" t="s">
        <v>2235</v>
      </c>
    </row>
    <row r="488" spans="1:18" hidden="1" x14ac:dyDescent="0.35">
      <c r="A488" s="4" t="s">
        <v>3096</v>
      </c>
      <c r="B488" s="4" t="s">
        <v>4080</v>
      </c>
      <c r="C488" s="4" t="s">
        <v>3097</v>
      </c>
      <c r="D488" s="4" t="s">
        <v>3098</v>
      </c>
      <c r="E488" s="4" t="s">
        <v>3099</v>
      </c>
      <c r="F488" s="4" t="s">
        <v>33</v>
      </c>
      <c r="G488" s="4" t="s">
        <v>46</v>
      </c>
      <c r="H488" s="4" t="s">
        <v>2231</v>
      </c>
      <c r="I488" s="5">
        <v>29416</v>
      </c>
      <c r="J488" s="4" t="s">
        <v>3098</v>
      </c>
      <c r="K488" s="4" t="s">
        <v>119</v>
      </c>
      <c r="L488" s="4">
        <v>1994</v>
      </c>
      <c r="M488" s="4" t="s">
        <v>27</v>
      </c>
      <c r="N488" s="4">
        <v>11.6</v>
      </c>
      <c r="O488" s="4">
        <v>11.6</v>
      </c>
      <c r="P488" s="4" t="s">
        <v>2234</v>
      </c>
      <c r="Q488" s="4">
        <v>11.6</v>
      </c>
      <c r="R488" s="4" t="s">
        <v>2235</v>
      </c>
    </row>
    <row r="489" spans="1:18" hidden="1" x14ac:dyDescent="0.35">
      <c r="A489" s="4" t="s">
        <v>3100</v>
      </c>
      <c r="B489" s="4" t="s">
        <v>4080</v>
      </c>
      <c r="C489" s="4" t="s">
        <v>3097</v>
      </c>
      <c r="D489" s="4" t="s">
        <v>3098</v>
      </c>
      <c r="E489" s="4" t="s">
        <v>3101</v>
      </c>
      <c r="F489" s="4" t="s">
        <v>33</v>
      </c>
      <c r="G489" s="4" t="s">
        <v>46</v>
      </c>
      <c r="H489" s="4" t="s">
        <v>2231</v>
      </c>
      <c r="I489" s="5">
        <v>29416</v>
      </c>
      <c r="J489" s="4" t="s">
        <v>3098</v>
      </c>
      <c r="K489" s="4" t="s">
        <v>119</v>
      </c>
      <c r="L489" s="4">
        <v>1994</v>
      </c>
      <c r="M489" s="4" t="s">
        <v>27</v>
      </c>
      <c r="N489" s="4">
        <v>11.6</v>
      </c>
      <c r="O489" s="4">
        <v>11.6</v>
      </c>
      <c r="P489" s="4" t="s">
        <v>2234</v>
      </c>
      <c r="Q489" s="4">
        <v>11.6</v>
      </c>
      <c r="R489" s="4" t="s">
        <v>2235</v>
      </c>
    </row>
    <row r="490" spans="1:18" hidden="1" x14ac:dyDescent="0.35">
      <c r="A490" s="4" t="s">
        <v>3102</v>
      </c>
      <c r="B490" s="4" t="s">
        <v>4081</v>
      </c>
      <c r="C490" s="4" t="s">
        <v>3103</v>
      </c>
      <c r="D490" s="4" t="s">
        <v>3104</v>
      </c>
      <c r="E490" s="4" t="s">
        <v>54</v>
      </c>
      <c r="F490" s="4" t="s">
        <v>33</v>
      </c>
      <c r="G490" s="4" t="s">
        <v>46</v>
      </c>
      <c r="H490" s="4" t="s">
        <v>2231</v>
      </c>
      <c r="I490" s="5">
        <v>33334</v>
      </c>
      <c r="J490" s="4" t="s">
        <v>3105</v>
      </c>
      <c r="K490" s="4" t="s">
        <v>693</v>
      </c>
      <c r="L490" s="4">
        <v>1994</v>
      </c>
      <c r="M490" s="4" t="s">
        <v>27</v>
      </c>
      <c r="N490" s="4">
        <v>5.18</v>
      </c>
      <c r="O490" s="4">
        <v>5.18</v>
      </c>
      <c r="P490" s="4" t="s">
        <v>2234</v>
      </c>
      <c r="Q490" s="4">
        <v>5.18</v>
      </c>
      <c r="R490" s="4" t="s">
        <v>2235</v>
      </c>
    </row>
    <row r="491" spans="1:18" hidden="1" x14ac:dyDescent="0.35">
      <c r="A491" s="4" t="s">
        <v>3106</v>
      </c>
      <c r="B491" s="4" t="s">
        <v>4081</v>
      </c>
      <c r="C491" s="4" t="s">
        <v>3103</v>
      </c>
      <c r="D491" s="4" t="s">
        <v>3104</v>
      </c>
      <c r="E491" s="4" t="s">
        <v>52</v>
      </c>
      <c r="F491" s="4" t="s">
        <v>33</v>
      </c>
      <c r="G491" s="4" t="s">
        <v>46</v>
      </c>
      <c r="H491" s="4" t="s">
        <v>2231</v>
      </c>
      <c r="I491" s="5">
        <v>33334</v>
      </c>
      <c r="J491" s="4" t="s">
        <v>3105</v>
      </c>
      <c r="K491" s="4" t="s">
        <v>693</v>
      </c>
      <c r="L491" s="4">
        <v>1994</v>
      </c>
      <c r="M491" s="4" t="s">
        <v>27</v>
      </c>
      <c r="N491" s="4">
        <v>5.18</v>
      </c>
      <c r="O491" s="4">
        <v>5.18</v>
      </c>
      <c r="P491" s="4" t="s">
        <v>2234</v>
      </c>
      <c r="Q491" s="4">
        <v>5.18</v>
      </c>
      <c r="R491" s="4" t="s">
        <v>2235</v>
      </c>
    </row>
    <row r="492" spans="1:18" hidden="1" x14ac:dyDescent="0.35">
      <c r="A492" s="4" t="s">
        <v>3107</v>
      </c>
      <c r="B492" s="4" t="s">
        <v>4081</v>
      </c>
      <c r="C492" s="4" t="s">
        <v>3103</v>
      </c>
      <c r="D492" s="4" t="s">
        <v>3104</v>
      </c>
      <c r="E492" s="4" t="s">
        <v>157</v>
      </c>
      <c r="F492" s="4" t="s">
        <v>33</v>
      </c>
      <c r="G492" s="4" t="s">
        <v>46</v>
      </c>
      <c r="H492" s="4" t="s">
        <v>2231</v>
      </c>
      <c r="I492" s="5">
        <v>33334</v>
      </c>
      <c r="J492" s="4" t="s">
        <v>3105</v>
      </c>
      <c r="K492" s="4" t="s">
        <v>693</v>
      </c>
      <c r="L492" s="4">
        <v>1994</v>
      </c>
      <c r="M492" s="4" t="s">
        <v>27</v>
      </c>
      <c r="N492" s="4">
        <v>5.18</v>
      </c>
      <c r="O492" s="4">
        <v>5.18</v>
      </c>
      <c r="P492" s="4" t="s">
        <v>2234</v>
      </c>
      <c r="Q492" s="4">
        <v>5.18</v>
      </c>
      <c r="R492" s="4" t="s">
        <v>2235</v>
      </c>
    </row>
    <row r="493" spans="1:18" hidden="1" x14ac:dyDescent="0.35">
      <c r="A493" s="4" t="s">
        <v>3108</v>
      </c>
      <c r="B493" s="4" t="s">
        <v>4081</v>
      </c>
      <c r="C493" s="4" t="s">
        <v>3103</v>
      </c>
      <c r="D493" s="4" t="s">
        <v>3104</v>
      </c>
      <c r="E493" s="4" t="s">
        <v>159</v>
      </c>
      <c r="F493" s="4" t="s">
        <v>33</v>
      </c>
      <c r="G493" s="4" t="s">
        <v>46</v>
      </c>
      <c r="H493" s="4" t="s">
        <v>2231</v>
      </c>
      <c r="I493" s="5">
        <v>33334</v>
      </c>
      <c r="J493" s="4" t="s">
        <v>3105</v>
      </c>
      <c r="K493" s="4" t="s">
        <v>693</v>
      </c>
      <c r="L493" s="4">
        <v>1994</v>
      </c>
      <c r="M493" s="4" t="s">
        <v>27</v>
      </c>
      <c r="N493" s="4">
        <v>6.36</v>
      </c>
      <c r="O493" s="4">
        <v>6.36</v>
      </c>
      <c r="P493" s="4" t="s">
        <v>2234</v>
      </c>
      <c r="Q493" s="4">
        <v>6.36</v>
      </c>
      <c r="R493" s="4" t="s">
        <v>2235</v>
      </c>
    </row>
    <row r="494" spans="1:18" hidden="1" x14ac:dyDescent="0.35">
      <c r="A494" s="4" t="s">
        <v>3109</v>
      </c>
      <c r="B494" s="4" t="s">
        <v>4081</v>
      </c>
      <c r="C494" s="4" t="s">
        <v>3103</v>
      </c>
      <c r="D494" s="4" t="s">
        <v>3104</v>
      </c>
      <c r="E494" s="4" t="s">
        <v>2766</v>
      </c>
      <c r="F494" s="4" t="s">
        <v>33</v>
      </c>
      <c r="G494" s="4" t="s">
        <v>137</v>
      </c>
      <c r="H494" s="4" t="s">
        <v>2231</v>
      </c>
      <c r="I494" s="5">
        <v>33334</v>
      </c>
      <c r="J494" s="4" t="s">
        <v>3105</v>
      </c>
      <c r="K494" s="4" t="s">
        <v>693</v>
      </c>
      <c r="L494" s="4">
        <v>2017</v>
      </c>
      <c r="M494" s="4" t="s">
        <v>27</v>
      </c>
      <c r="N494" s="4">
        <v>1.53</v>
      </c>
      <c r="O494" s="4">
        <v>1.53</v>
      </c>
      <c r="P494" s="4" t="s">
        <v>2234</v>
      </c>
      <c r="Q494" s="4">
        <v>1.53</v>
      </c>
      <c r="R494" s="4" t="s">
        <v>2235</v>
      </c>
    </row>
    <row r="495" spans="1:18" hidden="1" x14ac:dyDescent="0.35">
      <c r="A495" s="4" t="s">
        <v>3110</v>
      </c>
      <c r="B495" s="4" t="s">
        <v>4081</v>
      </c>
      <c r="C495" s="4" t="s">
        <v>3103</v>
      </c>
      <c r="D495" s="4" t="s">
        <v>3104</v>
      </c>
      <c r="E495" s="4" t="s">
        <v>2309</v>
      </c>
      <c r="F495" s="4" t="s">
        <v>33</v>
      </c>
      <c r="G495" s="4" t="s">
        <v>137</v>
      </c>
      <c r="H495" s="4" t="s">
        <v>2231</v>
      </c>
      <c r="I495" s="5">
        <v>33334</v>
      </c>
      <c r="J495" s="4" t="s">
        <v>3105</v>
      </c>
      <c r="K495" s="4" t="s">
        <v>693</v>
      </c>
      <c r="L495" s="4">
        <v>2017</v>
      </c>
      <c r="M495" s="4" t="s">
        <v>27</v>
      </c>
      <c r="N495" s="4">
        <v>1.53</v>
      </c>
      <c r="O495" s="4">
        <v>1.53</v>
      </c>
      <c r="P495" s="4" t="s">
        <v>2234</v>
      </c>
      <c r="Q495" s="4">
        <v>1.53</v>
      </c>
      <c r="R495" s="4" t="s">
        <v>2235</v>
      </c>
    </row>
    <row r="496" spans="1:18" hidden="1" x14ac:dyDescent="0.35">
      <c r="A496" s="4" t="s">
        <v>3111</v>
      </c>
      <c r="B496" s="4" t="s">
        <v>4081</v>
      </c>
      <c r="C496" s="4" t="s">
        <v>3112</v>
      </c>
      <c r="D496" s="4" t="s">
        <v>3113</v>
      </c>
      <c r="E496" s="4" t="s">
        <v>3113</v>
      </c>
      <c r="F496" s="4" t="s">
        <v>33</v>
      </c>
      <c r="G496" s="4" t="s">
        <v>137</v>
      </c>
      <c r="H496" s="4" t="s">
        <v>2231</v>
      </c>
      <c r="I496" s="5">
        <v>33378</v>
      </c>
      <c r="J496" s="4" t="s">
        <v>3114</v>
      </c>
      <c r="K496" s="4" t="s">
        <v>693</v>
      </c>
      <c r="L496" s="4">
        <v>2012</v>
      </c>
      <c r="M496" s="4" t="s">
        <v>27</v>
      </c>
      <c r="N496" s="4">
        <v>2</v>
      </c>
      <c r="O496" s="4">
        <v>2</v>
      </c>
      <c r="P496" s="4" t="s">
        <v>2234</v>
      </c>
      <c r="Q496" s="4">
        <v>2</v>
      </c>
      <c r="R496" s="4" t="s">
        <v>2235</v>
      </c>
    </row>
    <row r="497" spans="1:18" hidden="1" x14ac:dyDescent="0.35">
      <c r="A497" s="4" t="s">
        <v>3115</v>
      </c>
      <c r="B497" s="4" t="s">
        <v>4080</v>
      </c>
      <c r="C497" s="4" t="s">
        <v>2394</v>
      </c>
      <c r="D497" s="4" t="s">
        <v>317</v>
      </c>
      <c r="E497" s="4" t="s">
        <v>54</v>
      </c>
      <c r="F497" s="4" t="s">
        <v>33</v>
      </c>
      <c r="G497" s="4" t="s">
        <v>36</v>
      </c>
      <c r="H497" s="4" t="s">
        <v>2231</v>
      </c>
      <c r="I497" s="5">
        <v>36414</v>
      </c>
      <c r="J497" s="4" t="s">
        <v>317</v>
      </c>
      <c r="K497" s="4" t="s">
        <v>2859</v>
      </c>
      <c r="L497" s="4">
        <v>2016</v>
      </c>
      <c r="M497" s="4" t="s">
        <v>27</v>
      </c>
      <c r="N497" s="4">
        <v>4.9000000000000004</v>
      </c>
      <c r="O497" s="4">
        <v>4.9000000000000004</v>
      </c>
      <c r="P497" s="4" t="s">
        <v>2234</v>
      </c>
      <c r="Q497" s="4">
        <v>4.9000000000000004</v>
      </c>
      <c r="R497" s="4" t="s">
        <v>2235</v>
      </c>
    </row>
    <row r="498" spans="1:18" hidden="1" x14ac:dyDescent="0.35">
      <c r="A498" s="4" t="s">
        <v>314</v>
      </c>
      <c r="B498" s="4" t="s">
        <v>4080</v>
      </c>
      <c r="C498" s="4" t="s">
        <v>2394</v>
      </c>
      <c r="D498" s="4" t="s">
        <v>317</v>
      </c>
      <c r="E498" s="4" t="s">
        <v>49</v>
      </c>
      <c r="F498" s="4" t="s">
        <v>33</v>
      </c>
      <c r="G498" s="4" t="s">
        <v>409</v>
      </c>
      <c r="H498" s="4" t="s">
        <v>2231</v>
      </c>
      <c r="I498" s="5">
        <v>36414</v>
      </c>
      <c r="J498" s="4" t="s">
        <v>317</v>
      </c>
      <c r="K498" s="4" t="s">
        <v>2859</v>
      </c>
      <c r="L498" s="4">
        <v>2002</v>
      </c>
      <c r="M498" s="4" t="s">
        <v>27</v>
      </c>
      <c r="N498" s="4">
        <v>11.3</v>
      </c>
      <c r="O498" s="4">
        <v>11.3</v>
      </c>
      <c r="P498" s="4" t="s">
        <v>2234</v>
      </c>
      <c r="Q498" s="4">
        <v>11.3</v>
      </c>
      <c r="R498" s="4" t="s">
        <v>2235</v>
      </c>
    </row>
    <row r="499" spans="1:18" hidden="1" x14ac:dyDescent="0.35">
      <c r="A499" s="4" t="s">
        <v>3116</v>
      </c>
      <c r="B499" s="4" t="s">
        <v>4080</v>
      </c>
      <c r="C499" s="4" t="s">
        <v>2394</v>
      </c>
      <c r="D499" s="4" t="s">
        <v>317</v>
      </c>
      <c r="E499" s="4" t="s">
        <v>40</v>
      </c>
      <c r="F499" s="4" t="s">
        <v>33</v>
      </c>
      <c r="G499" s="4" t="s">
        <v>409</v>
      </c>
      <c r="H499" s="4" t="s">
        <v>2231</v>
      </c>
      <c r="I499" s="5">
        <v>36414</v>
      </c>
      <c r="J499" s="4" t="s">
        <v>317</v>
      </c>
      <c r="K499" s="4" t="s">
        <v>2859</v>
      </c>
      <c r="L499" s="4">
        <v>1971</v>
      </c>
      <c r="M499" s="4" t="s">
        <v>27</v>
      </c>
      <c r="N499" s="4">
        <v>4.5</v>
      </c>
      <c r="O499" s="4">
        <v>4.5</v>
      </c>
      <c r="P499" s="4" t="s">
        <v>2234</v>
      </c>
      <c r="Q499" s="4">
        <v>4.5</v>
      </c>
      <c r="R499" s="4" t="s">
        <v>2235</v>
      </c>
    </row>
    <row r="500" spans="1:18" hidden="1" x14ac:dyDescent="0.35">
      <c r="A500" s="4" t="s">
        <v>3117</v>
      </c>
      <c r="B500" s="4" t="s">
        <v>4080</v>
      </c>
      <c r="C500" s="4" t="s">
        <v>2394</v>
      </c>
      <c r="D500" s="4" t="s">
        <v>317</v>
      </c>
      <c r="E500" s="4" t="s">
        <v>52</v>
      </c>
      <c r="F500" s="4" t="s">
        <v>33</v>
      </c>
      <c r="G500" s="4" t="s">
        <v>36</v>
      </c>
      <c r="H500" s="4" t="s">
        <v>2231</v>
      </c>
      <c r="I500" s="5">
        <v>36414</v>
      </c>
      <c r="J500" s="4" t="s">
        <v>317</v>
      </c>
      <c r="K500" s="4" t="s">
        <v>2859</v>
      </c>
      <c r="L500" s="4">
        <v>2017</v>
      </c>
      <c r="M500" s="4" t="s">
        <v>27</v>
      </c>
      <c r="N500" s="4">
        <v>5.5</v>
      </c>
      <c r="O500" s="4">
        <v>5.5</v>
      </c>
      <c r="P500" s="4" t="s">
        <v>2234</v>
      </c>
      <c r="Q500" s="4">
        <v>5.5</v>
      </c>
      <c r="R500" s="4" t="s">
        <v>2235</v>
      </c>
    </row>
    <row r="501" spans="1:18" hidden="1" x14ac:dyDescent="0.35">
      <c r="A501" s="4" t="s">
        <v>320</v>
      </c>
      <c r="B501" s="4" t="s">
        <v>4080</v>
      </c>
      <c r="C501" s="4" t="s">
        <v>2394</v>
      </c>
      <c r="D501" s="4" t="s">
        <v>317</v>
      </c>
      <c r="E501" s="4" t="s">
        <v>307</v>
      </c>
      <c r="F501" s="4" t="s">
        <v>33</v>
      </c>
      <c r="G501" s="4" t="s">
        <v>409</v>
      </c>
      <c r="H501" s="4" t="s">
        <v>2231</v>
      </c>
      <c r="I501" s="5">
        <v>36414</v>
      </c>
      <c r="J501" s="4" t="s">
        <v>317</v>
      </c>
      <c r="K501" s="4" t="s">
        <v>2859</v>
      </c>
      <c r="L501" s="4">
        <v>1964</v>
      </c>
      <c r="M501" s="4" t="s">
        <v>27</v>
      </c>
      <c r="N501" s="4">
        <v>12</v>
      </c>
      <c r="O501" s="4">
        <v>12</v>
      </c>
      <c r="P501" s="4" t="s">
        <v>2234</v>
      </c>
      <c r="Q501" s="4">
        <v>12</v>
      </c>
      <c r="R501" s="4" t="s">
        <v>2235</v>
      </c>
    </row>
    <row r="502" spans="1:18" hidden="1" x14ac:dyDescent="0.35">
      <c r="A502" s="4" t="s">
        <v>3118</v>
      </c>
      <c r="B502" s="4" t="s">
        <v>4081</v>
      </c>
      <c r="C502" s="4" t="s">
        <v>1512</v>
      </c>
      <c r="D502" s="4" t="s">
        <v>2287</v>
      </c>
      <c r="E502" s="4" t="s">
        <v>3119</v>
      </c>
      <c r="F502" s="4" t="s">
        <v>33</v>
      </c>
      <c r="G502" s="4" t="s">
        <v>46</v>
      </c>
      <c r="H502" s="4" t="s">
        <v>2231</v>
      </c>
      <c r="I502" s="5">
        <v>91052</v>
      </c>
      <c r="J502" s="4" t="s">
        <v>1514</v>
      </c>
      <c r="K502" s="4" t="s">
        <v>701</v>
      </c>
      <c r="L502" s="4">
        <v>2014</v>
      </c>
      <c r="M502" s="4" t="s">
        <v>27</v>
      </c>
      <c r="N502" s="4">
        <v>6.7</v>
      </c>
      <c r="O502" s="4">
        <v>6.7</v>
      </c>
      <c r="P502" s="4" t="s">
        <v>2234</v>
      </c>
      <c r="Q502" s="4">
        <v>6.7</v>
      </c>
      <c r="R502" s="4" t="s">
        <v>2235</v>
      </c>
    </row>
    <row r="503" spans="1:18" hidden="1" x14ac:dyDescent="0.35">
      <c r="A503" s="4" t="s">
        <v>3120</v>
      </c>
      <c r="B503" s="4" t="s">
        <v>4081</v>
      </c>
      <c r="C503" s="4" t="s">
        <v>3007</v>
      </c>
      <c r="D503" s="4" t="s">
        <v>3008</v>
      </c>
      <c r="E503" s="4" t="s">
        <v>2227</v>
      </c>
      <c r="F503" s="4" t="s">
        <v>33</v>
      </c>
      <c r="G503" s="4" t="s">
        <v>409</v>
      </c>
      <c r="H503" s="4" t="s">
        <v>2249</v>
      </c>
      <c r="I503" s="5">
        <v>84489</v>
      </c>
      <c r="J503" s="4" t="s">
        <v>1890</v>
      </c>
      <c r="K503" s="4" t="s">
        <v>701</v>
      </c>
      <c r="L503" s="4">
        <v>1970</v>
      </c>
      <c r="M503" s="4" t="s">
        <v>27</v>
      </c>
      <c r="N503" s="4">
        <v>7.8</v>
      </c>
      <c r="O503" s="4">
        <v>7.8</v>
      </c>
      <c r="P503" s="4" t="s">
        <v>2234</v>
      </c>
      <c r="Q503" s="4">
        <v>7.8</v>
      </c>
      <c r="R503" s="4" t="s">
        <v>2235</v>
      </c>
    </row>
    <row r="504" spans="1:18" hidden="1" x14ac:dyDescent="0.35">
      <c r="A504" s="4" t="s">
        <v>1582</v>
      </c>
      <c r="B504" s="4" t="s">
        <v>4081</v>
      </c>
      <c r="C504" s="4" t="s">
        <v>1583</v>
      </c>
      <c r="D504" s="4" t="s">
        <v>1584</v>
      </c>
      <c r="E504" s="4" t="s">
        <v>2227</v>
      </c>
      <c r="F504" s="4" t="s">
        <v>33</v>
      </c>
      <c r="G504" s="4" t="s">
        <v>409</v>
      </c>
      <c r="H504" s="4" t="s">
        <v>2231</v>
      </c>
      <c r="I504" s="5">
        <v>93309</v>
      </c>
      <c r="J504" s="4" t="s">
        <v>1585</v>
      </c>
      <c r="K504" s="4" t="s">
        <v>701</v>
      </c>
      <c r="L504" s="4">
        <v>1970</v>
      </c>
      <c r="M504" s="4" t="s">
        <v>27</v>
      </c>
      <c r="N504" s="4">
        <v>20.8</v>
      </c>
      <c r="O504" s="4">
        <v>20.8</v>
      </c>
      <c r="P504" s="4" t="s">
        <v>2234</v>
      </c>
      <c r="Q504" s="4">
        <v>20.8</v>
      </c>
      <c r="R504" s="4" t="s">
        <v>2235</v>
      </c>
    </row>
    <row r="505" spans="1:18" x14ac:dyDescent="0.35">
      <c r="A505" s="4" t="s">
        <v>1606</v>
      </c>
      <c r="B505" s="4" t="s">
        <v>4080</v>
      </c>
      <c r="C505" s="4" t="s">
        <v>3121</v>
      </c>
      <c r="D505" s="4" t="s">
        <v>3122</v>
      </c>
      <c r="E505" s="4" t="s">
        <v>2227</v>
      </c>
      <c r="F505" s="4" t="s">
        <v>33</v>
      </c>
      <c r="G505" s="4" t="s">
        <v>46</v>
      </c>
      <c r="H505" s="4" t="s">
        <v>2231</v>
      </c>
      <c r="I505" s="5">
        <v>26954</v>
      </c>
      <c r="J505" s="4" t="s">
        <v>1609</v>
      </c>
      <c r="K505" s="4" t="s">
        <v>765</v>
      </c>
      <c r="L505" s="4">
        <v>2014</v>
      </c>
      <c r="M505" s="4" t="s">
        <v>27</v>
      </c>
      <c r="N505" s="4">
        <v>17.100000000000001</v>
      </c>
      <c r="O505" s="4">
        <v>17.100000000000001</v>
      </c>
      <c r="P505" s="4" t="s">
        <v>2234</v>
      </c>
      <c r="Q505" s="4">
        <v>17.100000000000001</v>
      </c>
      <c r="R505" s="4" t="s">
        <v>2235</v>
      </c>
    </row>
    <row r="506" spans="1:18" hidden="1" x14ac:dyDescent="0.35">
      <c r="A506" s="4" t="s">
        <v>3123</v>
      </c>
      <c r="B506" s="4" t="s">
        <v>4080</v>
      </c>
      <c r="C506" s="4" t="s">
        <v>2914</v>
      </c>
      <c r="D506" s="4" t="s">
        <v>3124</v>
      </c>
      <c r="E506" s="4" t="s">
        <v>3124</v>
      </c>
      <c r="F506" s="4" t="s">
        <v>33</v>
      </c>
      <c r="G506" s="4" t="s">
        <v>36</v>
      </c>
      <c r="H506" s="4" t="s">
        <v>2231</v>
      </c>
      <c r="I506" s="5">
        <v>36433</v>
      </c>
      <c r="J506" s="4" t="s">
        <v>534</v>
      </c>
      <c r="K506" s="4" t="s">
        <v>2859</v>
      </c>
      <c r="L506" s="4">
        <v>1994</v>
      </c>
      <c r="M506" s="4" t="s">
        <v>27</v>
      </c>
      <c r="N506" s="4">
        <v>9.83</v>
      </c>
      <c r="O506" s="4">
        <v>9.83</v>
      </c>
      <c r="P506" s="4" t="s">
        <v>2234</v>
      </c>
      <c r="Q506" s="4">
        <v>9.83</v>
      </c>
      <c r="R506" s="4" t="s">
        <v>2235</v>
      </c>
    </row>
    <row r="507" spans="1:18" hidden="1" x14ac:dyDescent="0.35">
      <c r="A507" s="4" t="s">
        <v>531</v>
      </c>
      <c r="B507" s="4" t="s">
        <v>4080</v>
      </c>
      <c r="C507" s="4" t="s">
        <v>532</v>
      </c>
      <c r="D507" s="4" t="s">
        <v>3125</v>
      </c>
      <c r="E507" s="4" t="s">
        <v>3125</v>
      </c>
      <c r="F507" s="4" t="s">
        <v>33</v>
      </c>
      <c r="G507" s="4" t="s">
        <v>137</v>
      </c>
      <c r="H507" s="4" t="s">
        <v>2231</v>
      </c>
      <c r="I507" s="5">
        <v>36433</v>
      </c>
      <c r="J507" s="4" t="s">
        <v>534</v>
      </c>
      <c r="K507" s="4" t="s">
        <v>2859</v>
      </c>
      <c r="L507" s="4">
        <v>2018</v>
      </c>
      <c r="M507" s="4" t="s">
        <v>27</v>
      </c>
      <c r="N507" s="4">
        <v>10</v>
      </c>
      <c r="O507" s="4">
        <v>10</v>
      </c>
      <c r="P507" s="4" t="s">
        <v>2234</v>
      </c>
      <c r="Q507" s="4">
        <v>10</v>
      </c>
      <c r="R507" s="4" t="s">
        <v>2235</v>
      </c>
    </row>
    <row r="508" spans="1:18" hidden="1" x14ac:dyDescent="0.35">
      <c r="A508" s="4" t="s">
        <v>3126</v>
      </c>
      <c r="B508" s="4" t="s">
        <v>4080</v>
      </c>
      <c r="C508" s="4" t="s">
        <v>2854</v>
      </c>
      <c r="D508" s="4" t="s">
        <v>3127</v>
      </c>
      <c r="E508" s="4" t="s">
        <v>2856</v>
      </c>
      <c r="F508" s="4" t="s">
        <v>2255</v>
      </c>
      <c r="G508" s="4" t="s">
        <v>2256</v>
      </c>
      <c r="H508" s="4" t="s">
        <v>2249</v>
      </c>
      <c r="I508" s="5">
        <v>38889</v>
      </c>
      <c r="J508" s="4" t="s">
        <v>3127</v>
      </c>
      <c r="K508" s="4" t="s">
        <v>119</v>
      </c>
      <c r="L508" s="4">
        <v>1967</v>
      </c>
      <c r="M508" s="4" t="s">
        <v>27</v>
      </c>
      <c r="N508" s="4">
        <v>39.85</v>
      </c>
      <c r="O508" s="4">
        <v>39.85</v>
      </c>
      <c r="P508" s="4" t="s">
        <v>2255</v>
      </c>
      <c r="Q508" s="4">
        <v>39.85</v>
      </c>
      <c r="R508" s="4" t="s">
        <v>2255</v>
      </c>
    </row>
    <row r="509" spans="1:18" hidden="1" x14ac:dyDescent="0.35">
      <c r="A509" s="4" t="s">
        <v>3128</v>
      </c>
      <c r="B509" s="4" t="s">
        <v>4080</v>
      </c>
      <c r="C509" s="4" t="s">
        <v>2854</v>
      </c>
      <c r="D509" s="4" t="s">
        <v>3127</v>
      </c>
      <c r="E509" s="4" t="s">
        <v>2861</v>
      </c>
      <c r="F509" s="4" t="s">
        <v>2255</v>
      </c>
      <c r="G509" s="4" t="s">
        <v>2256</v>
      </c>
      <c r="H509" s="4" t="s">
        <v>2249</v>
      </c>
      <c r="I509" s="5">
        <v>38889</v>
      </c>
      <c r="J509" s="4" t="s">
        <v>3127</v>
      </c>
      <c r="K509" s="4" t="s">
        <v>119</v>
      </c>
      <c r="L509" s="4">
        <v>1968</v>
      </c>
      <c r="M509" s="4" t="s">
        <v>27</v>
      </c>
      <c r="N509" s="4">
        <v>39.85</v>
      </c>
      <c r="O509" s="4">
        <v>39.85</v>
      </c>
      <c r="P509" s="4" t="s">
        <v>2255</v>
      </c>
      <c r="Q509" s="4">
        <v>39.85</v>
      </c>
      <c r="R509" s="4" t="s">
        <v>2255</v>
      </c>
    </row>
    <row r="510" spans="1:18" hidden="1" x14ac:dyDescent="0.35">
      <c r="A510" s="4" t="s">
        <v>381</v>
      </c>
      <c r="B510" s="4" t="s">
        <v>4080</v>
      </c>
      <c r="C510" s="4" t="s">
        <v>3129</v>
      </c>
      <c r="D510" s="4" t="s">
        <v>3130</v>
      </c>
      <c r="E510" s="4" t="s">
        <v>383</v>
      </c>
      <c r="F510" s="4" t="s">
        <v>173</v>
      </c>
      <c r="G510" s="4" t="s">
        <v>409</v>
      </c>
      <c r="H510" s="4" t="s">
        <v>2231</v>
      </c>
      <c r="I510" s="5">
        <v>39126</v>
      </c>
      <c r="J510" s="4" t="s">
        <v>384</v>
      </c>
      <c r="K510" s="4" t="s">
        <v>119</v>
      </c>
      <c r="L510" s="4">
        <v>2005</v>
      </c>
      <c r="M510" s="4" t="s">
        <v>27</v>
      </c>
      <c r="N510" s="4">
        <v>29.2</v>
      </c>
      <c r="O510" s="4">
        <v>29.2</v>
      </c>
      <c r="P510" s="4" t="s">
        <v>173</v>
      </c>
      <c r="Q510" s="4">
        <v>29.2</v>
      </c>
      <c r="R510" s="4" t="s">
        <v>173</v>
      </c>
    </row>
    <row r="511" spans="1:18" hidden="1" x14ac:dyDescent="0.35">
      <c r="A511" s="4" t="s">
        <v>388</v>
      </c>
      <c r="B511" s="4" t="s">
        <v>4080</v>
      </c>
      <c r="C511" s="4" t="s">
        <v>3129</v>
      </c>
      <c r="D511" s="4" t="s">
        <v>3130</v>
      </c>
      <c r="E511" s="4" t="s">
        <v>389</v>
      </c>
      <c r="F511" s="4" t="s">
        <v>173</v>
      </c>
      <c r="G511" s="4" t="s">
        <v>409</v>
      </c>
      <c r="H511" s="4" t="s">
        <v>2231</v>
      </c>
      <c r="I511" s="5">
        <v>39126</v>
      </c>
      <c r="J511" s="4" t="s">
        <v>384</v>
      </c>
      <c r="K511" s="4" t="s">
        <v>119</v>
      </c>
      <c r="L511" s="4">
        <v>2006</v>
      </c>
      <c r="M511" s="4" t="s">
        <v>27</v>
      </c>
      <c r="N511" s="4">
        <v>33.6</v>
      </c>
      <c r="O511" s="4">
        <v>33.6</v>
      </c>
      <c r="P511" s="4" t="s">
        <v>173</v>
      </c>
      <c r="Q511" s="4">
        <v>33.6</v>
      </c>
      <c r="R511" s="4" t="s">
        <v>173</v>
      </c>
    </row>
    <row r="512" spans="1:18" hidden="1" x14ac:dyDescent="0.35">
      <c r="A512" s="4" t="s">
        <v>407</v>
      </c>
      <c r="B512" s="4" t="s">
        <v>4080</v>
      </c>
      <c r="C512" s="4" t="s">
        <v>3131</v>
      </c>
      <c r="D512" s="4" t="s">
        <v>3132</v>
      </c>
      <c r="E512" s="4" t="s">
        <v>409</v>
      </c>
      <c r="F512" s="4" t="s">
        <v>33</v>
      </c>
      <c r="G512" s="4" t="s">
        <v>409</v>
      </c>
      <c r="H512" s="4" t="s">
        <v>2231</v>
      </c>
      <c r="I512" s="5">
        <v>39164</v>
      </c>
      <c r="J512" s="4" t="s">
        <v>3133</v>
      </c>
      <c r="K512" s="4" t="s">
        <v>119</v>
      </c>
      <c r="L512" s="4">
        <v>1994</v>
      </c>
      <c r="M512" s="4" t="s">
        <v>27</v>
      </c>
      <c r="N512" s="4">
        <v>14.2</v>
      </c>
      <c r="O512" s="4">
        <v>14.2</v>
      </c>
      <c r="P512" s="4" t="s">
        <v>2234</v>
      </c>
      <c r="Q512" s="4">
        <v>14.2</v>
      </c>
      <c r="R512" s="4" t="s">
        <v>2235</v>
      </c>
    </row>
    <row r="513" spans="1:18" hidden="1" x14ac:dyDescent="0.35">
      <c r="A513" s="4" t="s">
        <v>3134</v>
      </c>
      <c r="B513" s="4" t="s">
        <v>4080</v>
      </c>
      <c r="C513" s="4" t="s">
        <v>3131</v>
      </c>
      <c r="D513" s="4" t="s">
        <v>3132</v>
      </c>
      <c r="E513" s="4" t="s">
        <v>1039</v>
      </c>
      <c r="F513" s="4" t="s">
        <v>33</v>
      </c>
      <c r="G513" s="4" t="s">
        <v>36</v>
      </c>
      <c r="H513" s="4" t="s">
        <v>2231</v>
      </c>
      <c r="I513" s="5">
        <v>39164</v>
      </c>
      <c r="J513" s="4" t="s">
        <v>3133</v>
      </c>
      <c r="K513" s="4" t="s">
        <v>119</v>
      </c>
      <c r="L513" s="4">
        <v>2007</v>
      </c>
      <c r="M513" s="4" t="s">
        <v>27</v>
      </c>
      <c r="N513" s="4">
        <v>5.6</v>
      </c>
      <c r="O513" s="4">
        <v>5.6</v>
      </c>
      <c r="P513" s="4" t="s">
        <v>2234</v>
      </c>
      <c r="Q513" s="4">
        <v>5.6</v>
      </c>
      <c r="R513" s="4" t="s">
        <v>2235</v>
      </c>
    </row>
    <row r="514" spans="1:18" hidden="1" x14ac:dyDescent="0.35">
      <c r="A514" s="4" t="s">
        <v>3135</v>
      </c>
      <c r="B514" s="4" t="s">
        <v>4080</v>
      </c>
      <c r="C514" s="4" t="s">
        <v>3131</v>
      </c>
      <c r="D514" s="4" t="s">
        <v>3132</v>
      </c>
      <c r="E514" s="4" t="s">
        <v>2747</v>
      </c>
      <c r="F514" s="4" t="s">
        <v>33</v>
      </c>
      <c r="G514" s="4" t="s">
        <v>36</v>
      </c>
      <c r="H514" s="4" t="s">
        <v>2231</v>
      </c>
      <c r="I514" s="5">
        <v>39164</v>
      </c>
      <c r="J514" s="4" t="s">
        <v>3133</v>
      </c>
      <c r="K514" s="4" t="s">
        <v>119</v>
      </c>
      <c r="L514" s="4">
        <v>1994</v>
      </c>
      <c r="M514" s="4" t="s">
        <v>27</v>
      </c>
      <c r="N514" s="4">
        <v>4.9000000000000004</v>
      </c>
      <c r="O514" s="4">
        <v>4.9000000000000004</v>
      </c>
      <c r="P514" s="4" t="s">
        <v>2234</v>
      </c>
      <c r="Q514" s="4">
        <v>4.9000000000000004</v>
      </c>
      <c r="R514" s="4" t="s">
        <v>2235</v>
      </c>
    </row>
    <row r="515" spans="1:18" hidden="1" x14ac:dyDescent="0.35">
      <c r="A515" s="4" t="s">
        <v>114</v>
      </c>
      <c r="B515" s="4" t="s">
        <v>4080</v>
      </c>
      <c r="C515" s="4" t="s">
        <v>115</v>
      </c>
      <c r="D515" s="4" t="s">
        <v>3136</v>
      </c>
      <c r="E515" s="4" t="s">
        <v>2227</v>
      </c>
      <c r="F515" s="4" t="s">
        <v>33</v>
      </c>
      <c r="G515" s="4" t="s">
        <v>36</v>
      </c>
      <c r="H515" s="4" t="s">
        <v>2231</v>
      </c>
      <c r="I515" s="5">
        <v>39249</v>
      </c>
      <c r="J515" s="4" t="s">
        <v>117</v>
      </c>
      <c r="K515" s="4" t="s">
        <v>119</v>
      </c>
      <c r="L515" s="4">
        <v>2013</v>
      </c>
      <c r="M515" s="4" t="s">
        <v>27</v>
      </c>
      <c r="N515" s="4">
        <v>17.78</v>
      </c>
      <c r="O515" s="4">
        <v>17.78</v>
      </c>
      <c r="P515" s="4" t="s">
        <v>2234</v>
      </c>
      <c r="Q515" s="4">
        <v>17.78</v>
      </c>
      <c r="R515" s="4" t="s">
        <v>2235</v>
      </c>
    </row>
    <row r="516" spans="1:18" hidden="1" x14ac:dyDescent="0.35">
      <c r="A516" s="4" t="s">
        <v>3137</v>
      </c>
      <c r="B516" s="4" t="s">
        <v>4080</v>
      </c>
      <c r="C516" s="4" t="s">
        <v>2394</v>
      </c>
      <c r="D516" s="4" t="s">
        <v>3138</v>
      </c>
      <c r="E516" s="4" t="s">
        <v>52</v>
      </c>
      <c r="F516" s="4" t="s">
        <v>33</v>
      </c>
      <c r="G516" s="4" t="s">
        <v>46</v>
      </c>
      <c r="H516" s="4" t="s">
        <v>2231</v>
      </c>
      <c r="I516" s="5">
        <v>39326</v>
      </c>
      <c r="J516" s="4" t="s">
        <v>324</v>
      </c>
      <c r="K516" s="4" t="s">
        <v>119</v>
      </c>
      <c r="L516" s="4">
        <v>2017</v>
      </c>
      <c r="M516" s="4" t="s">
        <v>27</v>
      </c>
      <c r="N516" s="4">
        <v>5.5</v>
      </c>
      <c r="O516" s="4">
        <v>5.5</v>
      </c>
      <c r="P516" s="4" t="s">
        <v>2234</v>
      </c>
      <c r="Q516" s="4">
        <v>5.5</v>
      </c>
      <c r="R516" s="4" t="s">
        <v>2235</v>
      </c>
    </row>
    <row r="517" spans="1:18" hidden="1" x14ac:dyDescent="0.35">
      <c r="A517" s="4" t="s">
        <v>3139</v>
      </c>
      <c r="B517" s="4" t="s">
        <v>4080</v>
      </c>
      <c r="C517" s="4" t="s">
        <v>2394</v>
      </c>
      <c r="D517" s="4" t="s">
        <v>3138</v>
      </c>
      <c r="E517" s="4" t="s">
        <v>3140</v>
      </c>
      <c r="F517" s="4" t="s">
        <v>33</v>
      </c>
      <c r="G517" s="4" t="s">
        <v>46</v>
      </c>
      <c r="H517" s="4" t="s">
        <v>2231</v>
      </c>
      <c r="I517" s="5">
        <v>39326</v>
      </c>
      <c r="J517" s="4" t="s">
        <v>324</v>
      </c>
      <c r="K517" s="4" t="s">
        <v>119</v>
      </c>
      <c r="L517" s="4">
        <v>1995</v>
      </c>
      <c r="M517" s="4" t="s">
        <v>27</v>
      </c>
      <c r="N517" s="4">
        <v>5.3</v>
      </c>
      <c r="O517" s="4">
        <v>5.3</v>
      </c>
      <c r="P517" s="4" t="s">
        <v>2234</v>
      </c>
      <c r="Q517" s="4">
        <v>5.3</v>
      </c>
      <c r="R517" s="4" t="s">
        <v>2235</v>
      </c>
    </row>
    <row r="518" spans="1:18" hidden="1" x14ac:dyDescent="0.35">
      <c r="A518" s="4" t="s">
        <v>326</v>
      </c>
      <c r="B518" s="4" t="s">
        <v>4080</v>
      </c>
      <c r="C518" s="4" t="s">
        <v>2394</v>
      </c>
      <c r="D518" s="4" t="s">
        <v>3138</v>
      </c>
      <c r="E518" s="4" t="s">
        <v>40</v>
      </c>
      <c r="F518" s="4" t="s">
        <v>33</v>
      </c>
      <c r="G518" s="4" t="s">
        <v>46</v>
      </c>
      <c r="H518" s="4" t="s">
        <v>2231</v>
      </c>
      <c r="I518" s="5">
        <v>39326</v>
      </c>
      <c r="J518" s="4" t="s">
        <v>324</v>
      </c>
      <c r="K518" s="4" t="s">
        <v>119</v>
      </c>
      <c r="L518" s="4">
        <v>2010</v>
      </c>
      <c r="M518" s="4" t="s">
        <v>27</v>
      </c>
      <c r="N518" s="4">
        <v>29.49</v>
      </c>
      <c r="O518" s="4">
        <v>29.49</v>
      </c>
      <c r="P518" s="4" t="s">
        <v>2234</v>
      </c>
      <c r="Q518" s="4">
        <v>29.49</v>
      </c>
      <c r="R518" s="4" t="s">
        <v>2235</v>
      </c>
    </row>
    <row r="519" spans="1:18" hidden="1" x14ac:dyDescent="0.35">
      <c r="A519" s="4" t="s">
        <v>3141</v>
      </c>
      <c r="B519" s="4" t="s">
        <v>4080</v>
      </c>
      <c r="C519" s="4" t="s">
        <v>2394</v>
      </c>
      <c r="D519" s="4" t="s">
        <v>3138</v>
      </c>
      <c r="E519" s="4" t="s">
        <v>54</v>
      </c>
      <c r="F519" s="4" t="s">
        <v>33</v>
      </c>
      <c r="G519" s="4" t="s">
        <v>46</v>
      </c>
      <c r="H519" s="4" t="s">
        <v>2231</v>
      </c>
      <c r="I519" s="5">
        <v>39326</v>
      </c>
      <c r="J519" s="4" t="s">
        <v>324</v>
      </c>
      <c r="K519" s="4" t="s">
        <v>119</v>
      </c>
      <c r="L519" s="4">
        <v>1995</v>
      </c>
      <c r="M519" s="4" t="s">
        <v>27</v>
      </c>
      <c r="N519" s="4">
        <v>5</v>
      </c>
      <c r="O519" s="4">
        <v>5</v>
      </c>
      <c r="P519" s="4" t="s">
        <v>2234</v>
      </c>
      <c r="Q519" s="4">
        <v>5</v>
      </c>
      <c r="R519" s="4" t="s">
        <v>2235</v>
      </c>
    </row>
    <row r="520" spans="1:18" hidden="1" x14ac:dyDescent="0.35">
      <c r="A520" s="4" t="s">
        <v>322</v>
      </c>
      <c r="B520" s="4" t="s">
        <v>4080</v>
      </c>
      <c r="C520" s="4" t="s">
        <v>2394</v>
      </c>
      <c r="D520" s="4" t="s">
        <v>3138</v>
      </c>
      <c r="E520" s="4" t="s">
        <v>49</v>
      </c>
      <c r="F520" s="4" t="s">
        <v>33</v>
      </c>
      <c r="G520" s="4" t="s">
        <v>46</v>
      </c>
      <c r="H520" s="4" t="s">
        <v>2231</v>
      </c>
      <c r="I520" s="5">
        <v>39326</v>
      </c>
      <c r="J520" s="4" t="s">
        <v>324</v>
      </c>
      <c r="K520" s="4" t="s">
        <v>119</v>
      </c>
      <c r="L520" s="4">
        <v>1980</v>
      </c>
      <c r="M520" s="4" t="s">
        <v>27</v>
      </c>
      <c r="N520" s="4">
        <v>18.100000000000001</v>
      </c>
      <c r="O520" s="4">
        <v>18.100000000000001</v>
      </c>
      <c r="P520" s="4" t="s">
        <v>2234</v>
      </c>
      <c r="Q520" s="4">
        <v>18.100000000000001</v>
      </c>
      <c r="R520" s="4" t="s">
        <v>2235</v>
      </c>
    </row>
    <row r="521" spans="1:18" hidden="1" x14ac:dyDescent="0.35">
      <c r="A521" s="4" t="s">
        <v>3142</v>
      </c>
      <c r="B521" s="4" t="s">
        <v>4080</v>
      </c>
      <c r="C521" s="4" t="s">
        <v>2394</v>
      </c>
      <c r="D521" s="4" t="s">
        <v>3143</v>
      </c>
      <c r="E521" s="4" t="s">
        <v>52</v>
      </c>
      <c r="F521" s="4" t="s">
        <v>33</v>
      </c>
      <c r="G521" s="4" t="s">
        <v>36</v>
      </c>
      <c r="H521" s="4" t="s">
        <v>2231</v>
      </c>
      <c r="I521" s="5">
        <v>39326</v>
      </c>
      <c r="J521" s="4" t="s">
        <v>324</v>
      </c>
      <c r="K521" s="4" t="s">
        <v>119</v>
      </c>
      <c r="L521" s="4">
        <v>1997</v>
      </c>
      <c r="M521" s="4" t="s">
        <v>27</v>
      </c>
      <c r="N521" s="4">
        <v>5.5</v>
      </c>
      <c r="O521" s="4">
        <v>5.5</v>
      </c>
      <c r="P521" s="4" t="s">
        <v>2234</v>
      </c>
      <c r="Q521" s="4">
        <v>5.5</v>
      </c>
      <c r="R521" s="4" t="s">
        <v>2235</v>
      </c>
    </row>
    <row r="522" spans="1:18" hidden="1" x14ac:dyDescent="0.35">
      <c r="A522" s="4" t="s">
        <v>3144</v>
      </c>
      <c r="B522" s="4" t="s">
        <v>4080</v>
      </c>
      <c r="C522" s="4" t="s">
        <v>2394</v>
      </c>
      <c r="D522" s="4" t="s">
        <v>3143</v>
      </c>
      <c r="E522" s="4" t="s">
        <v>157</v>
      </c>
      <c r="F522" s="4" t="s">
        <v>33</v>
      </c>
      <c r="G522" s="4" t="s">
        <v>36</v>
      </c>
      <c r="H522" s="4" t="s">
        <v>2231</v>
      </c>
      <c r="I522" s="5">
        <v>39326</v>
      </c>
      <c r="J522" s="4" t="s">
        <v>324</v>
      </c>
      <c r="K522" s="4" t="s">
        <v>119</v>
      </c>
      <c r="L522" s="4">
        <v>2005</v>
      </c>
      <c r="M522" s="4" t="s">
        <v>27</v>
      </c>
      <c r="N522" s="4">
        <v>1.5</v>
      </c>
      <c r="O522" s="4">
        <v>1.5</v>
      </c>
      <c r="P522" s="4" t="s">
        <v>2234</v>
      </c>
      <c r="Q522" s="4">
        <v>1.5</v>
      </c>
      <c r="R522" s="4" t="s">
        <v>2235</v>
      </c>
    </row>
    <row r="523" spans="1:18" hidden="1" x14ac:dyDescent="0.35">
      <c r="A523" s="4" t="s">
        <v>3145</v>
      </c>
      <c r="B523" s="4" t="s">
        <v>4080</v>
      </c>
      <c r="C523" s="4" t="s">
        <v>2394</v>
      </c>
      <c r="D523" s="4" t="s">
        <v>3143</v>
      </c>
      <c r="E523" s="4" t="s">
        <v>54</v>
      </c>
      <c r="F523" s="4" t="s">
        <v>33</v>
      </c>
      <c r="G523" s="4" t="s">
        <v>36</v>
      </c>
      <c r="H523" s="4" t="s">
        <v>2231</v>
      </c>
      <c r="I523" s="5">
        <v>39326</v>
      </c>
      <c r="J523" s="4" t="s">
        <v>324</v>
      </c>
      <c r="K523" s="4" t="s">
        <v>119</v>
      </c>
      <c r="L523" s="4">
        <v>2017</v>
      </c>
      <c r="M523" s="4" t="s">
        <v>27</v>
      </c>
      <c r="N523" s="4">
        <v>5.5</v>
      </c>
      <c r="O523" s="4">
        <v>5.5</v>
      </c>
      <c r="P523" s="4" t="s">
        <v>2234</v>
      </c>
      <c r="Q523" s="4">
        <v>5.5</v>
      </c>
      <c r="R523" s="4" t="s">
        <v>2235</v>
      </c>
    </row>
    <row r="524" spans="1:18" hidden="1" x14ac:dyDescent="0.35">
      <c r="A524" s="4" t="s">
        <v>427</v>
      </c>
      <c r="B524" s="4" t="s">
        <v>4080</v>
      </c>
      <c r="C524" s="4" t="s">
        <v>3146</v>
      </c>
      <c r="D524" s="4" t="s">
        <v>3146</v>
      </c>
      <c r="E524" s="4" t="s">
        <v>2227</v>
      </c>
      <c r="F524" s="4" t="s">
        <v>173</v>
      </c>
      <c r="G524" s="4" t="s">
        <v>409</v>
      </c>
      <c r="H524" s="4" t="s">
        <v>2231</v>
      </c>
      <c r="I524" s="5">
        <v>39418</v>
      </c>
      <c r="J524" s="4" t="s">
        <v>425</v>
      </c>
      <c r="K524" s="4" t="s">
        <v>119</v>
      </c>
      <c r="L524" s="4">
        <v>2007</v>
      </c>
      <c r="M524" s="4" t="s">
        <v>27</v>
      </c>
      <c r="N524" s="4">
        <v>24</v>
      </c>
      <c r="O524" s="4">
        <v>24</v>
      </c>
      <c r="P524" s="4" t="s">
        <v>173</v>
      </c>
      <c r="Q524" s="4">
        <v>24</v>
      </c>
      <c r="R524" s="4" t="s">
        <v>173</v>
      </c>
    </row>
    <row r="525" spans="1:18" hidden="1" x14ac:dyDescent="0.35">
      <c r="A525" s="4" t="s">
        <v>422</v>
      </c>
      <c r="B525" s="4" t="s">
        <v>4080</v>
      </c>
      <c r="C525" s="4" t="s">
        <v>3147</v>
      </c>
      <c r="D525" s="4" t="s">
        <v>3148</v>
      </c>
      <c r="E525" s="4" t="s">
        <v>46</v>
      </c>
      <c r="F525" s="4" t="s">
        <v>33</v>
      </c>
      <c r="G525" s="4" t="s">
        <v>46</v>
      </c>
      <c r="H525" s="4" t="s">
        <v>2231</v>
      </c>
      <c r="I525" s="5">
        <v>39418</v>
      </c>
      <c r="J525" s="4" t="s">
        <v>425</v>
      </c>
      <c r="K525" s="4" t="s">
        <v>119</v>
      </c>
      <c r="L525" s="4">
        <v>1997</v>
      </c>
      <c r="M525" s="4" t="s">
        <v>27</v>
      </c>
      <c r="N525" s="4">
        <v>100</v>
      </c>
      <c r="O525" s="4">
        <v>100</v>
      </c>
      <c r="P525" s="4" t="s">
        <v>2234</v>
      </c>
      <c r="Q525" s="4">
        <v>100</v>
      </c>
      <c r="R525" s="4" t="s">
        <v>2235</v>
      </c>
    </row>
    <row r="526" spans="1:18" hidden="1" x14ac:dyDescent="0.35">
      <c r="A526" s="4" t="s">
        <v>458</v>
      </c>
      <c r="B526" s="4" t="s">
        <v>4080</v>
      </c>
      <c r="C526" s="4" t="s">
        <v>3149</v>
      </c>
      <c r="D526" s="4" t="s">
        <v>460</v>
      </c>
      <c r="E526" s="4" t="s">
        <v>2227</v>
      </c>
      <c r="F526" s="4" t="s">
        <v>33</v>
      </c>
      <c r="G526" s="4" t="s">
        <v>409</v>
      </c>
      <c r="H526" s="4" t="s">
        <v>2231</v>
      </c>
      <c r="I526" s="5">
        <v>39576</v>
      </c>
      <c r="J526" s="4" t="s">
        <v>461</v>
      </c>
      <c r="K526" s="4" t="s">
        <v>119</v>
      </c>
      <c r="L526" s="4">
        <v>1994</v>
      </c>
      <c r="M526" s="4" t="s">
        <v>27</v>
      </c>
      <c r="N526" s="4">
        <v>13.2</v>
      </c>
      <c r="O526" s="4">
        <v>13.2</v>
      </c>
      <c r="P526" s="4" t="s">
        <v>2234</v>
      </c>
      <c r="Q526" s="4">
        <v>13.2</v>
      </c>
      <c r="R526" s="4" t="s">
        <v>2235</v>
      </c>
    </row>
    <row r="527" spans="1:18" hidden="1" x14ac:dyDescent="0.35">
      <c r="A527" s="4" t="s">
        <v>1199</v>
      </c>
      <c r="B527" s="4" t="s">
        <v>4081</v>
      </c>
      <c r="C527" s="4" t="s">
        <v>3150</v>
      </c>
      <c r="D527" s="4" t="s">
        <v>46</v>
      </c>
      <c r="E527" s="4" t="s">
        <v>3151</v>
      </c>
      <c r="F527" s="4" t="s">
        <v>33</v>
      </c>
      <c r="G527" s="4" t="s">
        <v>46</v>
      </c>
      <c r="H527" s="4" t="s">
        <v>2231</v>
      </c>
      <c r="I527" s="5">
        <v>40221</v>
      </c>
      <c r="J527" s="4" t="s">
        <v>3152</v>
      </c>
      <c r="K527" s="4" t="s">
        <v>693</v>
      </c>
      <c r="L527" s="4">
        <v>2016</v>
      </c>
      <c r="M527" s="4" t="s">
        <v>27</v>
      </c>
      <c r="N527" s="4">
        <v>595</v>
      </c>
      <c r="O527" s="4">
        <v>595</v>
      </c>
      <c r="P527" s="4" t="s">
        <v>2234</v>
      </c>
      <c r="Q527" s="4">
        <v>595</v>
      </c>
      <c r="R527" s="4" t="s">
        <v>2235</v>
      </c>
    </row>
    <row r="528" spans="1:18" hidden="1" x14ac:dyDescent="0.35">
      <c r="A528" s="4" t="s">
        <v>1191</v>
      </c>
      <c r="B528" s="4" t="s">
        <v>4081</v>
      </c>
      <c r="C528" s="4" t="s">
        <v>3150</v>
      </c>
      <c r="D528" s="4" t="s">
        <v>1010</v>
      </c>
      <c r="E528" s="4" t="s">
        <v>3153</v>
      </c>
      <c r="F528" s="4" t="s">
        <v>33</v>
      </c>
      <c r="G528" s="4" t="s">
        <v>36</v>
      </c>
      <c r="H528" s="4" t="s">
        <v>2249</v>
      </c>
      <c r="I528" s="5">
        <v>40221</v>
      </c>
      <c r="J528" s="4" t="s">
        <v>3152</v>
      </c>
      <c r="K528" s="4" t="s">
        <v>693</v>
      </c>
      <c r="L528" s="4">
        <v>1974</v>
      </c>
      <c r="M528" s="4" t="s">
        <v>27</v>
      </c>
      <c r="N528" s="4">
        <v>64.7</v>
      </c>
      <c r="O528" s="4">
        <v>64.7</v>
      </c>
      <c r="P528" s="4" t="s">
        <v>2234</v>
      </c>
      <c r="Q528" s="4">
        <v>64.7</v>
      </c>
      <c r="R528" s="4" t="s">
        <v>2235</v>
      </c>
    </row>
    <row r="529" spans="1:18" hidden="1" x14ac:dyDescent="0.35">
      <c r="A529" s="4" t="s">
        <v>1195</v>
      </c>
      <c r="B529" s="4" t="s">
        <v>4081</v>
      </c>
      <c r="C529" s="4" t="s">
        <v>3150</v>
      </c>
      <c r="D529" s="4" t="s">
        <v>1010</v>
      </c>
      <c r="E529" s="4" t="s">
        <v>3154</v>
      </c>
      <c r="F529" s="4" t="s">
        <v>33</v>
      </c>
      <c r="G529" s="4" t="s">
        <v>36</v>
      </c>
      <c r="H529" s="4" t="s">
        <v>2249</v>
      </c>
      <c r="I529" s="5">
        <v>40221</v>
      </c>
      <c r="J529" s="4" t="s">
        <v>3152</v>
      </c>
      <c r="K529" s="4" t="s">
        <v>693</v>
      </c>
      <c r="L529" s="4">
        <v>1974</v>
      </c>
      <c r="M529" s="4" t="s">
        <v>27</v>
      </c>
      <c r="N529" s="4">
        <v>66.7</v>
      </c>
      <c r="O529" s="4">
        <v>66.7</v>
      </c>
      <c r="P529" s="4" t="s">
        <v>2234</v>
      </c>
      <c r="Q529" s="4">
        <v>66.7</v>
      </c>
      <c r="R529" s="4" t="s">
        <v>2235</v>
      </c>
    </row>
    <row r="530" spans="1:18" hidden="1" x14ac:dyDescent="0.35">
      <c r="A530" s="4" t="s">
        <v>1197</v>
      </c>
      <c r="B530" s="4" t="s">
        <v>4081</v>
      </c>
      <c r="C530" s="4" t="s">
        <v>3150</v>
      </c>
      <c r="D530" s="4" t="s">
        <v>46</v>
      </c>
      <c r="E530" s="4" t="s">
        <v>3155</v>
      </c>
      <c r="F530" s="4" t="s">
        <v>33</v>
      </c>
      <c r="G530" s="4" t="s">
        <v>46</v>
      </c>
      <c r="H530" s="4" t="s">
        <v>2231</v>
      </c>
      <c r="I530" s="5">
        <v>40221</v>
      </c>
      <c r="J530" s="4" t="s">
        <v>3152</v>
      </c>
      <c r="K530" s="4" t="s">
        <v>693</v>
      </c>
      <c r="L530" s="4">
        <v>2000</v>
      </c>
      <c r="M530" s="4" t="s">
        <v>27</v>
      </c>
      <c r="N530" s="4">
        <v>67.8</v>
      </c>
      <c r="O530" s="4">
        <v>67.8</v>
      </c>
      <c r="P530" s="4" t="s">
        <v>2234</v>
      </c>
      <c r="Q530" s="4">
        <v>67.8</v>
      </c>
      <c r="R530" s="4" t="s">
        <v>2235</v>
      </c>
    </row>
    <row r="531" spans="1:18" hidden="1" x14ac:dyDescent="0.35">
      <c r="A531" s="4" t="s">
        <v>1197</v>
      </c>
      <c r="B531" s="4" t="s">
        <v>4081</v>
      </c>
      <c r="C531" s="4" t="s">
        <v>3150</v>
      </c>
      <c r="D531" s="4" t="s">
        <v>46</v>
      </c>
      <c r="E531" s="4" t="s">
        <v>3156</v>
      </c>
      <c r="F531" s="4" t="s">
        <v>33</v>
      </c>
      <c r="G531" s="4" t="s">
        <v>46</v>
      </c>
      <c r="H531" s="4" t="s">
        <v>2231</v>
      </c>
      <c r="I531" s="5">
        <v>40221</v>
      </c>
      <c r="J531" s="4" t="s">
        <v>3152</v>
      </c>
      <c r="K531" s="4" t="s">
        <v>693</v>
      </c>
      <c r="L531" s="4">
        <v>2000</v>
      </c>
      <c r="M531" s="4" t="s">
        <v>27</v>
      </c>
      <c r="N531" s="4">
        <v>32.200000000000003</v>
      </c>
      <c r="O531" s="4">
        <v>32.200000000000003</v>
      </c>
      <c r="P531" s="4" t="s">
        <v>2234</v>
      </c>
      <c r="Q531" s="4">
        <v>32.200000000000003</v>
      </c>
      <c r="R531" s="4" t="s">
        <v>2235</v>
      </c>
    </row>
    <row r="532" spans="1:18" hidden="1" x14ac:dyDescent="0.35">
      <c r="A532" s="4" t="s">
        <v>3157</v>
      </c>
      <c r="B532" s="4" t="s">
        <v>4081</v>
      </c>
      <c r="C532" s="4" t="s">
        <v>3158</v>
      </c>
      <c r="D532" s="4" t="s">
        <v>3159</v>
      </c>
      <c r="E532" s="4">
        <v>1</v>
      </c>
      <c r="F532" s="4" t="s">
        <v>33</v>
      </c>
      <c r="G532" s="4" t="s">
        <v>36</v>
      </c>
      <c r="H532" s="4" t="s">
        <v>2231</v>
      </c>
      <c r="I532" s="5">
        <v>40476</v>
      </c>
      <c r="J532" s="4" t="s">
        <v>3152</v>
      </c>
      <c r="K532" s="4" t="s">
        <v>693</v>
      </c>
      <c r="L532" s="4">
        <v>2012</v>
      </c>
      <c r="M532" s="4" t="s">
        <v>27</v>
      </c>
      <c r="N532" s="4">
        <v>4.2</v>
      </c>
      <c r="O532" s="4">
        <v>4.2</v>
      </c>
      <c r="P532" s="4" t="s">
        <v>2234</v>
      </c>
      <c r="Q532" s="4">
        <v>4.2</v>
      </c>
      <c r="R532" s="4" t="s">
        <v>2235</v>
      </c>
    </row>
    <row r="533" spans="1:18" hidden="1" x14ac:dyDescent="0.35">
      <c r="A533" s="4" t="s">
        <v>3160</v>
      </c>
      <c r="B533" s="4" t="s">
        <v>4081</v>
      </c>
      <c r="C533" s="4" t="s">
        <v>3158</v>
      </c>
      <c r="D533" s="4" t="s">
        <v>3159</v>
      </c>
      <c r="E533" s="4">
        <v>2</v>
      </c>
      <c r="F533" s="4" t="s">
        <v>33</v>
      </c>
      <c r="G533" s="4" t="s">
        <v>36</v>
      </c>
      <c r="H533" s="4" t="s">
        <v>2231</v>
      </c>
      <c r="I533" s="5">
        <v>40476</v>
      </c>
      <c r="J533" s="4" t="s">
        <v>3152</v>
      </c>
      <c r="K533" s="4" t="s">
        <v>693</v>
      </c>
      <c r="L533" s="4">
        <v>2012</v>
      </c>
      <c r="M533" s="4" t="s">
        <v>27</v>
      </c>
      <c r="N533" s="4">
        <v>4.2</v>
      </c>
      <c r="O533" s="4">
        <v>4.2</v>
      </c>
      <c r="P533" s="4" t="s">
        <v>2234</v>
      </c>
      <c r="Q533" s="4">
        <v>4.2</v>
      </c>
      <c r="R533" s="4" t="s">
        <v>2235</v>
      </c>
    </row>
    <row r="534" spans="1:18" hidden="1" x14ac:dyDescent="0.35">
      <c r="A534" s="4" t="s">
        <v>3161</v>
      </c>
      <c r="B534" s="4" t="s">
        <v>4081</v>
      </c>
      <c r="C534" s="4" t="s">
        <v>3158</v>
      </c>
      <c r="D534" s="4" t="s">
        <v>3159</v>
      </c>
      <c r="E534" s="4">
        <v>3</v>
      </c>
      <c r="F534" s="4" t="s">
        <v>33</v>
      </c>
      <c r="G534" s="4" t="s">
        <v>36</v>
      </c>
      <c r="H534" s="4" t="s">
        <v>2231</v>
      </c>
      <c r="I534" s="5">
        <v>40476</v>
      </c>
      <c r="J534" s="4" t="s">
        <v>3152</v>
      </c>
      <c r="K534" s="4" t="s">
        <v>693</v>
      </c>
      <c r="L534" s="4">
        <v>2012</v>
      </c>
      <c r="M534" s="4" t="s">
        <v>27</v>
      </c>
      <c r="N534" s="4">
        <v>4.2</v>
      </c>
      <c r="O534" s="4">
        <v>4.2</v>
      </c>
      <c r="P534" s="4" t="s">
        <v>2234</v>
      </c>
      <c r="Q534" s="4">
        <v>4.2</v>
      </c>
      <c r="R534" s="4" t="s">
        <v>2235</v>
      </c>
    </row>
    <row r="535" spans="1:18" hidden="1" x14ac:dyDescent="0.35">
      <c r="A535" s="4" t="s">
        <v>3162</v>
      </c>
      <c r="B535" s="4" t="s">
        <v>4081</v>
      </c>
      <c r="C535" s="4" t="s">
        <v>3158</v>
      </c>
      <c r="D535" s="4" t="s">
        <v>3159</v>
      </c>
      <c r="E535" s="4">
        <v>4</v>
      </c>
      <c r="F535" s="4" t="s">
        <v>33</v>
      </c>
      <c r="G535" s="4" t="s">
        <v>36</v>
      </c>
      <c r="H535" s="4" t="s">
        <v>2231</v>
      </c>
      <c r="I535" s="5">
        <v>40476</v>
      </c>
      <c r="J535" s="4" t="s">
        <v>3152</v>
      </c>
      <c r="K535" s="4" t="s">
        <v>693</v>
      </c>
      <c r="L535" s="4">
        <v>2012</v>
      </c>
      <c r="M535" s="4" t="s">
        <v>27</v>
      </c>
      <c r="N535" s="4">
        <v>4.2</v>
      </c>
      <c r="O535" s="4">
        <v>4.2</v>
      </c>
      <c r="P535" s="4" t="s">
        <v>2234</v>
      </c>
      <c r="Q535" s="4">
        <v>4.2</v>
      </c>
      <c r="R535" s="4" t="s">
        <v>2235</v>
      </c>
    </row>
    <row r="536" spans="1:18" hidden="1" x14ac:dyDescent="0.35">
      <c r="A536" s="4" t="s">
        <v>3163</v>
      </c>
      <c r="B536" s="4" t="s">
        <v>4081</v>
      </c>
      <c r="C536" s="4" t="s">
        <v>3158</v>
      </c>
      <c r="D536" s="4" t="s">
        <v>3159</v>
      </c>
      <c r="E536" s="4">
        <v>5</v>
      </c>
      <c r="F536" s="4" t="s">
        <v>33</v>
      </c>
      <c r="G536" s="4" t="s">
        <v>36</v>
      </c>
      <c r="H536" s="4" t="s">
        <v>2231</v>
      </c>
      <c r="I536" s="5">
        <v>40476</v>
      </c>
      <c r="J536" s="4" t="s">
        <v>3152</v>
      </c>
      <c r="K536" s="4" t="s">
        <v>693</v>
      </c>
      <c r="L536" s="4">
        <v>2012</v>
      </c>
      <c r="M536" s="4" t="s">
        <v>27</v>
      </c>
      <c r="N536" s="4">
        <v>4.2</v>
      </c>
      <c r="O536" s="4">
        <v>4.2</v>
      </c>
      <c r="P536" s="4" t="s">
        <v>2234</v>
      </c>
      <c r="Q536" s="4">
        <v>4.2</v>
      </c>
      <c r="R536" s="4" t="s">
        <v>2235</v>
      </c>
    </row>
    <row r="537" spans="1:18" hidden="1" x14ac:dyDescent="0.35">
      <c r="A537" s="4" t="s">
        <v>3164</v>
      </c>
      <c r="B537" s="4" t="s">
        <v>4081</v>
      </c>
      <c r="C537" s="4" t="s">
        <v>926</v>
      </c>
      <c r="D537" s="4" t="s">
        <v>3165</v>
      </c>
      <c r="E537" s="4" t="s">
        <v>3166</v>
      </c>
      <c r="F537" s="4" t="s">
        <v>33</v>
      </c>
      <c r="G537" s="4" t="s">
        <v>409</v>
      </c>
      <c r="H537" s="4" t="s">
        <v>2231</v>
      </c>
      <c r="I537" s="5">
        <v>40589</v>
      </c>
      <c r="J537" s="4" t="s">
        <v>3152</v>
      </c>
      <c r="K537" s="4" t="s">
        <v>693</v>
      </c>
      <c r="L537" s="4">
        <v>1963</v>
      </c>
      <c r="M537" s="4" t="s">
        <v>27</v>
      </c>
      <c r="N537" s="4">
        <v>9</v>
      </c>
      <c r="O537" s="4">
        <v>9</v>
      </c>
      <c r="P537" s="4" t="s">
        <v>2234</v>
      </c>
      <c r="Q537" s="4">
        <v>9</v>
      </c>
      <c r="R537" s="4" t="s">
        <v>2235</v>
      </c>
    </row>
    <row r="538" spans="1:18" hidden="1" x14ac:dyDescent="0.35">
      <c r="A538" s="4" t="s">
        <v>925</v>
      </c>
      <c r="B538" s="4" t="s">
        <v>4081</v>
      </c>
      <c r="C538" s="4" t="s">
        <v>926</v>
      </c>
      <c r="D538" s="4" t="s">
        <v>3165</v>
      </c>
      <c r="E538" s="4" t="s">
        <v>927</v>
      </c>
      <c r="F538" s="4" t="s">
        <v>33</v>
      </c>
      <c r="G538" s="4" t="s">
        <v>409</v>
      </c>
      <c r="H538" s="4" t="s">
        <v>2231</v>
      </c>
      <c r="I538" s="5">
        <v>40589</v>
      </c>
      <c r="J538" s="4" t="s">
        <v>3152</v>
      </c>
      <c r="K538" s="4" t="s">
        <v>693</v>
      </c>
      <c r="L538" s="4">
        <v>1965</v>
      </c>
      <c r="M538" s="4" t="s">
        <v>27</v>
      </c>
      <c r="N538" s="4">
        <v>11.88</v>
      </c>
      <c r="O538" s="4">
        <v>11.88</v>
      </c>
      <c r="P538" s="4" t="s">
        <v>2234</v>
      </c>
      <c r="Q538" s="4">
        <v>11.88</v>
      </c>
      <c r="R538" s="4" t="s">
        <v>2235</v>
      </c>
    </row>
    <row r="539" spans="1:18" hidden="1" x14ac:dyDescent="0.35">
      <c r="A539" s="4" t="s">
        <v>930</v>
      </c>
      <c r="B539" s="4" t="s">
        <v>4081</v>
      </c>
      <c r="C539" s="4" t="s">
        <v>926</v>
      </c>
      <c r="D539" s="4" t="s">
        <v>3165</v>
      </c>
      <c r="E539" s="4" t="s">
        <v>931</v>
      </c>
      <c r="F539" s="4" t="s">
        <v>33</v>
      </c>
      <c r="G539" s="4" t="s">
        <v>409</v>
      </c>
      <c r="H539" s="4" t="s">
        <v>2231</v>
      </c>
      <c r="I539" s="5">
        <v>40589</v>
      </c>
      <c r="J539" s="4" t="s">
        <v>3152</v>
      </c>
      <c r="K539" s="4" t="s">
        <v>693</v>
      </c>
      <c r="L539" s="4">
        <v>1965</v>
      </c>
      <c r="M539" s="4" t="s">
        <v>27</v>
      </c>
      <c r="N539" s="4">
        <v>11.88</v>
      </c>
      <c r="O539" s="4">
        <v>11.88</v>
      </c>
      <c r="P539" s="4" t="s">
        <v>2234</v>
      </c>
      <c r="Q539" s="4">
        <v>11.88</v>
      </c>
      <c r="R539" s="4" t="s">
        <v>2235</v>
      </c>
    </row>
    <row r="540" spans="1:18" hidden="1" x14ac:dyDescent="0.35">
      <c r="A540" s="4" t="s">
        <v>3167</v>
      </c>
      <c r="B540" s="4" t="s">
        <v>4081</v>
      </c>
      <c r="C540" s="4" t="s">
        <v>3168</v>
      </c>
      <c r="D540" s="4" t="s">
        <v>3169</v>
      </c>
      <c r="E540" s="4" t="s">
        <v>3170</v>
      </c>
      <c r="F540" s="4" t="s">
        <v>33</v>
      </c>
      <c r="G540" s="4" t="s">
        <v>137</v>
      </c>
      <c r="H540" s="4" t="s">
        <v>2231</v>
      </c>
      <c r="I540" s="5">
        <v>40589</v>
      </c>
      <c r="J540" s="4" t="s">
        <v>3152</v>
      </c>
      <c r="K540" s="4" t="s">
        <v>693</v>
      </c>
      <c r="L540" s="4">
        <v>2016</v>
      </c>
      <c r="M540" s="4" t="s">
        <v>27</v>
      </c>
      <c r="N540" s="4">
        <v>2</v>
      </c>
      <c r="O540" s="4">
        <v>2</v>
      </c>
      <c r="P540" s="4" t="s">
        <v>2234</v>
      </c>
      <c r="Q540" s="4">
        <v>2</v>
      </c>
      <c r="R540" s="4" t="s">
        <v>2235</v>
      </c>
    </row>
    <row r="541" spans="1:18" hidden="1" x14ac:dyDescent="0.35">
      <c r="A541" s="4" t="s">
        <v>932</v>
      </c>
      <c r="B541" s="4" t="s">
        <v>4081</v>
      </c>
      <c r="C541" s="4" t="s">
        <v>926</v>
      </c>
      <c r="D541" s="4" t="s">
        <v>3165</v>
      </c>
      <c r="E541" s="4" t="s">
        <v>933</v>
      </c>
      <c r="F541" s="4" t="s">
        <v>33</v>
      </c>
      <c r="G541" s="4" t="s">
        <v>409</v>
      </c>
      <c r="H541" s="4" t="s">
        <v>2231</v>
      </c>
      <c r="I541" s="5">
        <v>40589</v>
      </c>
      <c r="J541" s="4" t="s">
        <v>3152</v>
      </c>
      <c r="K541" s="4" t="s">
        <v>693</v>
      </c>
      <c r="L541" s="4">
        <v>1980</v>
      </c>
      <c r="M541" s="4" t="s">
        <v>27</v>
      </c>
      <c r="N541" s="4">
        <v>18</v>
      </c>
      <c r="O541" s="4">
        <v>18</v>
      </c>
      <c r="P541" s="4" t="s">
        <v>2234</v>
      </c>
      <c r="Q541" s="4">
        <v>18</v>
      </c>
      <c r="R541" s="4" t="s">
        <v>2235</v>
      </c>
    </row>
    <row r="542" spans="1:18" hidden="1" x14ac:dyDescent="0.35">
      <c r="A542" s="4" t="s">
        <v>934</v>
      </c>
      <c r="B542" s="4" t="s">
        <v>4081</v>
      </c>
      <c r="C542" s="4" t="s">
        <v>926</v>
      </c>
      <c r="D542" s="4" t="s">
        <v>3165</v>
      </c>
      <c r="E542" s="4" t="s">
        <v>935</v>
      </c>
      <c r="F542" s="4" t="s">
        <v>33</v>
      </c>
      <c r="G542" s="4" t="s">
        <v>409</v>
      </c>
      <c r="H542" s="4" t="s">
        <v>2231</v>
      </c>
      <c r="I542" s="5">
        <v>40589</v>
      </c>
      <c r="J542" s="4" t="s">
        <v>3152</v>
      </c>
      <c r="K542" s="4" t="s">
        <v>693</v>
      </c>
      <c r="L542" s="4">
        <v>1983</v>
      </c>
      <c r="M542" s="4" t="s">
        <v>27</v>
      </c>
      <c r="N542" s="4">
        <v>18</v>
      </c>
      <c r="O542" s="4">
        <v>18</v>
      </c>
      <c r="P542" s="4" t="s">
        <v>2234</v>
      </c>
      <c r="Q542" s="4">
        <v>18</v>
      </c>
      <c r="R542" s="4" t="s">
        <v>2235</v>
      </c>
    </row>
    <row r="543" spans="1:18" hidden="1" x14ac:dyDescent="0.35">
      <c r="A543" s="4" t="s">
        <v>3171</v>
      </c>
      <c r="B543" s="4" t="s">
        <v>4081</v>
      </c>
      <c r="C543" s="4" t="s">
        <v>926</v>
      </c>
      <c r="D543" s="4" t="s">
        <v>3165</v>
      </c>
      <c r="E543" s="4" t="s">
        <v>3172</v>
      </c>
      <c r="F543" s="4" t="s">
        <v>33</v>
      </c>
      <c r="G543" s="4" t="s">
        <v>137</v>
      </c>
      <c r="H543" s="4" t="s">
        <v>2231</v>
      </c>
      <c r="I543" s="5">
        <v>40589</v>
      </c>
      <c r="J543" s="4" t="s">
        <v>3152</v>
      </c>
      <c r="K543" s="4" t="s">
        <v>693</v>
      </c>
      <c r="L543" s="4">
        <v>2016</v>
      </c>
      <c r="M543" s="4" t="s">
        <v>27</v>
      </c>
      <c r="N543" s="4">
        <v>1.97</v>
      </c>
      <c r="O543" s="4">
        <v>1.97</v>
      </c>
      <c r="P543" s="4" t="s">
        <v>2234</v>
      </c>
      <c r="Q543" s="4">
        <v>1.97</v>
      </c>
      <c r="R543" s="4" t="s">
        <v>2235</v>
      </c>
    </row>
    <row r="544" spans="1:18" hidden="1" x14ac:dyDescent="0.35">
      <c r="A544" s="4" t="s">
        <v>3173</v>
      </c>
      <c r="B544" s="4" t="s">
        <v>4081</v>
      </c>
      <c r="C544" s="4" t="s">
        <v>926</v>
      </c>
      <c r="D544" s="4" t="s">
        <v>36</v>
      </c>
      <c r="E544" s="4">
        <v>1</v>
      </c>
      <c r="F544" s="4" t="s">
        <v>33</v>
      </c>
      <c r="G544" s="4" t="s">
        <v>36</v>
      </c>
      <c r="H544" s="4" t="s">
        <v>2231</v>
      </c>
      <c r="I544" s="5">
        <v>40589</v>
      </c>
      <c r="J544" s="4" t="s">
        <v>3152</v>
      </c>
      <c r="K544" s="4" t="s">
        <v>693</v>
      </c>
      <c r="L544" s="4">
        <v>2012</v>
      </c>
      <c r="M544" s="4" t="s">
        <v>27</v>
      </c>
      <c r="N544" s="4">
        <v>9</v>
      </c>
      <c r="O544" s="4">
        <v>9</v>
      </c>
      <c r="P544" s="4" t="s">
        <v>2234</v>
      </c>
      <c r="Q544" s="4">
        <v>9</v>
      </c>
      <c r="R544" s="4" t="s">
        <v>2235</v>
      </c>
    </row>
    <row r="545" spans="1:18" hidden="1" x14ac:dyDescent="0.35">
      <c r="A545" s="4" t="s">
        <v>3174</v>
      </c>
      <c r="B545" s="4" t="s">
        <v>4081</v>
      </c>
      <c r="C545" s="4" t="s">
        <v>3175</v>
      </c>
      <c r="D545" s="4" t="s">
        <v>3176</v>
      </c>
      <c r="E545" s="4" t="s">
        <v>3034</v>
      </c>
      <c r="F545" s="4" t="s">
        <v>33</v>
      </c>
      <c r="G545" s="4" t="s">
        <v>137</v>
      </c>
      <c r="H545" s="4" t="s">
        <v>2231</v>
      </c>
      <c r="I545" s="5">
        <v>40699</v>
      </c>
      <c r="J545" s="4" t="s">
        <v>3177</v>
      </c>
      <c r="K545" s="4" t="s">
        <v>693</v>
      </c>
      <c r="L545" s="4">
        <v>2000</v>
      </c>
      <c r="M545" s="4" t="s">
        <v>27</v>
      </c>
      <c r="N545" s="4">
        <v>3.02</v>
      </c>
      <c r="O545" s="4">
        <v>3.02</v>
      </c>
      <c r="P545" s="4" t="s">
        <v>2234</v>
      </c>
      <c r="Q545" s="4">
        <v>3.02</v>
      </c>
      <c r="R545" s="4" t="s">
        <v>2235</v>
      </c>
    </row>
    <row r="546" spans="1:18" hidden="1" x14ac:dyDescent="0.35">
      <c r="A546" s="4" t="s">
        <v>3178</v>
      </c>
      <c r="B546" s="4" t="s">
        <v>4081</v>
      </c>
      <c r="C546" s="4" t="s">
        <v>3175</v>
      </c>
      <c r="D546" s="4" t="s">
        <v>3176</v>
      </c>
      <c r="E546" s="4" t="s">
        <v>3036</v>
      </c>
      <c r="F546" s="4" t="s">
        <v>33</v>
      </c>
      <c r="G546" s="4" t="s">
        <v>137</v>
      </c>
      <c r="H546" s="4" t="s">
        <v>2231</v>
      </c>
      <c r="I546" s="5">
        <v>40699</v>
      </c>
      <c r="J546" s="4" t="s">
        <v>3177</v>
      </c>
      <c r="K546" s="4" t="s">
        <v>693</v>
      </c>
      <c r="L546" s="4">
        <v>2000</v>
      </c>
      <c r="M546" s="4" t="s">
        <v>27</v>
      </c>
      <c r="N546" s="4">
        <v>3.02</v>
      </c>
      <c r="O546" s="4">
        <v>3.02</v>
      </c>
      <c r="P546" s="4" t="s">
        <v>2234</v>
      </c>
      <c r="Q546" s="4">
        <v>3.02</v>
      </c>
      <c r="R546" s="4" t="s">
        <v>2235</v>
      </c>
    </row>
    <row r="547" spans="1:18" hidden="1" x14ac:dyDescent="0.35">
      <c r="A547" s="4" t="s">
        <v>3179</v>
      </c>
      <c r="B547" s="4" t="s">
        <v>4081</v>
      </c>
      <c r="C547" s="4" t="s">
        <v>3175</v>
      </c>
      <c r="D547" s="4" t="s">
        <v>3176</v>
      </c>
      <c r="E547" s="4" t="s">
        <v>3180</v>
      </c>
      <c r="F547" s="4" t="s">
        <v>33</v>
      </c>
      <c r="G547" s="4" t="s">
        <v>137</v>
      </c>
      <c r="H547" s="4" t="s">
        <v>2231</v>
      </c>
      <c r="I547" s="5">
        <v>40699</v>
      </c>
      <c r="J547" s="4" t="s">
        <v>3177</v>
      </c>
      <c r="K547" s="4" t="s">
        <v>693</v>
      </c>
      <c r="L547" s="4">
        <v>2000</v>
      </c>
      <c r="M547" s="4" t="s">
        <v>27</v>
      </c>
      <c r="N547" s="4">
        <v>3.02</v>
      </c>
      <c r="O547" s="4">
        <v>3.02</v>
      </c>
      <c r="P547" s="4" t="s">
        <v>2234</v>
      </c>
      <c r="Q547" s="4">
        <v>3.02</v>
      </c>
      <c r="R547" s="4" t="s">
        <v>2235</v>
      </c>
    </row>
    <row r="548" spans="1:18" hidden="1" x14ac:dyDescent="0.35">
      <c r="A548" s="4" t="s">
        <v>2227</v>
      </c>
      <c r="B548" s="4" t="s">
        <v>4081</v>
      </c>
      <c r="C548" s="4" t="s">
        <v>3181</v>
      </c>
      <c r="D548" s="4" t="s">
        <v>3182</v>
      </c>
      <c r="E548" s="4" t="s">
        <v>46</v>
      </c>
      <c r="F548" s="4" t="s">
        <v>33</v>
      </c>
      <c r="G548" s="4" t="s">
        <v>46</v>
      </c>
      <c r="H548" s="4" t="s">
        <v>2231</v>
      </c>
      <c r="I548" s="5">
        <v>41460</v>
      </c>
      <c r="J548" s="4" t="s">
        <v>1011</v>
      </c>
      <c r="K548" s="4" t="s">
        <v>693</v>
      </c>
      <c r="L548" s="4">
        <v>2022</v>
      </c>
      <c r="M548" s="4" t="s">
        <v>2459</v>
      </c>
      <c r="N548" s="4">
        <v>26</v>
      </c>
      <c r="O548" s="4">
        <v>26</v>
      </c>
      <c r="P548" s="4" t="s">
        <v>2234</v>
      </c>
      <c r="Q548" s="4">
        <v>26</v>
      </c>
      <c r="R548" s="4" t="s">
        <v>2235</v>
      </c>
    </row>
    <row r="549" spans="1:18" hidden="1" x14ac:dyDescent="0.35">
      <c r="A549" s="4" t="s">
        <v>1008</v>
      </c>
      <c r="B549" s="4" t="s">
        <v>4081</v>
      </c>
      <c r="C549" s="4" t="s">
        <v>3183</v>
      </c>
      <c r="D549" s="4" t="s">
        <v>3184</v>
      </c>
      <c r="E549" s="4" t="s">
        <v>3185</v>
      </c>
      <c r="F549" s="4" t="s">
        <v>33</v>
      </c>
      <c r="G549" s="4" t="s">
        <v>36</v>
      </c>
      <c r="H549" s="4" t="s">
        <v>2249</v>
      </c>
      <c r="I549" s="5">
        <v>41460</v>
      </c>
      <c r="J549" s="4" t="s">
        <v>1011</v>
      </c>
      <c r="K549" s="4" t="s">
        <v>693</v>
      </c>
      <c r="L549" s="4">
        <v>2023</v>
      </c>
      <c r="M549" s="4" t="s">
        <v>2459</v>
      </c>
      <c r="N549" s="4">
        <v>16.5</v>
      </c>
      <c r="O549" s="4">
        <v>16.5</v>
      </c>
      <c r="P549" s="4" t="s">
        <v>2234</v>
      </c>
      <c r="Q549" s="4">
        <v>16.5</v>
      </c>
      <c r="R549" s="4" t="s">
        <v>2235</v>
      </c>
    </row>
    <row r="550" spans="1:18" hidden="1" x14ac:dyDescent="0.35">
      <c r="A550" s="4" t="s">
        <v>3186</v>
      </c>
      <c r="B550" s="4" t="s">
        <v>4081</v>
      </c>
      <c r="C550" s="4" t="s">
        <v>3187</v>
      </c>
      <c r="D550" s="4" t="s">
        <v>3187</v>
      </c>
      <c r="E550" s="4" t="s">
        <v>3188</v>
      </c>
      <c r="F550" s="4" t="s">
        <v>33</v>
      </c>
      <c r="G550" s="4" t="s">
        <v>46</v>
      </c>
      <c r="H550" s="4" t="s">
        <v>2231</v>
      </c>
      <c r="I550" s="5">
        <v>41460</v>
      </c>
      <c r="J550" s="4" t="s">
        <v>1011</v>
      </c>
      <c r="K550" s="4" t="s">
        <v>693</v>
      </c>
      <c r="L550" s="4">
        <v>1992</v>
      </c>
      <c r="M550" s="4" t="s">
        <v>27</v>
      </c>
      <c r="N550" s="4">
        <v>4.8</v>
      </c>
      <c r="O550" s="4">
        <v>4.8</v>
      </c>
      <c r="P550" s="4" t="s">
        <v>2234</v>
      </c>
      <c r="Q550" s="4">
        <v>4.8</v>
      </c>
      <c r="R550" s="4" t="s">
        <v>2235</v>
      </c>
    </row>
    <row r="551" spans="1:18" hidden="1" x14ac:dyDescent="0.35">
      <c r="A551" s="4" t="s">
        <v>3189</v>
      </c>
      <c r="B551" s="4" t="s">
        <v>4081</v>
      </c>
      <c r="C551" s="4" t="s">
        <v>3187</v>
      </c>
      <c r="D551" s="4" t="s">
        <v>3187</v>
      </c>
      <c r="E551" s="4" t="s">
        <v>3190</v>
      </c>
      <c r="F551" s="4" t="s">
        <v>33</v>
      </c>
      <c r="G551" s="4" t="s">
        <v>46</v>
      </c>
      <c r="H551" s="4" t="s">
        <v>2231</v>
      </c>
      <c r="I551" s="5">
        <v>41460</v>
      </c>
      <c r="J551" s="4" t="s">
        <v>1011</v>
      </c>
      <c r="K551" s="4" t="s">
        <v>693</v>
      </c>
      <c r="L551" s="4">
        <v>1992</v>
      </c>
      <c r="M551" s="4" t="s">
        <v>27</v>
      </c>
      <c r="N551" s="4">
        <v>4.8</v>
      </c>
      <c r="O551" s="4">
        <v>4.8</v>
      </c>
      <c r="P551" s="4" t="s">
        <v>2234</v>
      </c>
      <c r="Q551" s="4">
        <v>4.8</v>
      </c>
      <c r="R551" s="4" t="s">
        <v>2235</v>
      </c>
    </row>
    <row r="552" spans="1:18" hidden="1" x14ac:dyDescent="0.35">
      <c r="A552" s="4" t="s">
        <v>3191</v>
      </c>
      <c r="B552" s="4" t="s">
        <v>4081</v>
      </c>
      <c r="C552" s="4" t="s">
        <v>3187</v>
      </c>
      <c r="D552" s="4" t="s">
        <v>3187</v>
      </c>
      <c r="E552" s="4" t="s">
        <v>3192</v>
      </c>
      <c r="F552" s="4" t="s">
        <v>33</v>
      </c>
      <c r="G552" s="4" t="s">
        <v>46</v>
      </c>
      <c r="H552" s="4" t="s">
        <v>2231</v>
      </c>
      <c r="I552" s="5">
        <v>41460</v>
      </c>
      <c r="J552" s="4" t="s">
        <v>1011</v>
      </c>
      <c r="K552" s="4" t="s">
        <v>693</v>
      </c>
      <c r="L552" s="4">
        <v>1992</v>
      </c>
      <c r="M552" s="4" t="s">
        <v>27</v>
      </c>
      <c r="N552" s="4">
        <v>9.5</v>
      </c>
      <c r="O552" s="4">
        <v>9.5</v>
      </c>
      <c r="P552" s="4" t="s">
        <v>2234</v>
      </c>
      <c r="Q552" s="4">
        <v>9.5</v>
      </c>
      <c r="R552" s="4" t="s">
        <v>2235</v>
      </c>
    </row>
    <row r="553" spans="1:18" hidden="1" x14ac:dyDescent="0.35">
      <c r="A553" s="4" t="s">
        <v>1123</v>
      </c>
      <c r="B553" s="4" t="s">
        <v>4081</v>
      </c>
      <c r="C553" s="4" t="s">
        <v>1098</v>
      </c>
      <c r="D553" s="4" t="s">
        <v>1121</v>
      </c>
      <c r="E553" s="4" t="s">
        <v>525</v>
      </c>
      <c r="F553" s="4" t="s">
        <v>33</v>
      </c>
      <c r="G553" s="4" t="s">
        <v>46</v>
      </c>
      <c r="H553" s="4" t="s">
        <v>2231</v>
      </c>
      <c r="I553" s="5">
        <v>41539</v>
      </c>
      <c r="J553" s="4" t="s">
        <v>1121</v>
      </c>
      <c r="K553" s="4" t="s">
        <v>693</v>
      </c>
      <c r="L553" s="4">
        <v>2000</v>
      </c>
      <c r="M553" s="4" t="s">
        <v>27</v>
      </c>
      <c r="N553" s="4">
        <v>184</v>
      </c>
      <c r="O553" s="4">
        <v>184</v>
      </c>
      <c r="P553" s="4" t="s">
        <v>2234</v>
      </c>
      <c r="Q553" s="4">
        <v>184</v>
      </c>
      <c r="R553" s="4" t="s">
        <v>2235</v>
      </c>
    </row>
    <row r="554" spans="1:18" hidden="1" x14ac:dyDescent="0.35">
      <c r="A554" s="4" t="s">
        <v>1119</v>
      </c>
      <c r="B554" s="4" t="s">
        <v>4081</v>
      </c>
      <c r="C554" s="4" t="s">
        <v>1098</v>
      </c>
      <c r="D554" s="4" t="s">
        <v>1121</v>
      </c>
      <c r="E554" s="4" t="s">
        <v>527</v>
      </c>
      <c r="F554" s="4" t="s">
        <v>33</v>
      </c>
      <c r="G554" s="4" t="s">
        <v>46</v>
      </c>
      <c r="H554" s="4" t="s">
        <v>2231</v>
      </c>
      <c r="I554" s="5">
        <v>41539</v>
      </c>
      <c r="J554" s="4" t="s">
        <v>1121</v>
      </c>
      <c r="K554" s="4" t="s">
        <v>693</v>
      </c>
      <c r="L554" s="4">
        <v>2000</v>
      </c>
      <c r="M554" s="4" t="s">
        <v>27</v>
      </c>
      <c r="N554" s="4">
        <v>184</v>
      </c>
      <c r="O554" s="4">
        <v>184</v>
      </c>
      <c r="P554" s="4" t="s">
        <v>2234</v>
      </c>
      <c r="Q554" s="4">
        <v>184</v>
      </c>
      <c r="R554" s="4" t="s">
        <v>2235</v>
      </c>
    </row>
    <row r="555" spans="1:18" hidden="1" x14ac:dyDescent="0.35">
      <c r="A555" s="4" t="s">
        <v>1125</v>
      </c>
      <c r="B555" s="4" t="s">
        <v>4081</v>
      </c>
      <c r="C555" s="4" t="s">
        <v>1098</v>
      </c>
      <c r="D555" s="4" t="s">
        <v>1121</v>
      </c>
      <c r="E555" s="4" t="s">
        <v>159</v>
      </c>
      <c r="F555" s="4" t="s">
        <v>33</v>
      </c>
      <c r="G555" s="4" t="s">
        <v>46</v>
      </c>
      <c r="H555" s="4" t="s">
        <v>2231</v>
      </c>
      <c r="I555" s="5">
        <v>41539</v>
      </c>
      <c r="J555" s="4" t="s">
        <v>1121</v>
      </c>
      <c r="K555" s="4" t="s">
        <v>693</v>
      </c>
      <c r="L555" s="4">
        <v>2000</v>
      </c>
      <c r="M555" s="4" t="s">
        <v>27</v>
      </c>
      <c r="N555" s="4">
        <v>194</v>
      </c>
      <c r="O555" s="4">
        <v>194</v>
      </c>
      <c r="P555" s="4" t="s">
        <v>2234</v>
      </c>
      <c r="Q555" s="4">
        <v>194</v>
      </c>
      <c r="R555" s="4" t="s">
        <v>2235</v>
      </c>
    </row>
    <row r="556" spans="1:18" hidden="1" x14ac:dyDescent="0.35">
      <c r="A556" s="4" t="s">
        <v>1264</v>
      </c>
      <c r="B556" s="4" t="s">
        <v>4081</v>
      </c>
      <c r="C556" s="4" t="s">
        <v>1261</v>
      </c>
      <c r="D556" s="4" t="s">
        <v>3193</v>
      </c>
      <c r="E556" s="4" t="s">
        <v>1265</v>
      </c>
      <c r="F556" s="4" t="s">
        <v>33</v>
      </c>
      <c r="G556" s="4" t="s">
        <v>409</v>
      </c>
      <c r="H556" s="4" t="s">
        <v>2231</v>
      </c>
      <c r="I556" s="5">
        <v>42275</v>
      </c>
      <c r="J556" s="4" t="s">
        <v>827</v>
      </c>
      <c r="K556" s="4" t="s">
        <v>693</v>
      </c>
      <c r="L556" s="4">
        <v>2005</v>
      </c>
      <c r="M556" s="4" t="s">
        <v>27</v>
      </c>
      <c r="N556" s="4">
        <v>29.2</v>
      </c>
      <c r="O556" s="4">
        <v>29.2</v>
      </c>
      <c r="P556" s="4" t="s">
        <v>2234</v>
      </c>
      <c r="Q556" s="4">
        <v>29.2</v>
      </c>
      <c r="R556" s="4" t="s">
        <v>2235</v>
      </c>
    </row>
    <row r="557" spans="1:18" hidden="1" x14ac:dyDescent="0.35">
      <c r="A557" s="4" t="s">
        <v>1260</v>
      </c>
      <c r="B557" s="4" t="s">
        <v>4081</v>
      </c>
      <c r="C557" s="4" t="s">
        <v>1261</v>
      </c>
      <c r="D557" s="4" t="s">
        <v>3193</v>
      </c>
      <c r="E557" s="4" t="s">
        <v>872</v>
      </c>
      <c r="F557" s="4" t="s">
        <v>33</v>
      </c>
      <c r="G557" s="4" t="s">
        <v>36</v>
      </c>
      <c r="H557" s="4" t="s">
        <v>2231</v>
      </c>
      <c r="I557" s="5">
        <v>42275</v>
      </c>
      <c r="J557" s="4" t="s">
        <v>827</v>
      </c>
      <c r="K557" s="4" t="s">
        <v>693</v>
      </c>
      <c r="L557" s="4">
        <v>2005</v>
      </c>
      <c r="M557" s="4" t="s">
        <v>27</v>
      </c>
      <c r="N557" s="4">
        <v>27.6</v>
      </c>
      <c r="O557" s="4">
        <v>27.6</v>
      </c>
      <c r="P557" s="4" t="s">
        <v>2234</v>
      </c>
      <c r="Q557" s="4">
        <v>27.6</v>
      </c>
      <c r="R557" s="4" t="s">
        <v>2235</v>
      </c>
    </row>
    <row r="558" spans="1:18" hidden="1" x14ac:dyDescent="0.35">
      <c r="A558" s="4" t="s">
        <v>1263</v>
      </c>
      <c r="B558" s="4" t="s">
        <v>4081</v>
      </c>
      <c r="C558" s="4" t="s">
        <v>1261</v>
      </c>
      <c r="D558" s="4" t="s">
        <v>3193</v>
      </c>
      <c r="E558" s="4" t="s">
        <v>876</v>
      </c>
      <c r="F558" s="4" t="s">
        <v>33</v>
      </c>
      <c r="G558" s="4" t="s">
        <v>36</v>
      </c>
      <c r="H558" s="4" t="s">
        <v>2231</v>
      </c>
      <c r="I558" s="5">
        <v>42275</v>
      </c>
      <c r="J558" s="4" t="s">
        <v>827</v>
      </c>
      <c r="K558" s="4" t="s">
        <v>693</v>
      </c>
      <c r="L558" s="4">
        <v>2005</v>
      </c>
      <c r="M558" s="4" t="s">
        <v>27</v>
      </c>
      <c r="N558" s="4">
        <v>27.6</v>
      </c>
      <c r="O558" s="4">
        <v>27.6</v>
      </c>
      <c r="P558" s="4" t="s">
        <v>2234</v>
      </c>
      <c r="Q558" s="4">
        <v>27.6</v>
      </c>
      <c r="R558" s="4" t="s">
        <v>2235</v>
      </c>
    </row>
    <row r="559" spans="1:18" hidden="1" x14ac:dyDescent="0.35">
      <c r="A559" s="4" t="s">
        <v>3194</v>
      </c>
      <c r="B559" s="4" t="s">
        <v>4081</v>
      </c>
      <c r="C559" s="4" t="s">
        <v>3195</v>
      </c>
      <c r="D559" s="4" t="s">
        <v>3196</v>
      </c>
      <c r="E559" s="4" t="s">
        <v>1841</v>
      </c>
      <c r="F559" s="4" t="s">
        <v>33</v>
      </c>
      <c r="G559" s="4" t="s">
        <v>409</v>
      </c>
      <c r="H559" s="4" t="s">
        <v>2231</v>
      </c>
      <c r="I559" s="5">
        <v>42289</v>
      </c>
      <c r="J559" s="4" t="s">
        <v>827</v>
      </c>
      <c r="K559" s="4" t="s">
        <v>693</v>
      </c>
      <c r="L559" s="4">
        <v>1957</v>
      </c>
      <c r="M559" s="4" t="s">
        <v>27</v>
      </c>
      <c r="N559" s="4">
        <v>5.5</v>
      </c>
      <c r="O559" s="4">
        <v>5.5</v>
      </c>
      <c r="P559" s="4" t="s">
        <v>2234</v>
      </c>
      <c r="Q559" s="4">
        <v>5.5</v>
      </c>
      <c r="R559" s="4" t="s">
        <v>2235</v>
      </c>
    </row>
    <row r="560" spans="1:18" hidden="1" x14ac:dyDescent="0.35">
      <c r="A560" s="4" t="s">
        <v>3197</v>
      </c>
      <c r="B560" s="4" t="s">
        <v>4081</v>
      </c>
      <c r="C560" s="4" t="s">
        <v>3195</v>
      </c>
      <c r="D560" s="4" t="s">
        <v>3198</v>
      </c>
      <c r="E560" s="4" t="s">
        <v>3199</v>
      </c>
      <c r="F560" s="4" t="s">
        <v>33</v>
      </c>
      <c r="G560" s="4" t="s">
        <v>409</v>
      </c>
      <c r="H560" s="4" t="s">
        <v>2231</v>
      </c>
      <c r="I560" s="5">
        <v>42289</v>
      </c>
      <c r="J560" s="4" t="s">
        <v>827</v>
      </c>
      <c r="K560" s="4" t="s">
        <v>693</v>
      </c>
      <c r="L560" s="4">
        <v>1963</v>
      </c>
      <c r="M560" s="4" t="s">
        <v>27</v>
      </c>
      <c r="N560" s="4">
        <v>5.5</v>
      </c>
      <c r="O560" s="4">
        <v>5.5</v>
      </c>
      <c r="P560" s="4" t="s">
        <v>2234</v>
      </c>
      <c r="Q560" s="4">
        <v>5.5</v>
      </c>
      <c r="R560" s="4" t="s">
        <v>2235</v>
      </c>
    </row>
    <row r="561" spans="1:18" hidden="1" x14ac:dyDescent="0.35">
      <c r="A561" s="4" t="s">
        <v>824</v>
      </c>
      <c r="B561" s="4" t="s">
        <v>4081</v>
      </c>
      <c r="C561" s="4" t="s">
        <v>825</v>
      </c>
      <c r="D561" s="4" t="s">
        <v>3200</v>
      </c>
      <c r="E561" s="4" t="s">
        <v>826</v>
      </c>
      <c r="F561" s="4" t="s">
        <v>173</v>
      </c>
      <c r="G561" s="4" t="s">
        <v>409</v>
      </c>
      <c r="H561" s="4" t="s">
        <v>2231</v>
      </c>
      <c r="I561" s="5">
        <v>42349</v>
      </c>
      <c r="J561" s="4" t="s">
        <v>827</v>
      </c>
      <c r="K561" s="4" t="s">
        <v>693</v>
      </c>
      <c r="L561" s="4">
        <v>1976</v>
      </c>
      <c r="M561" s="4" t="s">
        <v>27</v>
      </c>
      <c r="N561" s="4">
        <v>20</v>
      </c>
      <c r="O561" s="4">
        <v>20</v>
      </c>
      <c r="P561" s="4" t="s">
        <v>173</v>
      </c>
      <c r="Q561" s="4">
        <v>20</v>
      </c>
      <c r="R561" s="4" t="s">
        <v>173</v>
      </c>
    </row>
    <row r="562" spans="1:18" hidden="1" x14ac:dyDescent="0.35">
      <c r="A562" s="4" t="s">
        <v>829</v>
      </c>
      <c r="B562" s="4" t="s">
        <v>4081</v>
      </c>
      <c r="C562" s="4" t="s">
        <v>825</v>
      </c>
      <c r="D562" s="4" t="s">
        <v>3200</v>
      </c>
      <c r="E562" s="4" t="s">
        <v>830</v>
      </c>
      <c r="F562" s="4" t="s">
        <v>173</v>
      </c>
      <c r="G562" s="4" t="s">
        <v>409</v>
      </c>
      <c r="H562" s="4" t="s">
        <v>2231</v>
      </c>
      <c r="I562" s="5">
        <v>42349</v>
      </c>
      <c r="J562" s="4" t="s">
        <v>827</v>
      </c>
      <c r="K562" s="4" t="s">
        <v>693</v>
      </c>
      <c r="L562" s="4">
        <v>1976</v>
      </c>
      <c r="M562" s="4" t="s">
        <v>27</v>
      </c>
      <c r="N562" s="4">
        <v>20</v>
      </c>
      <c r="O562" s="4">
        <v>20</v>
      </c>
      <c r="P562" s="4" t="s">
        <v>173</v>
      </c>
      <c r="Q562" s="4">
        <v>20</v>
      </c>
      <c r="R562" s="4" t="s">
        <v>173</v>
      </c>
    </row>
    <row r="563" spans="1:18" hidden="1" x14ac:dyDescent="0.35">
      <c r="A563" s="4" t="s">
        <v>3201</v>
      </c>
      <c r="B563" s="4" t="s">
        <v>4081</v>
      </c>
      <c r="C563" s="4" t="s">
        <v>825</v>
      </c>
      <c r="D563" s="4" t="s">
        <v>3200</v>
      </c>
      <c r="E563" s="4" t="s">
        <v>3202</v>
      </c>
      <c r="F563" s="4" t="s">
        <v>173</v>
      </c>
      <c r="G563" s="4" t="s">
        <v>409</v>
      </c>
      <c r="H563" s="4" t="s">
        <v>2231</v>
      </c>
      <c r="I563" s="5">
        <v>42349</v>
      </c>
      <c r="J563" s="4" t="s">
        <v>827</v>
      </c>
      <c r="K563" s="4" t="s">
        <v>693</v>
      </c>
      <c r="L563" s="4">
        <v>1976</v>
      </c>
      <c r="M563" s="4" t="s">
        <v>27</v>
      </c>
      <c r="N563" s="4">
        <v>9.3800000000000008</v>
      </c>
      <c r="O563" s="4">
        <v>9.3800000000000008</v>
      </c>
      <c r="P563" s="4" t="s">
        <v>173</v>
      </c>
      <c r="Q563" s="4">
        <v>9.3800000000000008</v>
      </c>
      <c r="R563" s="4" t="s">
        <v>173</v>
      </c>
    </row>
    <row r="564" spans="1:18" hidden="1" x14ac:dyDescent="0.35">
      <c r="A564" s="4" t="s">
        <v>3203</v>
      </c>
      <c r="B564" s="4" t="s">
        <v>4081</v>
      </c>
      <c r="C564" s="4" t="s">
        <v>3204</v>
      </c>
      <c r="D564" s="4" t="s">
        <v>3205</v>
      </c>
      <c r="E564" s="4">
        <v>1</v>
      </c>
      <c r="F564" s="4" t="s">
        <v>173</v>
      </c>
      <c r="G564" s="4" t="s">
        <v>409</v>
      </c>
      <c r="H564" s="4" t="s">
        <v>2231</v>
      </c>
      <c r="I564" s="5">
        <v>42655</v>
      </c>
      <c r="J564" s="4" t="s">
        <v>3206</v>
      </c>
      <c r="K564" s="4" t="s">
        <v>693</v>
      </c>
      <c r="L564" s="4">
        <v>2021</v>
      </c>
      <c r="M564" s="4" t="s">
        <v>27</v>
      </c>
      <c r="N564" s="4">
        <v>11.85</v>
      </c>
      <c r="O564" s="4">
        <v>11.85</v>
      </c>
      <c r="P564" s="4" t="s">
        <v>173</v>
      </c>
      <c r="Q564" s="4">
        <v>11.85</v>
      </c>
      <c r="R564" s="4" t="s">
        <v>173</v>
      </c>
    </row>
    <row r="565" spans="1:18" hidden="1" x14ac:dyDescent="0.35">
      <c r="A565" s="4" t="s">
        <v>921</v>
      </c>
      <c r="B565" s="4" t="s">
        <v>4081</v>
      </c>
      <c r="C565" s="4" t="s">
        <v>3207</v>
      </c>
      <c r="D565" s="4" t="s">
        <v>3208</v>
      </c>
      <c r="E565" s="4" t="s">
        <v>3209</v>
      </c>
      <c r="F565" s="4" t="s">
        <v>33</v>
      </c>
      <c r="G565" s="4" t="s">
        <v>46</v>
      </c>
      <c r="H565" s="4" t="s">
        <v>2231</v>
      </c>
      <c r="I565" s="5">
        <v>44653</v>
      </c>
      <c r="J565" s="4" t="s">
        <v>923</v>
      </c>
      <c r="K565" s="4" t="s">
        <v>693</v>
      </c>
      <c r="L565" s="4">
        <v>2022</v>
      </c>
      <c r="M565" s="4" t="s">
        <v>27</v>
      </c>
      <c r="N565" s="4">
        <v>657</v>
      </c>
      <c r="O565" s="4">
        <v>657</v>
      </c>
      <c r="P565" s="4" t="s">
        <v>2234</v>
      </c>
      <c r="Q565" s="4">
        <v>657</v>
      </c>
      <c r="R565" s="4" t="s">
        <v>2235</v>
      </c>
    </row>
    <row r="566" spans="1:18" hidden="1" x14ac:dyDescent="0.35">
      <c r="A566" s="4" t="s">
        <v>1177</v>
      </c>
      <c r="B566" s="4" t="s">
        <v>4081</v>
      </c>
      <c r="C566" s="4" t="s">
        <v>1178</v>
      </c>
      <c r="D566" s="4" t="s">
        <v>3210</v>
      </c>
      <c r="E566" s="4" t="s">
        <v>2227</v>
      </c>
      <c r="F566" s="4" t="s">
        <v>33</v>
      </c>
      <c r="G566" s="4" t="s">
        <v>36</v>
      </c>
      <c r="H566" s="4" t="s">
        <v>2231</v>
      </c>
      <c r="I566" s="5">
        <v>44805</v>
      </c>
      <c r="J566" s="4" t="s">
        <v>1180</v>
      </c>
      <c r="K566" s="4" t="s">
        <v>693</v>
      </c>
      <c r="L566" s="4">
        <v>2014</v>
      </c>
      <c r="M566" s="4" t="s">
        <v>27</v>
      </c>
      <c r="N566" s="4">
        <v>43.4</v>
      </c>
      <c r="O566" s="4">
        <v>43.4</v>
      </c>
      <c r="P566" s="4" t="s">
        <v>2234</v>
      </c>
      <c r="Q566" s="4">
        <v>43.4</v>
      </c>
      <c r="R566" s="4" t="s">
        <v>2235</v>
      </c>
    </row>
    <row r="567" spans="1:18" hidden="1" x14ac:dyDescent="0.35">
      <c r="A567" s="4" t="s">
        <v>1097</v>
      </c>
      <c r="B567" s="4" t="s">
        <v>4081</v>
      </c>
      <c r="C567" s="4" t="s">
        <v>1098</v>
      </c>
      <c r="D567" s="4" t="s">
        <v>3211</v>
      </c>
      <c r="E567" s="4" t="s">
        <v>3212</v>
      </c>
      <c r="F567" s="4" t="s">
        <v>173</v>
      </c>
      <c r="G567" s="4" t="s">
        <v>409</v>
      </c>
      <c r="H567" s="4" t="s">
        <v>2231</v>
      </c>
      <c r="I567" s="5">
        <v>45329</v>
      </c>
      <c r="J567" s="4" t="s">
        <v>1100</v>
      </c>
      <c r="K567" s="4" t="s">
        <v>693</v>
      </c>
      <c r="L567" s="4">
        <v>1987</v>
      </c>
      <c r="M567" s="4" t="s">
        <v>27</v>
      </c>
      <c r="N567" s="4">
        <v>38</v>
      </c>
      <c r="O567" s="4">
        <v>38</v>
      </c>
      <c r="P567" s="4" t="s">
        <v>173</v>
      </c>
      <c r="Q567" s="4">
        <v>38</v>
      </c>
      <c r="R567" s="4" t="s">
        <v>173</v>
      </c>
    </row>
    <row r="568" spans="1:18" hidden="1" x14ac:dyDescent="0.35">
      <c r="A568" s="4" t="s">
        <v>3213</v>
      </c>
      <c r="B568" s="4" t="s">
        <v>4081</v>
      </c>
      <c r="C568" s="4" t="s">
        <v>3214</v>
      </c>
      <c r="D568" s="4" t="s">
        <v>3215</v>
      </c>
      <c r="E568" s="4" t="s">
        <v>3216</v>
      </c>
      <c r="F568" s="4" t="s">
        <v>33</v>
      </c>
      <c r="G568" s="4" t="s">
        <v>137</v>
      </c>
      <c r="H568" s="4" t="s">
        <v>2231</v>
      </c>
      <c r="I568" s="5">
        <v>45479</v>
      </c>
      <c r="J568" s="4" t="s">
        <v>3217</v>
      </c>
      <c r="K568" s="4" t="s">
        <v>693</v>
      </c>
      <c r="L568" s="4">
        <v>2020</v>
      </c>
      <c r="M568" s="4" t="s">
        <v>27</v>
      </c>
      <c r="N568" s="4">
        <v>2.67</v>
      </c>
      <c r="O568" s="4">
        <v>2.67</v>
      </c>
      <c r="P568" s="4" t="s">
        <v>2234</v>
      </c>
      <c r="Q568" s="4">
        <v>2.67</v>
      </c>
      <c r="R568" s="4" t="s">
        <v>2235</v>
      </c>
    </row>
    <row r="569" spans="1:18" hidden="1" x14ac:dyDescent="0.35">
      <c r="A569" s="4" t="s">
        <v>3218</v>
      </c>
      <c r="B569" s="4" t="s">
        <v>4081</v>
      </c>
      <c r="C569" s="4" t="s">
        <v>3214</v>
      </c>
      <c r="D569" s="4" t="s">
        <v>3215</v>
      </c>
      <c r="E569" s="4" t="s">
        <v>3219</v>
      </c>
      <c r="F569" s="4" t="s">
        <v>33</v>
      </c>
      <c r="G569" s="4" t="s">
        <v>137</v>
      </c>
      <c r="H569" s="4" t="s">
        <v>2231</v>
      </c>
      <c r="I569" s="5">
        <v>45479</v>
      </c>
      <c r="J569" s="4" t="s">
        <v>3217</v>
      </c>
      <c r="K569" s="4" t="s">
        <v>693</v>
      </c>
      <c r="L569" s="4">
        <v>2020</v>
      </c>
      <c r="M569" s="4" t="s">
        <v>27</v>
      </c>
      <c r="N569" s="4">
        <v>2.67</v>
      </c>
      <c r="O569" s="4">
        <v>2.67</v>
      </c>
      <c r="P569" s="4" t="s">
        <v>2234</v>
      </c>
      <c r="Q569" s="4">
        <v>2.67</v>
      </c>
      <c r="R569" s="4" t="s">
        <v>2235</v>
      </c>
    </row>
    <row r="570" spans="1:18" hidden="1" x14ac:dyDescent="0.35">
      <c r="A570" s="4" t="s">
        <v>694</v>
      </c>
      <c r="B570" s="4" t="s">
        <v>4081</v>
      </c>
      <c r="C570" s="4" t="s">
        <v>689</v>
      </c>
      <c r="D570" s="4" t="s">
        <v>3220</v>
      </c>
      <c r="E570" s="4" t="s">
        <v>695</v>
      </c>
      <c r="F570" s="4" t="s">
        <v>173</v>
      </c>
      <c r="G570" s="4" t="s">
        <v>409</v>
      </c>
      <c r="H570" s="4" t="s">
        <v>2231</v>
      </c>
      <c r="I570" s="5">
        <v>45699</v>
      </c>
      <c r="J570" s="4" t="s">
        <v>691</v>
      </c>
      <c r="K570" s="4" t="s">
        <v>693</v>
      </c>
      <c r="L570" s="4">
        <v>1981</v>
      </c>
      <c r="M570" s="4" t="s">
        <v>27</v>
      </c>
      <c r="N570" s="4">
        <v>14.88</v>
      </c>
      <c r="O570" s="4">
        <v>14.88</v>
      </c>
      <c r="P570" s="4" t="s">
        <v>173</v>
      </c>
      <c r="Q570" s="4">
        <v>14.88</v>
      </c>
      <c r="R570" s="4" t="s">
        <v>173</v>
      </c>
    </row>
    <row r="571" spans="1:18" hidden="1" x14ac:dyDescent="0.35">
      <c r="A571" s="4" t="s">
        <v>1143</v>
      </c>
      <c r="B571" s="4" t="s">
        <v>4081</v>
      </c>
      <c r="C571" s="4" t="s">
        <v>689</v>
      </c>
      <c r="D571" s="4" t="s">
        <v>3221</v>
      </c>
      <c r="E571" s="4" t="s">
        <v>1145</v>
      </c>
      <c r="F571" s="4" t="s">
        <v>173</v>
      </c>
      <c r="G571" s="4" t="s">
        <v>409</v>
      </c>
      <c r="H571" s="4" t="s">
        <v>2231</v>
      </c>
      <c r="I571" s="5">
        <v>45699</v>
      </c>
      <c r="J571" s="4" t="s">
        <v>691</v>
      </c>
      <c r="K571" s="4" t="s">
        <v>693</v>
      </c>
      <c r="L571" s="4">
        <v>2019</v>
      </c>
      <c r="M571" s="4" t="s">
        <v>27</v>
      </c>
      <c r="N571" s="4">
        <v>12.26</v>
      </c>
      <c r="O571" s="4">
        <v>12.26</v>
      </c>
      <c r="P571" s="4" t="s">
        <v>173</v>
      </c>
      <c r="Q571" s="4">
        <v>12.26</v>
      </c>
      <c r="R571" s="4" t="s">
        <v>173</v>
      </c>
    </row>
    <row r="572" spans="1:18" hidden="1" x14ac:dyDescent="0.35">
      <c r="A572" s="4" t="s">
        <v>688</v>
      </c>
      <c r="B572" s="4" t="s">
        <v>4081</v>
      </c>
      <c r="C572" s="4" t="s">
        <v>3222</v>
      </c>
      <c r="D572" s="4" t="s">
        <v>3220</v>
      </c>
      <c r="E572" s="4" t="s">
        <v>690</v>
      </c>
      <c r="F572" s="4" t="s">
        <v>173</v>
      </c>
      <c r="G572" s="4" t="s">
        <v>409</v>
      </c>
      <c r="H572" s="4" t="s">
        <v>2231</v>
      </c>
      <c r="I572" s="5">
        <v>45699</v>
      </c>
      <c r="J572" s="4" t="s">
        <v>691</v>
      </c>
      <c r="K572" s="4" t="s">
        <v>693</v>
      </c>
      <c r="L572" s="4">
        <v>1982</v>
      </c>
      <c r="M572" s="4" t="s">
        <v>27</v>
      </c>
      <c r="N572" s="4">
        <v>14.88</v>
      </c>
      <c r="O572" s="4">
        <v>14.88</v>
      </c>
      <c r="P572" s="4" t="s">
        <v>173</v>
      </c>
      <c r="Q572" s="4">
        <v>14.88</v>
      </c>
      <c r="R572" s="4" t="s">
        <v>173</v>
      </c>
    </row>
    <row r="573" spans="1:18" hidden="1" x14ac:dyDescent="0.35">
      <c r="A573" s="4" t="s">
        <v>1146</v>
      </c>
      <c r="B573" s="4" t="s">
        <v>4081</v>
      </c>
      <c r="C573" s="4" t="s">
        <v>3222</v>
      </c>
      <c r="D573" s="4" t="s">
        <v>3221</v>
      </c>
      <c r="E573" s="4" t="s">
        <v>1147</v>
      </c>
      <c r="F573" s="4" t="s">
        <v>173</v>
      </c>
      <c r="G573" s="4" t="s">
        <v>409</v>
      </c>
      <c r="H573" s="4" t="s">
        <v>2231</v>
      </c>
      <c r="I573" s="5">
        <v>45699</v>
      </c>
      <c r="J573" s="4" t="s">
        <v>691</v>
      </c>
      <c r="K573" s="4" t="s">
        <v>693</v>
      </c>
      <c r="L573" s="4">
        <v>2009</v>
      </c>
      <c r="M573" s="4" t="s">
        <v>27</v>
      </c>
      <c r="N573" s="4">
        <v>23.5</v>
      </c>
      <c r="O573" s="4">
        <v>23.5</v>
      </c>
      <c r="P573" s="4" t="s">
        <v>173</v>
      </c>
      <c r="Q573" s="4">
        <v>23.5</v>
      </c>
      <c r="R573" s="4" t="s">
        <v>173</v>
      </c>
    </row>
    <row r="574" spans="1:18" hidden="1" x14ac:dyDescent="0.35">
      <c r="A574" s="4" t="s">
        <v>899</v>
      </c>
      <c r="B574" s="4" t="s">
        <v>4081</v>
      </c>
      <c r="C574" s="4" t="s">
        <v>883</v>
      </c>
      <c r="D574" s="4" t="s">
        <v>3223</v>
      </c>
      <c r="E574" s="4" t="s">
        <v>3224</v>
      </c>
      <c r="F574" s="4" t="s">
        <v>33</v>
      </c>
      <c r="G574" s="4" t="s">
        <v>46</v>
      </c>
      <c r="H574" s="4" t="s">
        <v>2231</v>
      </c>
      <c r="I574" s="5">
        <v>45772</v>
      </c>
      <c r="J574" s="4" t="s">
        <v>885</v>
      </c>
      <c r="K574" s="4" t="s">
        <v>693</v>
      </c>
      <c r="L574" s="4">
        <v>2023</v>
      </c>
      <c r="M574" s="4" t="s">
        <v>27</v>
      </c>
      <c r="N574" s="4">
        <v>53.5</v>
      </c>
      <c r="O574" s="4">
        <v>53.5</v>
      </c>
      <c r="P574" s="4" t="s">
        <v>2234</v>
      </c>
      <c r="Q574" s="4">
        <v>53.5</v>
      </c>
      <c r="R574" s="4" t="s">
        <v>2235</v>
      </c>
    </row>
    <row r="575" spans="1:18" hidden="1" x14ac:dyDescent="0.35">
      <c r="A575" s="4" t="s">
        <v>891</v>
      </c>
      <c r="B575" s="4" t="s">
        <v>4081</v>
      </c>
      <c r="C575" s="4" t="s">
        <v>883</v>
      </c>
      <c r="D575" s="4" t="s">
        <v>3223</v>
      </c>
      <c r="E575" s="4" t="s">
        <v>3225</v>
      </c>
      <c r="F575" s="4" t="s">
        <v>33</v>
      </c>
      <c r="G575" s="4" t="s">
        <v>46</v>
      </c>
      <c r="H575" s="4" t="s">
        <v>2231</v>
      </c>
      <c r="I575" s="5">
        <v>45772</v>
      </c>
      <c r="J575" s="4" t="s">
        <v>885</v>
      </c>
      <c r="K575" s="4" t="s">
        <v>693</v>
      </c>
      <c r="L575" s="4">
        <v>2023</v>
      </c>
      <c r="M575" s="4" t="s">
        <v>27</v>
      </c>
      <c r="N575" s="4">
        <v>36.9</v>
      </c>
      <c r="O575" s="4">
        <v>36.9</v>
      </c>
      <c r="P575" s="4" t="s">
        <v>2234</v>
      </c>
      <c r="Q575" s="4">
        <v>36.9</v>
      </c>
      <c r="R575" s="4" t="s">
        <v>2235</v>
      </c>
    </row>
    <row r="576" spans="1:18" hidden="1" x14ac:dyDescent="0.35">
      <c r="A576" s="4" t="s">
        <v>897</v>
      </c>
      <c r="B576" s="4" t="s">
        <v>4081</v>
      </c>
      <c r="C576" s="4" t="s">
        <v>883</v>
      </c>
      <c r="D576" s="4" t="s">
        <v>3226</v>
      </c>
      <c r="E576" s="4" t="s">
        <v>3227</v>
      </c>
      <c r="F576" s="4" t="s">
        <v>33</v>
      </c>
      <c r="G576" s="4" t="s">
        <v>46</v>
      </c>
      <c r="H576" s="4" t="s">
        <v>2231</v>
      </c>
      <c r="I576" s="5">
        <v>45772</v>
      </c>
      <c r="J576" s="4" t="s">
        <v>885</v>
      </c>
      <c r="K576" s="4" t="s">
        <v>693</v>
      </c>
      <c r="L576" s="4">
        <v>2022</v>
      </c>
      <c r="M576" s="4" t="s">
        <v>27</v>
      </c>
      <c r="N576" s="4">
        <v>53.5</v>
      </c>
      <c r="O576" s="4">
        <v>53.5</v>
      </c>
      <c r="P576" s="4" t="s">
        <v>2234</v>
      </c>
      <c r="Q576" s="4">
        <v>53.5</v>
      </c>
      <c r="R576" s="4" t="s">
        <v>2235</v>
      </c>
    </row>
    <row r="577" spans="1:18" hidden="1" x14ac:dyDescent="0.35">
      <c r="A577" s="4" t="s">
        <v>889</v>
      </c>
      <c r="B577" s="4" t="s">
        <v>4081</v>
      </c>
      <c r="C577" s="4" t="s">
        <v>883</v>
      </c>
      <c r="D577" s="4" t="s">
        <v>3226</v>
      </c>
      <c r="E577" s="4" t="s">
        <v>3228</v>
      </c>
      <c r="F577" s="4" t="s">
        <v>33</v>
      </c>
      <c r="G577" s="4" t="s">
        <v>46</v>
      </c>
      <c r="H577" s="4" t="s">
        <v>2231</v>
      </c>
      <c r="I577" s="5">
        <v>45772</v>
      </c>
      <c r="J577" s="4" t="s">
        <v>885</v>
      </c>
      <c r="K577" s="4" t="s">
        <v>693</v>
      </c>
      <c r="L577" s="4">
        <v>2022</v>
      </c>
      <c r="M577" s="4" t="s">
        <v>27</v>
      </c>
      <c r="N577" s="4">
        <v>36.9</v>
      </c>
      <c r="O577" s="4">
        <v>36.9</v>
      </c>
      <c r="P577" s="4" t="s">
        <v>2234</v>
      </c>
      <c r="Q577" s="4">
        <v>36.9</v>
      </c>
      <c r="R577" s="4" t="s">
        <v>2235</v>
      </c>
    </row>
    <row r="578" spans="1:18" hidden="1" x14ac:dyDescent="0.35">
      <c r="A578" s="4" t="s">
        <v>3229</v>
      </c>
      <c r="B578" s="4" t="s">
        <v>4081</v>
      </c>
      <c r="C578" s="4" t="s">
        <v>3230</v>
      </c>
      <c r="D578" s="4" t="s">
        <v>3231</v>
      </c>
      <c r="E578" s="4" t="s">
        <v>3232</v>
      </c>
      <c r="F578" s="4" t="s">
        <v>33</v>
      </c>
      <c r="G578" s="4" t="s">
        <v>46</v>
      </c>
      <c r="H578" s="4" t="s">
        <v>2231</v>
      </c>
      <c r="I578" s="5">
        <v>45772</v>
      </c>
      <c r="J578" s="4" t="s">
        <v>885</v>
      </c>
      <c r="K578" s="4" t="s">
        <v>693</v>
      </c>
      <c r="L578" s="4">
        <v>1973</v>
      </c>
      <c r="M578" s="4" t="s">
        <v>27</v>
      </c>
      <c r="N578" s="4">
        <v>61.13</v>
      </c>
      <c r="O578" s="4">
        <v>61.13</v>
      </c>
      <c r="P578" s="4" t="s">
        <v>2234</v>
      </c>
      <c r="Q578" s="4">
        <v>61.13</v>
      </c>
      <c r="R578" s="4" t="s">
        <v>2235</v>
      </c>
    </row>
    <row r="579" spans="1:18" hidden="1" x14ac:dyDescent="0.35">
      <c r="A579" s="4" t="s">
        <v>3233</v>
      </c>
      <c r="B579" s="4" t="s">
        <v>4081</v>
      </c>
      <c r="C579" s="4" t="s">
        <v>3230</v>
      </c>
      <c r="D579" s="4" t="s">
        <v>3231</v>
      </c>
      <c r="E579" s="4" t="s">
        <v>3234</v>
      </c>
      <c r="F579" s="4" t="s">
        <v>33</v>
      </c>
      <c r="G579" s="4" t="s">
        <v>46</v>
      </c>
      <c r="H579" s="4" t="s">
        <v>2231</v>
      </c>
      <c r="I579" s="5">
        <v>45772</v>
      </c>
      <c r="J579" s="4" t="s">
        <v>885</v>
      </c>
      <c r="K579" s="4" t="s">
        <v>693</v>
      </c>
      <c r="L579" s="4">
        <v>1974</v>
      </c>
      <c r="M579" s="4" t="s">
        <v>27</v>
      </c>
      <c r="N579" s="4">
        <v>77.569999999999993</v>
      </c>
      <c r="O579" s="4">
        <v>77.569999999999993</v>
      </c>
      <c r="P579" s="4" t="s">
        <v>2234</v>
      </c>
      <c r="Q579" s="4">
        <v>77.569999999999993</v>
      </c>
      <c r="R579" s="4" t="s">
        <v>2235</v>
      </c>
    </row>
    <row r="580" spans="1:18" hidden="1" x14ac:dyDescent="0.35">
      <c r="A580" s="4" t="s">
        <v>893</v>
      </c>
      <c r="B580" s="4" t="s">
        <v>4081</v>
      </c>
      <c r="C580" s="4" t="s">
        <v>3230</v>
      </c>
      <c r="D580" s="4" t="s">
        <v>3235</v>
      </c>
      <c r="E580" s="4" t="s">
        <v>3236</v>
      </c>
      <c r="F580" s="4" t="s">
        <v>33</v>
      </c>
      <c r="G580" s="4" t="s">
        <v>36</v>
      </c>
      <c r="H580" s="4" t="s">
        <v>2231</v>
      </c>
      <c r="I580" s="5">
        <v>45772</v>
      </c>
      <c r="J580" s="4" t="s">
        <v>885</v>
      </c>
      <c r="K580" s="4" t="s">
        <v>693</v>
      </c>
      <c r="L580" s="4">
        <v>2016</v>
      </c>
      <c r="M580" s="4" t="s">
        <v>27</v>
      </c>
      <c r="N580" s="4">
        <v>47</v>
      </c>
      <c r="O580" s="4">
        <v>47</v>
      </c>
      <c r="P580" s="4" t="s">
        <v>2234</v>
      </c>
      <c r="Q580" s="4">
        <v>47</v>
      </c>
      <c r="R580" s="4" t="s">
        <v>2235</v>
      </c>
    </row>
    <row r="581" spans="1:18" hidden="1" x14ac:dyDescent="0.35">
      <c r="A581" s="4" t="s">
        <v>882</v>
      </c>
      <c r="B581" s="4" t="s">
        <v>4081</v>
      </c>
      <c r="C581" s="4" t="s">
        <v>3230</v>
      </c>
      <c r="D581" s="4" t="s">
        <v>3235</v>
      </c>
      <c r="E581" s="4" t="s">
        <v>3237</v>
      </c>
      <c r="F581" s="4" t="s">
        <v>33</v>
      </c>
      <c r="G581" s="4" t="s">
        <v>36</v>
      </c>
      <c r="H581" s="4" t="s">
        <v>2231</v>
      </c>
      <c r="I581" s="5">
        <v>45772</v>
      </c>
      <c r="J581" s="4" t="s">
        <v>885</v>
      </c>
      <c r="K581" s="4" t="s">
        <v>693</v>
      </c>
      <c r="L581" s="4">
        <v>2016</v>
      </c>
      <c r="M581" s="4" t="s">
        <v>27</v>
      </c>
      <c r="N581" s="4">
        <v>11</v>
      </c>
      <c r="O581" s="4">
        <v>11</v>
      </c>
      <c r="P581" s="4" t="s">
        <v>2234</v>
      </c>
      <c r="Q581" s="4">
        <v>11</v>
      </c>
      <c r="R581" s="4" t="s">
        <v>2235</v>
      </c>
    </row>
    <row r="582" spans="1:18" hidden="1" x14ac:dyDescent="0.35">
      <c r="A582" s="4" t="s">
        <v>3238</v>
      </c>
      <c r="B582" s="4" t="s">
        <v>4081</v>
      </c>
      <c r="C582" s="4" t="s">
        <v>883</v>
      </c>
      <c r="D582" s="4" t="s">
        <v>3231</v>
      </c>
      <c r="E582" s="4" t="s">
        <v>3239</v>
      </c>
      <c r="F582" s="4" t="s">
        <v>33</v>
      </c>
      <c r="G582" s="4" t="s">
        <v>46</v>
      </c>
      <c r="H582" s="4" t="s">
        <v>2231</v>
      </c>
      <c r="I582" s="5">
        <v>45772</v>
      </c>
      <c r="J582" s="4" t="s">
        <v>885</v>
      </c>
      <c r="K582" s="4" t="s">
        <v>693</v>
      </c>
      <c r="L582" s="4">
        <v>1973</v>
      </c>
      <c r="M582" s="4" t="s">
        <v>27</v>
      </c>
      <c r="N582" s="4">
        <v>35.5</v>
      </c>
      <c r="O582" s="4">
        <v>35.5</v>
      </c>
      <c r="P582" s="4" t="s">
        <v>2234</v>
      </c>
      <c r="Q582" s="4">
        <v>35.5</v>
      </c>
      <c r="R582" s="4" t="s">
        <v>2235</v>
      </c>
    </row>
    <row r="583" spans="1:18" hidden="1" x14ac:dyDescent="0.35">
      <c r="A583" s="4" t="s">
        <v>887</v>
      </c>
      <c r="B583" s="4" t="s">
        <v>4081</v>
      </c>
      <c r="C583" s="4" t="s">
        <v>883</v>
      </c>
      <c r="D583" s="4" t="s">
        <v>3226</v>
      </c>
      <c r="E583" s="4" t="s">
        <v>3240</v>
      </c>
      <c r="F583" s="4" t="s">
        <v>33</v>
      </c>
      <c r="G583" s="4" t="s">
        <v>46</v>
      </c>
      <c r="H583" s="4" t="s">
        <v>2231</v>
      </c>
      <c r="I583" s="5">
        <v>45772</v>
      </c>
      <c r="J583" s="4" t="s">
        <v>885</v>
      </c>
      <c r="K583" s="4" t="s">
        <v>693</v>
      </c>
      <c r="L583" s="4">
        <v>2022</v>
      </c>
      <c r="M583" s="4" t="s">
        <v>27</v>
      </c>
      <c r="N583" s="4">
        <v>36.9</v>
      </c>
      <c r="O583" s="4">
        <v>36.9</v>
      </c>
      <c r="P583" s="4" t="s">
        <v>2234</v>
      </c>
      <c r="Q583" s="4">
        <v>36.9</v>
      </c>
      <c r="R583" s="4" t="s">
        <v>2235</v>
      </c>
    </row>
    <row r="584" spans="1:18" hidden="1" x14ac:dyDescent="0.35">
      <c r="A584" s="4" t="s">
        <v>895</v>
      </c>
      <c r="B584" s="4" t="s">
        <v>4081</v>
      </c>
      <c r="C584" s="4" t="s">
        <v>883</v>
      </c>
      <c r="D584" s="4" t="s">
        <v>3226</v>
      </c>
      <c r="E584" s="4" t="s">
        <v>3241</v>
      </c>
      <c r="F584" s="4" t="s">
        <v>33</v>
      </c>
      <c r="G584" s="4" t="s">
        <v>46</v>
      </c>
      <c r="H584" s="4" t="s">
        <v>2231</v>
      </c>
      <c r="I584" s="5">
        <v>45772</v>
      </c>
      <c r="J584" s="4" t="s">
        <v>885</v>
      </c>
      <c r="K584" s="4" t="s">
        <v>693</v>
      </c>
      <c r="L584" s="4">
        <v>2022</v>
      </c>
      <c r="M584" s="4" t="s">
        <v>27</v>
      </c>
      <c r="N584" s="4">
        <v>53.5</v>
      </c>
      <c r="O584" s="4">
        <v>53.5</v>
      </c>
      <c r="P584" s="4" t="s">
        <v>2234</v>
      </c>
      <c r="Q584" s="4">
        <v>53.5</v>
      </c>
      <c r="R584" s="4" t="s">
        <v>2235</v>
      </c>
    </row>
    <row r="585" spans="1:18" hidden="1" x14ac:dyDescent="0.35">
      <c r="A585" s="4" t="s">
        <v>1249</v>
      </c>
      <c r="B585" s="4" t="s">
        <v>4081</v>
      </c>
      <c r="C585" s="4" t="s">
        <v>569</v>
      </c>
      <c r="D585" s="4" t="s">
        <v>3242</v>
      </c>
      <c r="E585" s="4" t="s">
        <v>54</v>
      </c>
      <c r="F585" s="4" t="s">
        <v>33</v>
      </c>
      <c r="G585" s="4" t="s">
        <v>46</v>
      </c>
      <c r="H585" s="4" t="s">
        <v>2231</v>
      </c>
      <c r="I585" s="5">
        <v>45896</v>
      </c>
      <c r="J585" s="4" t="s">
        <v>1247</v>
      </c>
      <c r="K585" s="4" t="s">
        <v>693</v>
      </c>
      <c r="L585" s="4">
        <v>2023</v>
      </c>
      <c r="M585" s="4" t="s">
        <v>2233</v>
      </c>
      <c r="N585" s="4">
        <v>52.93</v>
      </c>
      <c r="O585" s="4">
        <v>52.93</v>
      </c>
      <c r="P585" s="4" t="s">
        <v>2234</v>
      </c>
      <c r="Q585" s="4">
        <v>52.93</v>
      </c>
      <c r="R585" s="4" t="s">
        <v>2235</v>
      </c>
    </row>
    <row r="586" spans="1:18" hidden="1" x14ac:dyDescent="0.35">
      <c r="A586" s="4" t="s">
        <v>1245</v>
      </c>
      <c r="B586" s="4" t="s">
        <v>4081</v>
      </c>
      <c r="C586" s="4" t="s">
        <v>569</v>
      </c>
      <c r="D586" s="4" t="s">
        <v>3242</v>
      </c>
      <c r="E586" s="4" t="s">
        <v>159</v>
      </c>
      <c r="F586" s="4" t="s">
        <v>33</v>
      </c>
      <c r="G586" s="4" t="s">
        <v>46</v>
      </c>
      <c r="H586" s="4" t="s">
        <v>2231</v>
      </c>
      <c r="I586" s="5">
        <v>45896</v>
      </c>
      <c r="J586" s="4" t="s">
        <v>1247</v>
      </c>
      <c r="K586" s="4" t="s">
        <v>693</v>
      </c>
      <c r="L586" s="4">
        <v>2023</v>
      </c>
      <c r="M586" s="4" t="s">
        <v>2233</v>
      </c>
      <c r="N586" s="4">
        <v>27.83</v>
      </c>
      <c r="O586" s="4">
        <v>27.83</v>
      </c>
      <c r="P586" s="4" t="s">
        <v>2234</v>
      </c>
      <c r="Q586" s="4">
        <v>27.83</v>
      </c>
      <c r="R586" s="4" t="s">
        <v>2235</v>
      </c>
    </row>
    <row r="587" spans="1:18" hidden="1" x14ac:dyDescent="0.35">
      <c r="A587" s="4" t="s">
        <v>1251</v>
      </c>
      <c r="B587" s="4" t="s">
        <v>4081</v>
      </c>
      <c r="C587" s="4" t="s">
        <v>569</v>
      </c>
      <c r="D587" s="4" t="s">
        <v>3242</v>
      </c>
      <c r="E587" s="4" t="s">
        <v>52</v>
      </c>
      <c r="F587" s="4" t="s">
        <v>33</v>
      </c>
      <c r="G587" s="4" t="s">
        <v>46</v>
      </c>
      <c r="H587" s="4" t="s">
        <v>2231</v>
      </c>
      <c r="I587" s="5">
        <v>45896</v>
      </c>
      <c r="J587" s="4" t="s">
        <v>1247</v>
      </c>
      <c r="K587" s="4" t="s">
        <v>693</v>
      </c>
      <c r="L587" s="4">
        <v>2023</v>
      </c>
      <c r="M587" s="4" t="s">
        <v>2233</v>
      </c>
      <c r="N587" s="4">
        <v>52.93</v>
      </c>
      <c r="O587" s="4">
        <v>52.93</v>
      </c>
      <c r="P587" s="4" t="s">
        <v>2234</v>
      </c>
      <c r="Q587" s="4">
        <v>52.93</v>
      </c>
      <c r="R587" s="4" t="s">
        <v>2235</v>
      </c>
    </row>
    <row r="588" spans="1:18" hidden="1" x14ac:dyDescent="0.35">
      <c r="A588" s="4" t="s">
        <v>855</v>
      </c>
      <c r="B588" s="4" t="s">
        <v>4081</v>
      </c>
      <c r="C588" s="4" t="s">
        <v>3243</v>
      </c>
      <c r="D588" s="4" t="s">
        <v>3099</v>
      </c>
      <c r="E588" s="4" t="s">
        <v>3099</v>
      </c>
      <c r="F588" s="4" t="s">
        <v>33</v>
      </c>
      <c r="G588" s="4" t="s">
        <v>409</v>
      </c>
      <c r="H588" s="4" t="s">
        <v>2231</v>
      </c>
      <c r="I588" s="5">
        <v>46045</v>
      </c>
      <c r="J588" s="4" t="s">
        <v>858</v>
      </c>
      <c r="K588" s="4" t="s">
        <v>693</v>
      </c>
      <c r="L588" s="4">
        <v>1972</v>
      </c>
      <c r="M588" s="4" t="s">
        <v>27</v>
      </c>
      <c r="N588" s="4">
        <v>23.1</v>
      </c>
      <c r="O588" s="4">
        <v>23.1</v>
      </c>
      <c r="P588" s="4" t="s">
        <v>2234</v>
      </c>
      <c r="Q588" s="4">
        <v>23.1</v>
      </c>
      <c r="R588" s="4" t="s">
        <v>2235</v>
      </c>
    </row>
    <row r="589" spans="1:18" hidden="1" x14ac:dyDescent="0.35">
      <c r="A589" s="4" t="s">
        <v>3244</v>
      </c>
      <c r="B589" s="4" t="s">
        <v>4081</v>
      </c>
      <c r="C589" s="4" t="s">
        <v>856</v>
      </c>
      <c r="D589" s="4" t="s">
        <v>3245</v>
      </c>
      <c r="E589" s="4" t="s">
        <v>3245</v>
      </c>
      <c r="F589" s="4" t="s">
        <v>33</v>
      </c>
      <c r="G589" s="4" t="s">
        <v>137</v>
      </c>
      <c r="H589" s="4" t="s">
        <v>2231</v>
      </c>
      <c r="I589" s="5">
        <v>46045</v>
      </c>
      <c r="J589" s="4" t="s">
        <v>858</v>
      </c>
      <c r="K589" s="4" t="s">
        <v>693</v>
      </c>
      <c r="L589" s="4">
        <v>2021</v>
      </c>
      <c r="M589" s="4" t="s">
        <v>27</v>
      </c>
      <c r="N589" s="4">
        <v>8.8000000000000007</v>
      </c>
      <c r="O589" s="4">
        <v>8.8000000000000007</v>
      </c>
      <c r="P589" s="4" t="s">
        <v>2234</v>
      </c>
      <c r="Q589" s="4">
        <v>8.8000000000000007</v>
      </c>
      <c r="R589" s="4" t="s">
        <v>2235</v>
      </c>
    </row>
    <row r="590" spans="1:18" hidden="1" x14ac:dyDescent="0.35">
      <c r="A590" s="4" t="s">
        <v>915</v>
      </c>
      <c r="B590" s="4" t="s">
        <v>4081</v>
      </c>
      <c r="C590" s="4" t="s">
        <v>3246</v>
      </c>
      <c r="D590" s="4" t="s">
        <v>3247</v>
      </c>
      <c r="E590" s="4" t="s">
        <v>3248</v>
      </c>
      <c r="F590" s="4" t="s">
        <v>173</v>
      </c>
      <c r="G590" s="4" t="s">
        <v>409</v>
      </c>
      <c r="H590" s="4" t="s">
        <v>2231</v>
      </c>
      <c r="I590" s="5">
        <v>46049</v>
      </c>
      <c r="J590" s="4" t="s">
        <v>858</v>
      </c>
      <c r="K590" s="4" t="s">
        <v>693</v>
      </c>
      <c r="L590" s="4">
        <v>1990</v>
      </c>
      <c r="M590" s="4" t="s">
        <v>27</v>
      </c>
      <c r="N590" s="4">
        <v>40.4</v>
      </c>
      <c r="O590" s="4">
        <v>40.4</v>
      </c>
      <c r="P590" s="4" t="s">
        <v>173</v>
      </c>
      <c r="Q590" s="4">
        <v>40.4</v>
      </c>
      <c r="R590" s="4" t="s">
        <v>173</v>
      </c>
    </row>
    <row r="591" spans="1:18" hidden="1" x14ac:dyDescent="0.35">
      <c r="A591" s="4" t="s">
        <v>911</v>
      </c>
      <c r="B591" s="4" t="s">
        <v>4081</v>
      </c>
      <c r="C591" s="4" t="s">
        <v>3246</v>
      </c>
      <c r="D591" s="4" t="s">
        <v>3247</v>
      </c>
      <c r="E591" s="4" t="s">
        <v>3249</v>
      </c>
      <c r="F591" s="4" t="s">
        <v>173</v>
      </c>
      <c r="G591" s="4" t="s">
        <v>409</v>
      </c>
      <c r="H591" s="4" t="s">
        <v>2231</v>
      </c>
      <c r="I591" s="5">
        <v>46049</v>
      </c>
      <c r="J591" s="4" t="s">
        <v>858</v>
      </c>
      <c r="K591" s="4" t="s">
        <v>693</v>
      </c>
      <c r="L591" s="4">
        <v>2006</v>
      </c>
      <c r="M591" s="4" t="s">
        <v>27</v>
      </c>
      <c r="N591" s="4">
        <v>21.1</v>
      </c>
      <c r="O591" s="4">
        <v>21.1</v>
      </c>
      <c r="P591" s="4" t="s">
        <v>173</v>
      </c>
      <c r="Q591" s="4">
        <v>21.1</v>
      </c>
      <c r="R591" s="4" t="s">
        <v>173</v>
      </c>
    </row>
    <row r="592" spans="1:18" hidden="1" x14ac:dyDescent="0.35">
      <c r="A592" s="4" t="s">
        <v>3250</v>
      </c>
      <c r="B592" s="4" t="s">
        <v>4081</v>
      </c>
      <c r="C592" s="4" t="s">
        <v>2732</v>
      </c>
      <c r="D592" s="4" t="s">
        <v>2847</v>
      </c>
      <c r="E592" s="4" t="s">
        <v>3251</v>
      </c>
      <c r="F592" s="4" t="s">
        <v>33</v>
      </c>
      <c r="G592" s="4" t="s">
        <v>409</v>
      </c>
      <c r="H592" s="4" t="s">
        <v>2231</v>
      </c>
      <c r="I592" s="5">
        <v>71059</v>
      </c>
      <c r="J592" s="4" t="s">
        <v>2117</v>
      </c>
      <c r="K592" s="4" t="s">
        <v>2232</v>
      </c>
      <c r="L592" s="4">
        <v>1971</v>
      </c>
      <c r="M592" s="4" t="s">
        <v>27</v>
      </c>
      <c r="N592" s="4">
        <v>4.8</v>
      </c>
      <c r="O592" s="4">
        <v>4.8</v>
      </c>
      <c r="P592" s="4" t="s">
        <v>2234</v>
      </c>
      <c r="Q592" s="4">
        <v>4.8</v>
      </c>
      <c r="R592" s="4" t="s">
        <v>2235</v>
      </c>
    </row>
    <row r="593" spans="1:18" hidden="1" x14ac:dyDescent="0.35">
      <c r="A593" s="4" t="s">
        <v>2227</v>
      </c>
      <c r="B593" s="4" t="s">
        <v>4081</v>
      </c>
      <c r="C593" s="4" t="s">
        <v>2227</v>
      </c>
      <c r="D593" s="4" t="s">
        <v>2227</v>
      </c>
      <c r="E593" s="4" t="s">
        <v>2227</v>
      </c>
      <c r="F593" s="4" t="s">
        <v>2234</v>
      </c>
      <c r="G593" s="4" t="s">
        <v>46</v>
      </c>
      <c r="H593" s="4" t="s">
        <v>2231</v>
      </c>
      <c r="I593" s="5" t="s">
        <v>2227</v>
      </c>
      <c r="J593" s="5" t="s">
        <v>2227</v>
      </c>
      <c r="K593" s="4" t="s">
        <v>693</v>
      </c>
      <c r="L593" s="4">
        <v>2029</v>
      </c>
      <c r="M593" s="4" t="s">
        <v>2459</v>
      </c>
      <c r="N593" s="4">
        <v>1000</v>
      </c>
      <c r="O593" s="4">
        <v>1000</v>
      </c>
      <c r="P593" s="4" t="s">
        <v>2234</v>
      </c>
      <c r="Q593" s="4">
        <v>1000</v>
      </c>
      <c r="R593" s="4" t="s">
        <v>2235</v>
      </c>
    </row>
    <row r="594" spans="1:18" hidden="1" x14ac:dyDescent="0.35">
      <c r="A594" s="4" t="s">
        <v>3252</v>
      </c>
      <c r="B594" s="4" t="s">
        <v>4081</v>
      </c>
      <c r="C594" s="4" t="s">
        <v>1183</v>
      </c>
      <c r="D594" s="4" t="s">
        <v>3253</v>
      </c>
      <c r="E594" s="4" t="s">
        <v>3253</v>
      </c>
      <c r="F594" s="4" t="s">
        <v>33</v>
      </c>
      <c r="G594" s="4" t="s">
        <v>137</v>
      </c>
      <c r="H594" s="4" t="s">
        <v>2231</v>
      </c>
      <c r="I594" s="5">
        <v>47053</v>
      </c>
      <c r="J594" s="4" t="s">
        <v>1185</v>
      </c>
      <c r="K594" s="4" t="s">
        <v>693</v>
      </c>
      <c r="L594" s="4">
        <v>2022</v>
      </c>
      <c r="M594" s="4" t="s">
        <v>27</v>
      </c>
      <c r="N594" s="4">
        <v>4.4000000000000004</v>
      </c>
      <c r="O594" s="4">
        <v>4.4000000000000004</v>
      </c>
      <c r="P594" s="4" t="s">
        <v>2234</v>
      </c>
      <c r="Q594" s="4">
        <v>4.4000000000000004</v>
      </c>
      <c r="R594" s="4" t="s">
        <v>2235</v>
      </c>
    </row>
    <row r="595" spans="1:18" hidden="1" x14ac:dyDescent="0.35">
      <c r="A595" s="4" t="s">
        <v>3254</v>
      </c>
      <c r="B595" s="4" t="s">
        <v>4081</v>
      </c>
      <c r="C595" s="4" t="s">
        <v>1183</v>
      </c>
      <c r="D595" s="4" t="s">
        <v>3253</v>
      </c>
      <c r="E595" s="4" t="s">
        <v>3253</v>
      </c>
      <c r="F595" s="4" t="s">
        <v>33</v>
      </c>
      <c r="G595" s="4" t="s">
        <v>137</v>
      </c>
      <c r="H595" s="4" t="s">
        <v>2231</v>
      </c>
      <c r="I595" s="5">
        <v>47053</v>
      </c>
      <c r="J595" s="4" t="s">
        <v>1185</v>
      </c>
      <c r="K595" s="4" t="s">
        <v>693</v>
      </c>
      <c r="L595" s="4">
        <v>2023</v>
      </c>
      <c r="M595" s="4" t="s">
        <v>27</v>
      </c>
      <c r="N595" s="4">
        <v>4.4000000000000004</v>
      </c>
      <c r="O595" s="4">
        <v>4.4000000000000004</v>
      </c>
      <c r="P595" s="4" t="s">
        <v>2234</v>
      </c>
      <c r="Q595" s="4">
        <v>4.4000000000000004</v>
      </c>
      <c r="R595" s="4" t="s">
        <v>2235</v>
      </c>
    </row>
    <row r="596" spans="1:18" hidden="1" x14ac:dyDescent="0.35">
      <c r="A596" s="4" t="s">
        <v>3255</v>
      </c>
      <c r="B596" s="4" t="s">
        <v>4081</v>
      </c>
      <c r="C596" s="4" t="s">
        <v>1183</v>
      </c>
      <c r="D596" s="4" t="s">
        <v>3253</v>
      </c>
      <c r="E596" s="4" t="s">
        <v>3253</v>
      </c>
      <c r="F596" s="4" t="s">
        <v>33</v>
      </c>
      <c r="G596" s="4" t="s">
        <v>137</v>
      </c>
      <c r="H596" s="4" t="s">
        <v>2231</v>
      </c>
      <c r="I596" s="5">
        <v>47053</v>
      </c>
      <c r="J596" s="4" t="s">
        <v>1185</v>
      </c>
      <c r="K596" s="4" t="s">
        <v>693</v>
      </c>
      <c r="L596" s="4">
        <v>2023</v>
      </c>
      <c r="M596" s="4" t="s">
        <v>27</v>
      </c>
      <c r="N596" s="4">
        <v>4.4000000000000004</v>
      </c>
      <c r="O596" s="4">
        <v>4.4000000000000004</v>
      </c>
      <c r="P596" s="4" t="s">
        <v>2234</v>
      </c>
      <c r="Q596" s="4">
        <v>4.4000000000000004</v>
      </c>
      <c r="R596" s="4" t="s">
        <v>2235</v>
      </c>
    </row>
    <row r="597" spans="1:18" hidden="1" x14ac:dyDescent="0.35">
      <c r="A597" s="4" t="s">
        <v>3256</v>
      </c>
      <c r="B597" s="4" t="s">
        <v>4081</v>
      </c>
      <c r="C597" s="4" t="s">
        <v>1183</v>
      </c>
      <c r="D597" s="4" t="s">
        <v>3253</v>
      </c>
      <c r="E597" s="4" t="s">
        <v>3253</v>
      </c>
      <c r="F597" s="4" t="s">
        <v>33</v>
      </c>
      <c r="G597" s="4" t="s">
        <v>137</v>
      </c>
      <c r="H597" s="4" t="s">
        <v>2231</v>
      </c>
      <c r="I597" s="5">
        <v>47053</v>
      </c>
      <c r="J597" s="4" t="s">
        <v>1185</v>
      </c>
      <c r="K597" s="4" t="s">
        <v>693</v>
      </c>
      <c r="L597" s="4">
        <v>2023</v>
      </c>
      <c r="M597" s="4" t="s">
        <v>27</v>
      </c>
      <c r="N597" s="4">
        <v>4.4000000000000004</v>
      </c>
      <c r="O597" s="4">
        <v>4.4000000000000004</v>
      </c>
      <c r="P597" s="4" t="s">
        <v>2234</v>
      </c>
      <c r="Q597" s="4">
        <v>4.4000000000000004</v>
      </c>
      <c r="R597" s="4" t="s">
        <v>2235</v>
      </c>
    </row>
    <row r="598" spans="1:18" hidden="1" x14ac:dyDescent="0.35">
      <c r="A598" s="4" t="s">
        <v>3257</v>
      </c>
      <c r="B598" s="4" t="s">
        <v>4081</v>
      </c>
      <c r="C598" s="4" t="s">
        <v>1183</v>
      </c>
      <c r="D598" s="4" t="s">
        <v>3253</v>
      </c>
      <c r="E598" s="4" t="s">
        <v>3253</v>
      </c>
      <c r="F598" s="4" t="s">
        <v>33</v>
      </c>
      <c r="G598" s="4" t="s">
        <v>137</v>
      </c>
      <c r="H598" s="4" t="s">
        <v>2231</v>
      </c>
      <c r="I598" s="5">
        <v>47053</v>
      </c>
      <c r="J598" s="4" t="s">
        <v>1185</v>
      </c>
      <c r="K598" s="4" t="s">
        <v>693</v>
      </c>
      <c r="L598" s="4">
        <v>2023</v>
      </c>
      <c r="M598" s="4" t="s">
        <v>27</v>
      </c>
      <c r="N598" s="4">
        <v>4.4000000000000004</v>
      </c>
      <c r="O598" s="4">
        <v>4.4000000000000004</v>
      </c>
      <c r="P598" s="4" t="s">
        <v>2234</v>
      </c>
      <c r="Q598" s="4">
        <v>4.4000000000000004</v>
      </c>
      <c r="R598" s="4" t="s">
        <v>2235</v>
      </c>
    </row>
    <row r="599" spans="1:18" hidden="1" x14ac:dyDescent="0.35">
      <c r="A599" s="4" t="s">
        <v>3258</v>
      </c>
      <c r="B599" s="4" t="s">
        <v>4081</v>
      </c>
      <c r="C599" s="4" t="s">
        <v>1183</v>
      </c>
      <c r="D599" s="4" t="s">
        <v>3253</v>
      </c>
      <c r="E599" s="4" t="s">
        <v>3253</v>
      </c>
      <c r="F599" s="4" t="s">
        <v>33</v>
      </c>
      <c r="G599" s="4" t="s">
        <v>137</v>
      </c>
      <c r="H599" s="4" t="s">
        <v>2231</v>
      </c>
      <c r="I599" s="5">
        <v>47053</v>
      </c>
      <c r="J599" s="4" t="s">
        <v>1185</v>
      </c>
      <c r="K599" s="4" t="s">
        <v>693</v>
      </c>
      <c r="L599" s="4">
        <v>2023</v>
      </c>
      <c r="M599" s="4" t="s">
        <v>27</v>
      </c>
      <c r="N599" s="4">
        <v>4.4000000000000004</v>
      </c>
      <c r="O599" s="4">
        <v>4.4000000000000004</v>
      </c>
      <c r="P599" s="4" t="s">
        <v>2234</v>
      </c>
      <c r="Q599" s="4">
        <v>4.4000000000000004</v>
      </c>
      <c r="R599" s="4" t="s">
        <v>2235</v>
      </c>
    </row>
    <row r="600" spans="1:18" hidden="1" x14ac:dyDescent="0.35">
      <c r="A600" s="4" t="s">
        <v>3259</v>
      </c>
      <c r="B600" s="4" t="s">
        <v>4081</v>
      </c>
      <c r="C600" s="4" t="s">
        <v>1183</v>
      </c>
      <c r="D600" s="4" t="s">
        <v>3253</v>
      </c>
      <c r="E600" s="4" t="s">
        <v>3253</v>
      </c>
      <c r="F600" s="4" t="s">
        <v>33</v>
      </c>
      <c r="G600" s="4" t="s">
        <v>137</v>
      </c>
      <c r="H600" s="4" t="s">
        <v>2231</v>
      </c>
      <c r="I600" s="5">
        <v>47053</v>
      </c>
      <c r="J600" s="4" t="s">
        <v>1185</v>
      </c>
      <c r="K600" s="4" t="s">
        <v>693</v>
      </c>
      <c r="L600" s="4">
        <v>2023</v>
      </c>
      <c r="M600" s="4" t="s">
        <v>27</v>
      </c>
      <c r="N600" s="4">
        <v>4.4000000000000004</v>
      </c>
      <c r="O600" s="4">
        <v>4.4000000000000004</v>
      </c>
      <c r="P600" s="4" t="s">
        <v>2234</v>
      </c>
      <c r="Q600" s="4">
        <v>4.4000000000000004</v>
      </c>
      <c r="R600" s="4" t="s">
        <v>2235</v>
      </c>
    </row>
    <row r="601" spans="1:18" hidden="1" x14ac:dyDescent="0.35">
      <c r="A601" s="4" t="s">
        <v>3260</v>
      </c>
      <c r="B601" s="4" t="s">
        <v>4081</v>
      </c>
      <c r="C601" s="4" t="s">
        <v>3261</v>
      </c>
      <c r="D601" s="4" t="s">
        <v>3262</v>
      </c>
      <c r="E601" s="4" t="s">
        <v>2227</v>
      </c>
      <c r="F601" s="4" t="s">
        <v>33</v>
      </c>
      <c r="G601" s="4" t="s">
        <v>409</v>
      </c>
      <c r="H601" s="4" t="s">
        <v>2231</v>
      </c>
      <c r="I601" s="5">
        <v>47198</v>
      </c>
      <c r="J601" s="4" t="s">
        <v>1185</v>
      </c>
      <c r="K601" s="4" t="s">
        <v>693</v>
      </c>
      <c r="L601" s="4">
        <v>1962</v>
      </c>
      <c r="M601" s="4" t="s">
        <v>27</v>
      </c>
      <c r="N601" s="4">
        <v>8.9</v>
      </c>
      <c r="O601" s="4">
        <v>8.9</v>
      </c>
      <c r="P601" s="4" t="s">
        <v>2234</v>
      </c>
      <c r="Q601" s="4">
        <v>8.9</v>
      </c>
      <c r="R601" s="4" t="s">
        <v>2235</v>
      </c>
    </row>
    <row r="602" spans="1:18" hidden="1" x14ac:dyDescent="0.35">
      <c r="A602" s="4" t="s">
        <v>1187</v>
      </c>
      <c r="B602" s="4" t="s">
        <v>4081</v>
      </c>
      <c r="C602" s="4" t="s">
        <v>1183</v>
      </c>
      <c r="D602" s="4" t="s">
        <v>3263</v>
      </c>
      <c r="E602" s="4" t="s">
        <v>3264</v>
      </c>
      <c r="F602" s="4" t="s">
        <v>33</v>
      </c>
      <c r="G602" s="4" t="s">
        <v>46</v>
      </c>
      <c r="H602" s="4" t="s">
        <v>2231</v>
      </c>
      <c r="I602" s="5">
        <v>47249</v>
      </c>
      <c r="J602" s="4" t="s">
        <v>1185</v>
      </c>
      <c r="K602" s="4" t="s">
        <v>693</v>
      </c>
      <c r="L602" s="4">
        <v>2005</v>
      </c>
      <c r="M602" s="4" t="s">
        <v>27</v>
      </c>
      <c r="N602" s="4">
        <v>75.2</v>
      </c>
      <c r="O602" s="4">
        <v>75.2</v>
      </c>
      <c r="P602" s="4" t="s">
        <v>2234</v>
      </c>
      <c r="Q602" s="4">
        <v>75.2</v>
      </c>
      <c r="R602" s="4" t="s">
        <v>2235</v>
      </c>
    </row>
    <row r="603" spans="1:18" hidden="1" x14ac:dyDescent="0.35">
      <c r="A603" s="4" t="s">
        <v>1189</v>
      </c>
      <c r="B603" s="4" t="s">
        <v>4081</v>
      </c>
      <c r="C603" s="4" t="s">
        <v>1183</v>
      </c>
      <c r="D603" s="4" t="s">
        <v>3263</v>
      </c>
      <c r="E603" s="4" t="s">
        <v>3265</v>
      </c>
      <c r="F603" s="4" t="s">
        <v>33</v>
      </c>
      <c r="G603" s="4" t="s">
        <v>46</v>
      </c>
      <c r="H603" s="4" t="s">
        <v>2231</v>
      </c>
      <c r="I603" s="5">
        <v>47249</v>
      </c>
      <c r="J603" s="4" t="s">
        <v>1185</v>
      </c>
      <c r="K603" s="4" t="s">
        <v>693</v>
      </c>
      <c r="L603" s="4">
        <v>2005</v>
      </c>
      <c r="M603" s="4" t="s">
        <v>27</v>
      </c>
      <c r="N603" s="4">
        <v>75.2</v>
      </c>
      <c r="O603" s="4">
        <v>75.2</v>
      </c>
      <c r="P603" s="4" t="s">
        <v>2234</v>
      </c>
      <c r="Q603" s="4">
        <v>75.2</v>
      </c>
      <c r="R603" s="4" t="s">
        <v>2235</v>
      </c>
    </row>
    <row r="604" spans="1:18" hidden="1" x14ac:dyDescent="0.35">
      <c r="A604" s="4" t="s">
        <v>1190</v>
      </c>
      <c r="B604" s="4" t="s">
        <v>4081</v>
      </c>
      <c r="C604" s="4" t="s">
        <v>1183</v>
      </c>
      <c r="D604" s="4" t="s">
        <v>3263</v>
      </c>
      <c r="E604" s="4" t="s">
        <v>3266</v>
      </c>
      <c r="F604" s="4" t="s">
        <v>33</v>
      </c>
      <c r="G604" s="4" t="s">
        <v>46</v>
      </c>
      <c r="H604" s="4" t="s">
        <v>2231</v>
      </c>
      <c r="I604" s="5">
        <v>47249</v>
      </c>
      <c r="J604" s="4" t="s">
        <v>1185</v>
      </c>
      <c r="K604" s="4" t="s">
        <v>693</v>
      </c>
      <c r="L604" s="4">
        <v>2005</v>
      </c>
      <c r="M604" s="4" t="s">
        <v>27</v>
      </c>
      <c r="N604" s="4">
        <v>84</v>
      </c>
      <c r="O604" s="4">
        <v>84</v>
      </c>
      <c r="P604" s="4" t="s">
        <v>2234</v>
      </c>
      <c r="Q604" s="4">
        <v>84</v>
      </c>
      <c r="R604" s="4" t="s">
        <v>2235</v>
      </c>
    </row>
    <row r="605" spans="1:18" hidden="1" x14ac:dyDescent="0.35">
      <c r="A605" s="4" t="s">
        <v>1604</v>
      </c>
      <c r="B605" s="4" t="s">
        <v>4081</v>
      </c>
      <c r="C605" s="4" t="s">
        <v>3158</v>
      </c>
      <c r="D605" s="4" t="s">
        <v>3267</v>
      </c>
      <c r="E605" s="4" t="s">
        <v>1010</v>
      </c>
      <c r="F605" s="4" t="s">
        <v>33</v>
      </c>
      <c r="G605" s="4" t="s">
        <v>46</v>
      </c>
      <c r="H605" s="4" t="s">
        <v>2231</v>
      </c>
      <c r="I605" s="5">
        <v>94447</v>
      </c>
      <c r="J605" s="4" t="s">
        <v>1602</v>
      </c>
      <c r="K605" s="4" t="s">
        <v>701</v>
      </c>
      <c r="L605" s="4">
        <v>2010</v>
      </c>
      <c r="M605" s="4" t="s">
        <v>27</v>
      </c>
      <c r="N605" s="4">
        <v>81</v>
      </c>
      <c r="O605" s="4">
        <v>81</v>
      </c>
      <c r="P605" s="4" t="s">
        <v>2234</v>
      </c>
      <c r="Q605" s="4">
        <v>81</v>
      </c>
      <c r="R605" s="4" t="s">
        <v>2235</v>
      </c>
    </row>
    <row r="606" spans="1:18" hidden="1" x14ac:dyDescent="0.35">
      <c r="A606" s="4" t="s">
        <v>1599</v>
      </c>
      <c r="B606" s="4" t="s">
        <v>4081</v>
      </c>
      <c r="C606" s="4" t="s">
        <v>3158</v>
      </c>
      <c r="D606" s="4" t="s">
        <v>3267</v>
      </c>
      <c r="E606" s="4" t="s">
        <v>159</v>
      </c>
      <c r="F606" s="4" t="s">
        <v>33</v>
      </c>
      <c r="G606" s="4" t="s">
        <v>46</v>
      </c>
      <c r="H606" s="4" t="s">
        <v>2231</v>
      </c>
      <c r="I606" s="5">
        <v>94447</v>
      </c>
      <c r="J606" s="4" t="s">
        <v>1602</v>
      </c>
      <c r="K606" s="4" t="s">
        <v>701</v>
      </c>
      <c r="L606" s="4">
        <v>2010</v>
      </c>
      <c r="M606" s="4" t="s">
        <v>27</v>
      </c>
      <c r="N606" s="4">
        <v>39.5</v>
      </c>
      <c r="O606" s="4">
        <v>39.5</v>
      </c>
      <c r="P606" s="4" t="s">
        <v>2234</v>
      </c>
      <c r="Q606" s="4">
        <v>39.5</v>
      </c>
      <c r="R606" s="4" t="s">
        <v>2235</v>
      </c>
    </row>
    <row r="607" spans="1:18" hidden="1" x14ac:dyDescent="0.35">
      <c r="A607" s="4" t="s">
        <v>1538</v>
      </c>
      <c r="B607" s="4" t="s">
        <v>4081</v>
      </c>
      <c r="C607" s="4" t="s">
        <v>1534</v>
      </c>
      <c r="D607" s="4" t="s">
        <v>3268</v>
      </c>
      <c r="E607" s="4" t="s">
        <v>3269</v>
      </c>
      <c r="F607" s="4" t="s">
        <v>33</v>
      </c>
      <c r="G607" s="4" t="s">
        <v>46</v>
      </c>
      <c r="H607" s="4" t="s">
        <v>2249</v>
      </c>
      <c r="I607" s="5">
        <v>85088</v>
      </c>
      <c r="J607" s="4" t="s">
        <v>1536</v>
      </c>
      <c r="K607" s="4" t="s">
        <v>701</v>
      </c>
      <c r="L607" s="4">
        <v>2010</v>
      </c>
      <c r="M607" s="4" t="s">
        <v>27</v>
      </c>
      <c r="N607" s="4">
        <v>282</v>
      </c>
      <c r="O607" s="4">
        <v>282</v>
      </c>
      <c r="P607" s="4" t="s">
        <v>2234</v>
      </c>
      <c r="Q607" s="4">
        <v>282</v>
      </c>
      <c r="R607" s="4" t="s">
        <v>2235</v>
      </c>
    </row>
    <row r="608" spans="1:18" hidden="1" x14ac:dyDescent="0.35">
      <c r="A608" s="4" t="s">
        <v>1540</v>
      </c>
      <c r="B608" s="4" t="s">
        <v>4081</v>
      </c>
      <c r="C608" s="4" t="s">
        <v>1534</v>
      </c>
      <c r="D608" s="4" t="s">
        <v>3268</v>
      </c>
      <c r="E608" s="4" t="s">
        <v>3270</v>
      </c>
      <c r="F608" s="4" t="s">
        <v>33</v>
      </c>
      <c r="G608" s="4" t="s">
        <v>46</v>
      </c>
      <c r="H608" s="4" t="s">
        <v>2249</v>
      </c>
      <c r="I608" s="5">
        <v>85088</v>
      </c>
      <c r="J608" s="4" t="s">
        <v>1536</v>
      </c>
      <c r="K608" s="4" t="s">
        <v>701</v>
      </c>
      <c r="L608" s="4">
        <v>2010</v>
      </c>
      <c r="M608" s="4" t="s">
        <v>27</v>
      </c>
      <c r="N608" s="4">
        <v>282</v>
      </c>
      <c r="O608" s="4">
        <v>282</v>
      </c>
      <c r="P608" s="4" t="s">
        <v>2234</v>
      </c>
      <c r="Q608" s="4">
        <v>282</v>
      </c>
      <c r="R608" s="4" t="s">
        <v>2235</v>
      </c>
    </row>
    <row r="609" spans="1:18" hidden="1" x14ac:dyDescent="0.35">
      <c r="A609" s="4" t="s">
        <v>1533</v>
      </c>
      <c r="B609" s="4" t="s">
        <v>4081</v>
      </c>
      <c r="C609" s="4" t="s">
        <v>1534</v>
      </c>
      <c r="D609" s="4" t="s">
        <v>3268</v>
      </c>
      <c r="E609" s="4" t="s">
        <v>3271</v>
      </c>
      <c r="F609" s="4" t="s">
        <v>33</v>
      </c>
      <c r="G609" s="4" t="s">
        <v>46</v>
      </c>
      <c r="H609" s="4" t="s">
        <v>2249</v>
      </c>
      <c r="I609" s="5">
        <v>85088</v>
      </c>
      <c r="J609" s="4" t="s">
        <v>1536</v>
      </c>
      <c r="K609" s="4" t="s">
        <v>701</v>
      </c>
      <c r="L609" s="4">
        <v>2010</v>
      </c>
      <c r="M609" s="4" t="s">
        <v>27</v>
      </c>
      <c r="N609" s="4">
        <v>282</v>
      </c>
      <c r="O609" s="4">
        <v>282</v>
      </c>
      <c r="P609" s="4" t="s">
        <v>2234</v>
      </c>
      <c r="Q609" s="4">
        <v>282</v>
      </c>
      <c r="R609" s="4" t="s">
        <v>2235</v>
      </c>
    </row>
    <row r="610" spans="1:18" hidden="1" x14ac:dyDescent="0.35">
      <c r="A610" s="4" t="s">
        <v>1846</v>
      </c>
      <c r="B610" s="4" t="s">
        <v>4081</v>
      </c>
      <c r="C610" s="4" t="s">
        <v>2246</v>
      </c>
      <c r="D610" s="4" t="s">
        <v>2247</v>
      </c>
      <c r="E610" s="4" t="s">
        <v>3272</v>
      </c>
      <c r="F610" s="4" t="s">
        <v>33</v>
      </c>
      <c r="G610" s="4" t="s">
        <v>46</v>
      </c>
      <c r="H610" s="4" t="s">
        <v>2231</v>
      </c>
      <c r="I610" s="5">
        <v>90449</v>
      </c>
      <c r="J610" s="4" t="s">
        <v>2250</v>
      </c>
      <c r="K610" s="4" t="s">
        <v>701</v>
      </c>
      <c r="L610" s="4">
        <v>1976</v>
      </c>
      <c r="M610" s="4" t="s">
        <v>27</v>
      </c>
      <c r="N610" s="4">
        <v>53</v>
      </c>
      <c r="O610" s="4">
        <v>53</v>
      </c>
      <c r="P610" s="4" t="s">
        <v>2234</v>
      </c>
      <c r="Q610" s="4">
        <v>53</v>
      </c>
      <c r="R610" s="4" t="s">
        <v>2235</v>
      </c>
    </row>
    <row r="611" spans="1:18" hidden="1" x14ac:dyDescent="0.35">
      <c r="A611" s="4" t="s">
        <v>1856</v>
      </c>
      <c r="B611" s="4" t="s">
        <v>4081</v>
      </c>
      <c r="C611" s="4" t="s">
        <v>2246</v>
      </c>
      <c r="D611" s="4" t="s">
        <v>2247</v>
      </c>
      <c r="E611" s="4" t="s">
        <v>3273</v>
      </c>
      <c r="F611" s="4" t="s">
        <v>33</v>
      </c>
      <c r="G611" s="4" t="s">
        <v>46</v>
      </c>
      <c r="H611" s="4" t="s">
        <v>2231</v>
      </c>
      <c r="I611" s="5">
        <v>90449</v>
      </c>
      <c r="J611" s="4" t="s">
        <v>2250</v>
      </c>
      <c r="K611" s="4" t="s">
        <v>701</v>
      </c>
      <c r="L611" s="4">
        <v>1976</v>
      </c>
      <c r="M611" s="4" t="s">
        <v>27</v>
      </c>
      <c r="N611" s="4">
        <v>387</v>
      </c>
      <c r="O611" s="4">
        <v>387</v>
      </c>
      <c r="P611" s="4" t="s">
        <v>2234</v>
      </c>
      <c r="Q611" s="4">
        <v>387</v>
      </c>
      <c r="R611" s="4" t="s">
        <v>2235</v>
      </c>
    </row>
    <row r="612" spans="1:18" x14ac:dyDescent="0.35">
      <c r="A612" s="4" t="s">
        <v>3274</v>
      </c>
      <c r="B612" s="4" t="s">
        <v>4080</v>
      </c>
      <c r="C612" s="4" t="s">
        <v>2246</v>
      </c>
      <c r="D612" s="4" t="s">
        <v>3275</v>
      </c>
      <c r="E612" s="4" t="s">
        <v>3276</v>
      </c>
      <c r="F612" s="4" t="s">
        <v>2255</v>
      </c>
      <c r="G612" s="4" t="s">
        <v>2256</v>
      </c>
      <c r="H612" s="4" t="s">
        <v>2249</v>
      </c>
      <c r="I612" s="5">
        <v>34549</v>
      </c>
      <c r="J612" s="4" t="s">
        <v>2257</v>
      </c>
      <c r="K612" s="4" t="s">
        <v>865</v>
      </c>
      <c r="L612" s="4">
        <v>1931</v>
      </c>
      <c r="M612" s="4" t="s">
        <v>27</v>
      </c>
      <c r="N612" s="4">
        <v>75</v>
      </c>
      <c r="O612" s="4">
        <v>75</v>
      </c>
      <c r="P612" s="4" t="s">
        <v>2255</v>
      </c>
      <c r="Q612" s="4">
        <v>75</v>
      </c>
      <c r="R612" s="4" t="s">
        <v>2255</v>
      </c>
    </row>
    <row r="613" spans="1:18" x14ac:dyDescent="0.35">
      <c r="A613" s="4" t="s">
        <v>3277</v>
      </c>
      <c r="B613" s="4" t="s">
        <v>4080</v>
      </c>
      <c r="C613" s="4" t="s">
        <v>2246</v>
      </c>
      <c r="D613" s="4" t="s">
        <v>3275</v>
      </c>
      <c r="E613" s="4" t="s">
        <v>2155</v>
      </c>
      <c r="F613" s="4" t="s">
        <v>2255</v>
      </c>
      <c r="G613" s="4" t="s">
        <v>2256</v>
      </c>
      <c r="H613" s="4" t="s">
        <v>2249</v>
      </c>
      <c r="I613" s="5">
        <v>34549</v>
      </c>
      <c r="J613" s="4" t="s">
        <v>2257</v>
      </c>
      <c r="K613" s="4" t="s">
        <v>865</v>
      </c>
      <c r="L613" s="4">
        <v>1931</v>
      </c>
      <c r="M613" s="4" t="s">
        <v>27</v>
      </c>
      <c r="N613" s="4">
        <v>35</v>
      </c>
      <c r="O613" s="4">
        <v>35</v>
      </c>
      <c r="P613" s="4" t="s">
        <v>2255</v>
      </c>
      <c r="Q613" s="4">
        <v>35</v>
      </c>
      <c r="R613" s="4" t="s">
        <v>2255</v>
      </c>
    </row>
    <row r="614" spans="1:18" x14ac:dyDescent="0.35">
      <c r="A614" s="4" t="s">
        <v>3278</v>
      </c>
      <c r="B614" s="4" t="s">
        <v>4080</v>
      </c>
      <c r="C614" s="4" t="s">
        <v>2246</v>
      </c>
      <c r="D614" s="4" t="s">
        <v>3275</v>
      </c>
      <c r="E614" s="4" t="s">
        <v>2157</v>
      </c>
      <c r="F614" s="4" t="s">
        <v>2255</v>
      </c>
      <c r="G614" s="4" t="s">
        <v>2256</v>
      </c>
      <c r="H614" s="4" t="s">
        <v>2249</v>
      </c>
      <c r="I614" s="5">
        <v>34549</v>
      </c>
      <c r="J614" s="4" t="s">
        <v>2257</v>
      </c>
      <c r="K614" s="4" t="s">
        <v>865</v>
      </c>
      <c r="L614" s="4">
        <v>1931</v>
      </c>
      <c r="M614" s="4" t="s">
        <v>27</v>
      </c>
      <c r="N614" s="4">
        <v>35</v>
      </c>
      <c r="O614" s="4">
        <v>35</v>
      </c>
      <c r="P614" s="4" t="s">
        <v>2255</v>
      </c>
      <c r="Q614" s="4">
        <v>35</v>
      </c>
      <c r="R614" s="4" t="s">
        <v>2255</v>
      </c>
    </row>
    <row r="615" spans="1:18" x14ac:dyDescent="0.35">
      <c r="A615" s="4" t="s">
        <v>3279</v>
      </c>
      <c r="B615" s="4" t="s">
        <v>4080</v>
      </c>
      <c r="C615" s="4" t="s">
        <v>1214</v>
      </c>
      <c r="D615" s="4" t="s">
        <v>3280</v>
      </c>
      <c r="E615" s="4" t="s">
        <v>2600</v>
      </c>
      <c r="F615" s="4" t="s">
        <v>2255</v>
      </c>
      <c r="G615" s="4" t="s">
        <v>2256</v>
      </c>
      <c r="H615" s="4" t="s">
        <v>2249</v>
      </c>
      <c r="I615" s="5">
        <v>37547</v>
      </c>
      <c r="J615" s="4" t="s">
        <v>3281</v>
      </c>
      <c r="K615" s="4" t="s">
        <v>765</v>
      </c>
      <c r="L615" s="4">
        <v>1964</v>
      </c>
      <c r="M615" s="4" t="s">
        <v>27</v>
      </c>
      <c r="N615" s="4">
        <v>50</v>
      </c>
      <c r="O615" s="4">
        <v>50</v>
      </c>
      <c r="P615" s="4" t="s">
        <v>2255</v>
      </c>
      <c r="Q615" s="4">
        <v>50</v>
      </c>
      <c r="R615" s="4" t="s">
        <v>2255</v>
      </c>
    </row>
    <row r="616" spans="1:18" hidden="1" x14ac:dyDescent="0.35">
      <c r="A616" s="4" t="s">
        <v>3282</v>
      </c>
      <c r="B616" s="4" t="s">
        <v>4081</v>
      </c>
      <c r="C616" s="4" t="s">
        <v>3283</v>
      </c>
      <c r="D616" s="4" t="s">
        <v>3284</v>
      </c>
      <c r="E616" s="4" t="s">
        <v>2600</v>
      </c>
      <c r="F616" s="4" t="s">
        <v>2255</v>
      </c>
      <c r="G616" s="4" t="s">
        <v>2535</v>
      </c>
      <c r="H616" s="4" t="s">
        <v>2249</v>
      </c>
      <c r="I616" s="5">
        <v>92555</v>
      </c>
      <c r="J616" s="4" t="s">
        <v>3285</v>
      </c>
      <c r="K616" s="4" t="s">
        <v>701</v>
      </c>
      <c r="L616" s="4">
        <v>1955</v>
      </c>
      <c r="M616" s="4" t="s">
        <v>27</v>
      </c>
      <c r="N616" s="4">
        <v>28</v>
      </c>
      <c r="O616" s="4">
        <v>28</v>
      </c>
      <c r="P616" s="4" t="s">
        <v>2255</v>
      </c>
      <c r="Q616" s="4">
        <v>28</v>
      </c>
      <c r="R616" s="4" t="s">
        <v>2255</v>
      </c>
    </row>
    <row r="617" spans="1:18" hidden="1" x14ac:dyDescent="0.35">
      <c r="A617" s="4" t="s">
        <v>3286</v>
      </c>
      <c r="B617" s="4" t="s">
        <v>4081</v>
      </c>
      <c r="C617" s="4" t="s">
        <v>3283</v>
      </c>
      <c r="D617" s="4" t="s">
        <v>3284</v>
      </c>
      <c r="E617" s="4" t="s">
        <v>2602</v>
      </c>
      <c r="F617" s="4" t="s">
        <v>2255</v>
      </c>
      <c r="G617" s="4" t="s">
        <v>2535</v>
      </c>
      <c r="H617" s="4" t="s">
        <v>2249</v>
      </c>
      <c r="I617" s="5">
        <v>92555</v>
      </c>
      <c r="J617" s="4" t="s">
        <v>3285</v>
      </c>
      <c r="K617" s="4" t="s">
        <v>701</v>
      </c>
      <c r="L617" s="4">
        <v>1955</v>
      </c>
      <c r="M617" s="4" t="s">
        <v>27</v>
      </c>
      <c r="N617" s="4">
        <v>28</v>
      </c>
      <c r="O617" s="4">
        <v>28</v>
      </c>
      <c r="P617" s="4" t="s">
        <v>2255</v>
      </c>
      <c r="Q617" s="4">
        <v>28</v>
      </c>
      <c r="R617" s="4" t="s">
        <v>2255</v>
      </c>
    </row>
    <row r="618" spans="1:18" hidden="1" x14ac:dyDescent="0.35">
      <c r="A618" s="4" t="s">
        <v>3287</v>
      </c>
      <c r="B618" s="4" t="s">
        <v>4081</v>
      </c>
      <c r="C618" s="4" t="s">
        <v>3283</v>
      </c>
      <c r="D618" s="4" t="s">
        <v>3284</v>
      </c>
      <c r="E618" s="4" t="s">
        <v>2604</v>
      </c>
      <c r="F618" s="4" t="s">
        <v>2255</v>
      </c>
      <c r="G618" s="4" t="s">
        <v>2535</v>
      </c>
      <c r="H618" s="4" t="s">
        <v>2249</v>
      </c>
      <c r="I618" s="5">
        <v>92555</v>
      </c>
      <c r="J618" s="4" t="s">
        <v>3285</v>
      </c>
      <c r="K618" s="4" t="s">
        <v>701</v>
      </c>
      <c r="L618" s="4">
        <v>1955</v>
      </c>
      <c r="M618" s="4" t="s">
        <v>27</v>
      </c>
      <c r="N618" s="4">
        <v>28</v>
      </c>
      <c r="O618" s="4">
        <v>28</v>
      </c>
      <c r="P618" s="4" t="s">
        <v>2255</v>
      </c>
      <c r="Q618" s="4">
        <v>28</v>
      </c>
      <c r="R618" s="4" t="s">
        <v>2255</v>
      </c>
    </row>
    <row r="619" spans="1:18" hidden="1" x14ac:dyDescent="0.35">
      <c r="A619" s="4" t="s">
        <v>3288</v>
      </c>
      <c r="B619" s="4" t="s">
        <v>4081</v>
      </c>
      <c r="C619" s="4" t="s">
        <v>3283</v>
      </c>
      <c r="D619" s="4" t="s">
        <v>3284</v>
      </c>
      <c r="E619" s="4" t="s">
        <v>3289</v>
      </c>
      <c r="F619" s="4" t="s">
        <v>2255</v>
      </c>
      <c r="G619" s="4" t="s">
        <v>2535</v>
      </c>
      <c r="H619" s="4" t="s">
        <v>2249</v>
      </c>
      <c r="I619" s="5">
        <v>92555</v>
      </c>
      <c r="J619" s="4" t="s">
        <v>3290</v>
      </c>
      <c r="K619" s="4" t="s">
        <v>701</v>
      </c>
      <c r="L619" s="4">
        <v>1959</v>
      </c>
      <c r="M619" s="4" t="s">
        <v>27</v>
      </c>
      <c r="N619" s="4">
        <v>28</v>
      </c>
      <c r="O619" s="4">
        <v>28</v>
      </c>
      <c r="P619" s="4" t="s">
        <v>2255</v>
      </c>
      <c r="Q619" s="4">
        <v>28</v>
      </c>
      <c r="R619" s="4" t="s">
        <v>2255</v>
      </c>
    </row>
    <row r="620" spans="1:18" x14ac:dyDescent="0.35">
      <c r="A620" s="4" t="s">
        <v>1497</v>
      </c>
      <c r="B620" s="4" t="s">
        <v>4080</v>
      </c>
      <c r="C620" s="4" t="s">
        <v>1492</v>
      </c>
      <c r="D620" s="4" t="s">
        <v>3291</v>
      </c>
      <c r="E620" s="4" t="s">
        <v>54</v>
      </c>
      <c r="F620" s="4" t="s">
        <v>33</v>
      </c>
      <c r="G620" s="4" t="s">
        <v>46</v>
      </c>
      <c r="H620" s="4" t="s">
        <v>2231</v>
      </c>
      <c r="I620" s="5">
        <v>30169</v>
      </c>
      <c r="J620" s="4" t="s">
        <v>1479</v>
      </c>
      <c r="K620" s="4" t="s">
        <v>765</v>
      </c>
      <c r="L620" s="4">
        <v>2013</v>
      </c>
      <c r="M620" s="4" t="s">
        <v>27</v>
      </c>
      <c r="N620" s="4">
        <v>82</v>
      </c>
      <c r="O620" s="4">
        <v>82</v>
      </c>
      <c r="P620" s="4" t="s">
        <v>2234</v>
      </c>
      <c r="Q620" s="4">
        <v>82</v>
      </c>
      <c r="R620" s="4" t="s">
        <v>2235</v>
      </c>
    </row>
    <row r="621" spans="1:18" x14ac:dyDescent="0.35">
      <c r="A621" s="4" t="s">
        <v>1491</v>
      </c>
      <c r="B621" s="4" t="s">
        <v>4080</v>
      </c>
      <c r="C621" s="4" t="s">
        <v>1492</v>
      </c>
      <c r="D621" s="4" t="s">
        <v>3291</v>
      </c>
      <c r="E621" s="4" t="s">
        <v>157</v>
      </c>
      <c r="F621" s="4" t="s">
        <v>33</v>
      </c>
      <c r="G621" s="4" t="s">
        <v>46</v>
      </c>
      <c r="H621" s="4" t="s">
        <v>2231</v>
      </c>
      <c r="I621" s="5">
        <v>30169</v>
      </c>
      <c r="J621" s="4" t="s">
        <v>1479</v>
      </c>
      <c r="K621" s="4" t="s">
        <v>765</v>
      </c>
      <c r="L621" s="4">
        <v>2013</v>
      </c>
      <c r="M621" s="4" t="s">
        <v>27</v>
      </c>
      <c r="N621" s="4">
        <v>70</v>
      </c>
      <c r="O621" s="4">
        <v>70</v>
      </c>
      <c r="P621" s="4" t="s">
        <v>2234</v>
      </c>
      <c r="Q621" s="4">
        <v>70</v>
      </c>
      <c r="R621" s="4" t="s">
        <v>2235</v>
      </c>
    </row>
    <row r="622" spans="1:18" x14ac:dyDescent="0.35">
      <c r="A622" s="4" t="s">
        <v>1495</v>
      </c>
      <c r="B622" s="4" t="s">
        <v>4080</v>
      </c>
      <c r="C622" s="4" t="s">
        <v>1492</v>
      </c>
      <c r="D622" s="4" t="s">
        <v>3291</v>
      </c>
      <c r="E622" s="4" t="s">
        <v>3292</v>
      </c>
      <c r="F622" s="4" t="s">
        <v>33</v>
      </c>
      <c r="G622" s="4" t="s">
        <v>46</v>
      </c>
      <c r="H622" s="4" t="s">
        <v>2231</v>
      </c>
      <c r="I622" s="5">
        <v>30169</v>
      </c>
      <c r="J622" s="4" t="s">
        <v>1479</v>
      </c>
      <c r="K622" s="4" t="s">
        <v>765</v>
      </c>
      <c r="L622" s="4">
        <v>2013</v>
      </c>
      <c r="M622" s="4" t="s">
        <v>27</v>
      </c>
      <c r="N622" s="4">
        <v>78</v>
      </c>
      <c r="O622" s="4">
        <v>78</v>
      </c>
      <c r="P622" s="4" t="s">
        <v>2234</v>
      </c>
      <c r="Q622" s="4">
        <v>78</v>
      </c>
      <c r="R622" s="4" t="s">
        <v>2235</v>
      </c>
    </row>
    <row r="623" spans="1:18" hidden="1" x14ac:dyDescent="0.35">
      <c r="A623" s="4" t="s">
        <v>1654</v>
      </c>
      <c r="B623" s="4" t="s">
        <v>4081</v>
      </c>
      <c r="C623" s="4" t="s">
        <v>2382</v>
      </c>
      <c r="D623" s="4" t="s">
        <v>2383</v>
      </c>
      <c r="E623" s="4" t="s">
        <v>3293</v>
      </c>
      <c r="F623" s="4" t="s">
        <v>33</v>
      </c>
      <c r="G623" s="4" t="s">
        <v>46</v>
      </c>
      <c r="H623" s="4" t="s">
        <v>2231</v>
      </c>
      <c r="I623" s="5">
        <v>90441</v>
      </c>
      <c r="J623" s="4" t="s">
        <v>2250</v>
      </c>
      <c r="K623" s="4" t="s">
        <v>701</v>
      </c>
      <c r="L623" s="4">
        <v>2005</v>
      </c>
      <c r="M623" s="4" t="s">
        <v>27</v>
      </c>
      <c r="N623" s="4">
        <v>38.799999999999997</v>
      </c>
      <c r="O623" s="4">
        <v>38.799999999999997</v>
      </c>
      <c r="P623" s="4" t="s">
        <v>2234</v>
      </c>
      <c r="Q623" s="4">
        <v>38.799999999999997</v>
      </c>
      <c r="R623" s="4" t="s">
        <v>2235</v>
      </c>
    </row>
    <row r="624" spans="1:18" hidden="1" x14ac:dyDescent="0.35">
      <c r="A624" s="4" t="s">
        <v>1658</v>
      </c>
      <c r="B624" s="4" t="s">
        <v>4081</v>
      </c>
      <c r="C624" s="4" t="s">
        <v>2382</v>
      </c>
      <c r="D624" s="4" t="s">
        <v>2383</v>
      </c>
      <c r="E624" s="4" t="s">
        <v>3293</v>
      </c>
      <c r="F624" s="4" t="s">
        <v>33</v>
      </c>
      <c r="G624" s="4" t="s">
        <v>46</v>
      </c>
      <c r="H624" s="4" t="s">
        <v>2231</v>
      </c>
      <c r="I624" s="5">
        <v>90441</v>
      </c>
      <c r="J624" s="4" t="s">
        <v>2250</v>
      </c>
      <c r="K624" s="4" t="s">
        <v>701</v>
      </c>
      <c r="L624" s="4">
        <v>2005</v>
      </c>
      <c r="M624" s="4" t="s">
        <v>27</v>
      </c>
      <c r="N624" s="4">
        <v>43</v>
      </c>
      <c r="O624" s="4">
        <v>43</v>
      </c>
      <c r="P624" s="4" t="s">
        <v>2234</v>
      </c>
      <c r="Q624" s="4">
        <v>43</v>
      </c>
      <c r="R624" s="4" t="s">
        <v>2235</v>
      </c>
    </row>
    <row r="625" spans="1:18" hidden="1" x14ac:dyDescent="0.35">
      <c r="A625" s="4" t="s">
        <v>1661</v>
      </c>
      <c r="B625" s="4" t="s">
        <v>4081</v>
      </c>
      <c r="C625" s="4" t="s">
        <v>2382</v>
      </c>
      <c r="D625" s="4" t="s">
        <v>2383</v>
      </c>
      <c r="E625" s="4" t="s">
        <v>3119</v>
      </c>
      <c r="F625" s="4" t="s">
        <v>33</v>
      </c>
      <c r="G625" s="4" t="s">
        <v>46</v>
      </c>
      <c r="H625" s="4" t="s">
        <v>2231</v>
      </c>
      <c r="I625" s="5">
        <v>90441</v>
      </c>
      <c r="J625" s="4" t="s">
        <v>2250</v>
      </c>
      <c r="K625" s="4" t="s">
        <v>701</v>
      </c>
      <c r="L625" s="4">
        <v>2005</v>
      </c>
      <c r="M625" s="4" t="s">
        <v>27</v>
      </c>
      <c r="N625" s="4">
        <v>43</v>
      </c>
      <c r="O625" s="4">
        <v>43</v>
      </c>
      <c r="P625" s="4" t="s">
        <v>2234</v>
      </c>
      <c r="Q625" s="4">
        <v>43</v>
      </c>
      <c r="R625" s="4" t="s">
        <v>2235</v>
      </c>
    </row>
    <row r="626" spans="1:18" hidden="1" x14ac:dyDescent="0.35">
      <c r="A626" s="4" t="s">
        <v>1656</v>
      </c>
      <c r="B626" s="4" t="s">
        <v>4081</v>
      </c>
      <c r="C626" s="4" t="s">
        <v>2382</v>
      </c>
      <c r="D626" s="4" t="s">
        <v>2383</v>
      </c>
      <c r="E626" s="4" t="s">
        <v>3119</v>
      </c>
      <c r="F626" s="4" t="s">
        <v>33</v>
      </c>
      <c r="G626" s="4" t="s">
        <v>46</v>
      </c>
      <c r="H626" s="4" t="s">
        <v>2231</v>
      </c>
      <c r="I626" s="5">
        <v>90441</v>
      </c>
      <c r="J626" s="4" t="s">
        <v>2250</v>
      </c>
      <c r="K626" s="4" t="s">
        <v>701</v>
      </c>
      <c r="L626" s="4">
        <v>2005</v>
      </c>
      <c r="M626" s="4" t="s">
        <v>27</v>
      </c>
      <c r="N626" s="4">
        <v>39.5</v>
      </c>
      <c r="O626" s="4">
        <v>39.5</v>
      </c>
      <c r="P626" s="4" t="s">
        <v>2234</v>
      </c>
      <c r="Q626" s="4">
        <v>39.5</v>
      </c>
      <c r="R626" s="4" t="s">
        <v>2235</v>
      </c>
    </row>
    <row r="627" spans="1:18" hidden="1" x14ac:dyDescent="0.35">
      <c r="A627" s="4" t="s">
        <v>1831</v>
      </c>
      <c r="B627" s="4" t="s">
        <v>4081</v>
      </c>
      <c r="C627" s="4" t="s">
        <v>1816</v>
      </c>
      <c r="D627" s="4" t="s">
        <v>3294</v>
      </c>
      <c r="E627" s="4">
        <v>1</v>
      </c>
      <c r="F627" s="4" t="s">
        <v>33</v>
      </c>
      <c r="G627" s="4" t="s">
        <v>46</v>
      </c>
      <c r="H627" s="4" t="s">
        <v>2231</v>
      </c>
      <c r="I627" s="5">
        <v>81371</v>
      </c>
      <c r="J627" s="4" t="s">
        <v>1824</v>
      </c>
      <c r="K627" s="4" t="s">
        <v>701</v>
      </c>
      <c r="L627" s="4">
        <v>1980</v>
      </c>
      <c r="M627" s="4" t="s">
        <v>27</v>
      </c>
      <c r="N627" s="4">
        <v>97.9</v>
      </c>
      <c r="O627" s="4">
        <v>97.9</v>
      </c>
      <c r="P627" s="4" t="s">
        <v>2234</v>
      </c>
      <c r="Q627" s="4">
        <v>97.9</v>
      </c>
      <c r="R627" s="4" t="s">
        <v>2235</v>
      </c>
    </row>
    <row r="628" spans="1:18" hidden="1" x14ac:dyDescent="0.35">
      <c r="A628" s="4" t="s">
        <v>1828</v>
      </c>
      <c r="B628" s="4" t="s">
        <v>4081</v>
      </c>
      <c r="C628" s="4" t="s">
        <v>1816</v>
      </c>
      <c r="D628" s="4" t="s">
        <v>3295</v>
      </c>
      <c r="E628" s="4">
        <v>1</v>
      </c>
      <c r="F628" s="4" t="s">
        <v>33</v>
      </c>
      <c r="G628" s="4" t="s">
        <v>46</v>
      </c>
      <c r="H628" s="4" t="s">
        <v>2231</v>
      </c>
      <c r="I628" s="5">
        <v>81371</v>
      </c>
      <c r="J628" s="4" t="s">
        <v>1824</v>
      </c>
      <c r="K628" s="4" t="s">
        <v>701</v>
      </c>
      <c r="L628" s="4">
        <v>1980</v>
      </c>
      <c r="M628" s="4" t="s">
        <v>27</v>
      </c>
      <c r="N628" s="4">
        <v>97.9</v>
      </c>
      <c r="O628" s="4">
        <v>97.9</v>
      </c>
      <c r="P628" s="4" t="s">
        <v>2234</v>
      </c>
      <c r="Q628" s="4">
        <v>97.9</v>
      </c>
      <c r="R628" s="4" t="s">
        <v>2235</v>
      </c>
    </row>
    <row r="629" spans="1:18" hidden="1" x14ac:dyDescent="0.35">
      <c r="A629" s="4" t="s">
        <v>1833</v>
      </c>
      <c r="B629" s="4" t="s">
        <v>4081</v>
      </c>
      <c r="C629" s="4" t="s">
        <v>1816</v>
      </c>
      <c r="D629" s="4" t="s">
        <v>3296</v>
      </c>
      <c r="E629" s="4">
        <v>2</v>
      </c>
      <c r="F629" s="4" t="s">
        <v>33</v>
      </c>
      <c r="G629" s="4" t="s">
        <v>46</v>
      </c>
      <c r="H629" s="4" t="s">
        <v>2231</v>
      </c>
      <c r="I629" s="5">
        <v>81371</v>
      </c>
      <c r="J629" s="4" t="s">
        <v>1824</v>
      </c>
      <c r="K629" s="4" t="s">
        <v>701</v>
      </c>
      <c r="L629" s="4">
        <v>2004</v>
      </c>
      <c r="M629" s="4" t="s">
        <v>27</v>
      </c>
      <c r="N629" s="4">
        <v>127.6</v>
      </c>
      <c r="O629" s="4">
        <v>127.6</v>
      </c>
      <c r="P629" s="4" t="s">
        <v>2234</v>
      </c>
      <c r="Q629" s="4">
        <v>127.6</v>
      </c>
      <c r="R629" s="4" t="s">
        <v>2235</v>
      </c>
    </row>
    <row r="630" spans="1:18" hidden="1" x14ac:dyDescent="0.35">
      <c r="A630" s="4" t="s">
        <v>1835</v>
      </c>
      <c r="B630" s="4" t="s">
        <v>4081</v>
      </c>
      <c r="C630" s="4" t="s">
        <v>1816</v>
      </c>
      <c r="D630" s="4" t="s">
        <v>3297</v>
      </c>
      <c r="E630" s="4">
        <v>2</v>
      </c>
      <c r="F630" s="4" t="s">
        <v>33</v>
      </c>
      <c r="G630" s="4" t="s">
        <v>46</v>
      </c>
      <c r="H630" s="4" t="s">
        <v>2231</v>
      </c>
      <c r="I630" s="5">
        <v>81371</v>
      </c>
      <c r="J630" s="4" t="s">
        <v>1824</v>
      </c>
      <c r="K630" s="4" t="s">
        <v>701</v>
      </c>
      <c r="L630" s="4">
        <v>2004</v>
      </c>
      <c r="M630" s="4" t="s">
        <v>27</v>
      </c>
      <c r="N630" s="4">
        <v>144.80000000000001</v>
      </c>
      <c r="O630" s="4">
        <v>144.80000000000001</v>
      </c>
      <c r="P630" s="4" t="s">
        <v>2234</v>
      </c>
      <c r="Q630" s="4">
        <v>144.80000000000001</v>
      </c>
      <c r="R630" s="4" t="s">
        <v>2235</v>
      </c>
    </row>
    <row r="631" spans="1:18" hidden="1" x14ac:dyDescent="0.35">
      <c r="A631" s="4" t="s">
        <v>1837</v>
      </c>
      <c r="B631" s="4" t="s">
        <v>4081</v>
      </c>
      <c r="C631" s="4" t="s">
        <v>1816</v>
      </c>
      <c r="D631" s="4" t="s">
        <v>3298</v>
      </c>
      <c r="E631" s="4">
        <v>2</v>
      </c>
      <c r="F631" s="4" t="s">
        <v>33</v>
      </c>
      <c r="G631" s="4" t="s">
        <v>46</v>
      </c>
      <c r="H631" s="4" t="s">
        <v>2231</v>
      </c>
      <c r="I631" s="5">
        <v>81371</v>
      </c>
      <c r="J631" s="4" t="s">
        <v>1824</v>
      </c>
      <c r="K631" s="4" t="s">
        <v>701</v>
      </c>
      <c r="L631" s="4">
        <v>2004</v>
      </c>
      <c r="M631" s="4" t="s">
        <v>27</v>
      </c>
      <c r="N631" s="4">
        <v>144.80000000000001</v>
      </c>
      <c r="O631" s="4">
        <v>144.80000000000001</v>
      </c>
      <c r="P631" s="4" t="s">
        <v>2234</v>
      </c>
      <c r="Q631" s="4">
        <v>144.80000000000001</v>
      </c>
      <c r="R631" s="4" t="s">
        <v>2235</v>
      </c>
    </row>
    <row r="632" spans="1:18" x14ac:dyDescent="0.35">
      <c r="A632" s="4" t="s">
        <v>1619</v>
      </c>
      <c r="B632" s="4" t="s">
        <v>4080</v>
      </c>
      <c r="C632" s="4" t="s">
        <v>1612</v>
      </c>
      <c r="D632" s="4" t="s">
        <v>3299</v>
      </c>
      <c r="E632" s="4" t="s">
        <v>383</v>
      </c>
      <c r="F632" s="4" t="s">
        <v>33</v>
      </c>
      <c r="G632" s="4" t="s">
        <v>46</v>
      </c>
      <c r="H632" s="4" t="s">
        <v>2231</v>
      </c>
      <c r="I632" s="5">
        <v>60528</v>
      </c>
      <c r="J632" s="4" t="s">
        <v>2356</v>
      </c>
      <c r="K632" s="4" t="s">
        <v>865</v>
      </c>
      <c r="L632" s="4">
        <v>2005</v>
      </c>
      <c r="M632" s="4" t="s">
        <v>27</v>
      </c>
      <c r="N632" s="4">
        <v>70</v>
      </c>
      <c r="O632" s="4">
        <v>70</v>
      </c>
      <c r="P632" s="4" t="s">
        <v>2234</v>
      </c>
      <c r="Q632" s="4">
        <v>70</v>
      </c>
      <c r="R632" s="4" t="s">
        <v>2235</v>
      </c>
    </row>
    <row r="633" spans="1:18" x14ac:dyDescent="0.35">
      <c r="A633" s="4" t="s">
        <v>3300</v>
      </c>
      <c r="B633" s="4" t="s">
        <v>4080</v>
      </c>
      <c r="C633" s="4" t="s">
        <v>2335</v>
      </c>
      <c r="D633" s="4" t="s">
        <v>1039</v>
      </c>
      <c r="E633" s="4" t="s">
        <v>3301</v>
      </c>
      <c r="F633" s="4" t="s">
        <v>33</v>
      </c>
      <c r="G633" s="4" t="s">
        <v>46</v>
      </c>
      <c r="H633" s="4" t="s">
        <v>2231</v>
      </c>
      <c r="I633" s="5">
        <v>27318</v>
      </c>
      <c r="J633" s="4" t="s">
        <v>2338</v>
      </c>
      <c r="K633" s="4" t="s">
        <v>765</v>
      </c>
      <c r="L633" s="4">
        <v>2014</v>
      </c>
      <c r="M633" s="4" t="s">
        <v>27</v>
      </c>
      <c r="N633" s="4">
        <v>6.5</v>
      </c>
      <c r="O633" s="4">
        <v>6.5</v>
      </c>
      <c r="P633" s="4" t="s">
        <v>2234</v>
      </c>
      <c r="Q633" s="4">
        <v>6.5</v>
      </c>
      <c r="R633" s="4" t="s">
        <v>2235</v>
      </c>
    </row>
    <row r="634" spans="1:18" hidden="1" x14ac:dyDescent="0.35">
      <c r="A634" s="4" t="s">
        <v>1182</v>
      </c>
      <c r="B634" s="4" t="s">
        <v>4081</v>
      </c>
      <c r="C634" s="4" t="s">
        <v>1183</v>
      </c>
      <c r="D634" s="4" t="s">
        <v>3302</v>
      </c>
      <c r="E634" s="4" t="s">
        <v>3302</v>
      </c>
      <c r="F634" s="4" t="s">
        <v>33</v>
      </c>
      <c r="G634" s="4" t="s">
        <v>46</v>
      </c>
      <c r="H634" s="4" t="s">
        <v>2231</v>
      </c>
      <c r="I634" s="5">
        <v>47249</v>
      </c>
      <c r="J634" s="4" t="s">
        <v>1185</v>
      </c>
      <c r="K634" s="4" t="s">
        <v>693</v>
      </c>
      <c r="L634" s="4">
        <v>2002</v>
      </c>
      <c r="M634" s="4" t="s">
        <v>27</v>
      </c>
      <c r="N634" s="4">
        <v>40</v>
      </c>
      <c r="O634" s="4">
        <v>40</v>
      </c>
      <c r="P634" s="4" t="s">
        <v>2234</v>
      </c>
      <c r="Q634" s="4">
        <v>40</v>
      </c>
      <c r="R634" s="4" t="s">
        <v>2235</v>
      </c>
    </row>
    <row r="635" spans="1:18" hidden="1" x14ac:dyDescent="0.35">
      <c r="A635" s="4" t="s">
        <v>3303</v>
      </c>
      <c r="B635" s="4" t="s">
        <v>4081</v>
      </c>
      <c r="C635" s="4" t="s">
        <v>3304</v>
      </c>
      <c r="D635" s="4" t="s">
        <v>3305</v>
      </c>
      <c r="E635" s="4" t="s">
        <v>3306</v>
      </c>
      <c r="F635" s="4" t="s">
        <v>33</v>
      </c>
      <c r="G635" s="4" t="s">
        <v>409</v>
      </c>
      <c r="H635" s="4" t="s">
        <v>2231</v>
      </c>
      <c r="I635" s="5">
        <v>47443</v>
      </c>
      <c r="J635" s="4" t="s">
        <v>958</v>
      </c>
      <c r="K635" s="4" t="s">
        <v>693</v>
      </c>
      <c r="L635" s="4">
        <v>1974</v>
      </c>
      <c r="M635" s="4" t="s">
        <v>27</v>
      </c>
      <c r="N635" s="4">
        <v>7.5</v>
      </c>
      <c r="O635" s="4">
        <v>7.5</v>
      </c>
      <c r="P635" s="4" t="s">
        <v>2234</v>
      </c>
      <c r="Q635" s="4">
        <v>7.5</v>
      </c>
      <c r="R635" s="4" t="s">
        <v>2235</v>
      </c>
    </row>
    <row r="636" spans="1:18" x14ac:dyDescent="0.35">
      <c r="A636" s="4" t="s">
        <v>1736</v>
      </c>
      <c r="B636" s="4" t="s">
        <v>4080</v>
      </c>
      <c r="C636" s="4" t="s">
        <v>1731</v>
      </c>
      <c r="D636" s="4" t="s">
        <v>2349</v>
      </c>
      <c r="E636" s="4" t="s">
        <v>3307</v>
      </c>
      <c r="F636" s="4" t="s">
        <v>33</v>
      </c>
      <c r="G636" s="4" t="s">
        <v>46</v>
      </c>
      <c r="H636" s="4" t="s">
        <v>2231</v>
      </c>
      <c r="I636" s="5">
        <v>33611</v>
      </c>
      <c r="J636" s="4" t="s">
        <v>1636</v>
      </c>
      <c r="K636" s="4" t="s">
        <v>693</v>
      </c>
      <c r="L636" s="4">
        <v>1966</v>
      </c>
      <c r="M636" s="4" t="s">
        <v>27</v>
      </c>
      <c r="N636" s="4">
        <v>28</v>
      </c>
      <c r="O636" s="4">
        <v>28</v>
      </c>
      <c r="P636" s="4" t="s">
        <v>2234</v>
      </c>
      <c r="Q636" s="4">
        <v>28</v>
      </c>
      <c r="R636" s="4" t="s">
        <v>2235</v>
      </c>
    </row>
    <row r="637" spans="1:18" x14ac:dyDescent="0.35">
      <c r="A637" s="4" t="s">
        <v>1730</v>
      </c>
      <c r="B637" s="4" t="s">
        <v>4080</v>
      </c>
      <c r="C637" s="4" t="s">
        <v>1731</v>
      </c>
      <c r="D637" s="4" t="s">
        <v>2349</v>
      </c>
      <c r="E637" s="4" t="s">
        <v>3308</v>
      </c>
      <c r="F637" s="4" t="s">
        <v>33</v>
      </c>
      <c r="G637" s="4" t="s">
        <v>46</v>
      </c>
      <c r="H637" s="4" t="s">
        <v>2231</v>
      </c>
      <c r="I637" s="5">
        <v>33611</v>
      </c>
      <c r="J637" s="4" t="s">
        <v>1636</v>
      </c>
      <c r="K637" s="4" t="s">
        <v>693</v>
      </c>
      <c r="L637" s="4">
        <v>1966</v>
      </c>
      <c r="M637" s="4" t="s">
        <v>27</v>
      </c>
      <c r="N637" s="4">
        <v>20</v>
      </c>
      <c r="O637" s="4">
        <v>20</v>
      </c>
      <c r="P637" s="4" t="s">
        <v>2234</v>
      </c>
      <c r="Q637" s="4">
        <v>20</v>
      </c>
      <c r="R637" s="4" t="s">
        <v>2235</v>
      </c>
    </row>
    <row r="638" spans="1:18" hidden="1" x14ac:dyDescent="0.35">
      <c r="A638" s="4" t="s">
        <v>3309</v>
      </c>
      <c r="B638" s="4" t="s">
        <v>4081</v>
      </c>
      <c r="C638" s="4" t="s">
        <v>3310</v>
      </c>
      <c r="D638" s="4" t="s">
        <v>724</v>
      </c>
      <c r="E638" s="4" t="s">
        <v>2227</v>
      </c>
      <c r="F638" s="4" t="s">
        <v>173</v>
      </c>
      <c r="G638" s="4" t="s">
        <v>409</v>
      </c>
      <c r="H638" s="4" t="s">
        <v>2231</v>
      </c>
      <c r="I638" s="5">
        <v>97076</v>
      </c>
      <c r="J638" s="4" t="s">
        <v>2303</v>
      </c>
      <c r="K638" s="4" t="s">
        <v>701</v>
      </c>
      <c r="L638" s="4">
        <v>1984</v>
      </c>
      <c r="M638" s="4" t="s">
        <v>27</v>
      </c>
      <c r="N638" s="4">
        <v>8.6999999999999993</v>
      </c>
      <c r="O638" s="4">
        <v>8.6999999999999993</v>
      </c>
      <c r="P638" s="4" t="s">
        <v>173</v>
      </c>
      <c r="Q638" s="4">
        <v>8.6999999999999993</v>
      </c>
      <c r="R638" s="4" t="s">
        <v>173</v>
      </c>
    </row>
    <row r="639" spans="1:18" hidden="1" x14ac:dyDescent="0.35">
      <c r="A639" s="4" t="s">
        <v>1902</v>
      </c>
      <c r="B639" s="4" t="s">
        <v>4081</v>
      </c>
      <c r="C639" s="4" t="s">
        <v>3310</v>
      </c>
      <c r="D639" s="4" t="s">
        <v>720</v>
      </c>
      <c r="E639" s="4" t="s">
        <v>2227</v>
      </c>
      <c r="F639" s="4" t="s">
        <v>173</v>
      </c>
      <c r="G639" s="4" t="s">
        <v>409</v>
      </c>
      <c r="H639" s="4" t="s">
        <v>2231</v>
      </c>
      <c r="I639" s="5">
        <v>97076</v>
      </c>
      <c r="J639" s="4" t="s">
        <v>2303</v>
      </c>
      <c r="K639" s="4" t="s">
        <v>701</v>
      </c>
      <c r="L639" s="4">
        <v>1998</v>
      </c>
      <c r="M639" s="4" t="s">
        <v>27</v>
      </c>
      <c r="N639" s="4">
        <v>12</v>
      </c>
      <c r="O639" s="4">
        <v>12</v>
      </c>
      <c r="P639" s="4" t="s">
        <v>173</v>
      </c>
      <c r="Q639" s="4">
        <v>12</v>
      </c>
      <c r="R639" s="4" t="s">
        <v>173</v>
      </c>
    </row>
    <row r="640" spans="1:18" hidden="1" x14ac:dyDescent="0.35">
      <c r="A640" s="4" t="s">
        <v>2121</v>
      </c>
      <c r="B640" s="4" t="s">
        <v>4081</v>
      </c>
      <c r="C640" s="4" t="s">
        <v>2732</v>
      </c>
      <c r="D640" s="4" t="s">
        <v>3311</v>
      </c>
      <c r="E640" s="4" t="s">
        <v>3312</v>
      </c>
      <c r="F640" s="4" t="s">
        <v>33</v>
      </c>
      <c r="G640" s="4" t="s">
        <v>409</v>
      </c>
      <c r="H640" s="4" t="s">
        <v>2231</v>
      </c>
      <c r="I640" s="5">
        <v>71059</v>
      </c>
      <c r="J640" s="4" t="s">
        <v>2117</v>
      </c>
      <c r="K640" s="4" t="s">
        <v>2232</v>
      </c>
      <c r="L640" s="4">
        <v>1971</v>
      </c>
      <c r="M640" s="4" t="s">
        <v>27</v>
      </c>
      <c r="N640" s="4">
        <v>27.9</v>
      </c>
      <c r="O640" s="4">
        <v>27.9</v>
      </c>
      <c r="P640" s="4" t="s">
        <v>2234</v>
      </c>
      <c r="Q640" s="4">
        <v>27.9</v>
      </c>
      <c r="R640" s="4" t="s">
        <v>2235</v>
      </c>
    </row>
    <row r="641" spans="1:18" x14ac:dyDescent="0.35">
      <c r="A641" s="4" t="s">
        <v>3313</v>
      </c>
      <c r="B641" s="4" t="s">
        <v>4080</v>
      </c>
      <c r="C641" s="4" t="s">
        <v>1711</v>
      </c>
      <c r="D641" s="4" t="s">
        <v>3314</v>
      </c>
      <c r="E641" s="4" t="s">
        <v>3315</v>
      </c>
      <c r="F641" s="4" t="s">
        <v>33</v>
      </c>
      <c r="G641" s="4" t="s">
        <v>36</v>
      </c>
      <c r="H641" s="4" t="s">
        <v>2231</v>
      </c>
      <c r="I641" s="5">
        <v>36039</v>
      </c>
      <c r="J641" s="4" t="s">
        <v>1713</v>
      </c>
      <c r="K641" s="4" t="s">
        <v>865</v>
      </c>
      <c r="L641" s="4">
        <v>2012</v>
      </c>
      <c r="M641" s="4" t="s">
        <v>27</v>
      </c>
      <c r="N641" s="4">
        <v>7.48</v>
      </c>
      <c r="O641" s="4">
        <v>7.48</v>
      </c>
      <c r="P641" s="4" t="s">
        <v>2234</v>
      </c>
      <c r="Q641" s="4">
        <v>7.48</v>
      </c>
      <c r="R641" s="4" t="s">
        <v>2235</v>
      </c>
    </row>
    <row r="642" spans="1:18" hidden="1" x14ac:dyDescent="0.35">
      <c r="A642" s="4" t="s">
        <v>955</v>
      </c>
      <c r="B642" s="4" t="s">
        <v>4081</v>
      </c>
      <c r="C642" s="4" t="s">
        <v>3304</v>
      </c>
      <c r="D642" s="4" t="s">
        <v>3305</v>
      </c>
      <c r="E642" s="4" t="s">
        <v>957</v>
      </c>
      <c r="F642" s="4" t="s">
        <v>33</v>
      </c>
      <c r="G642" s="4" t="s">
        <v>409</v>
      </c>
      <c r="H642" s="4" t="s">
        <v>2231</v>
      </c>
      <c r="I642" s="5">
        <v>47443</v>
      </c>
      <c r="J642" s="4" t="s">
        <v>958</v>
      </c>
      <c r="K642" s="4" t="s">
        <v>693</v>
      </c>
      <c r="L642" s="4">
        <v>1995</v>
      </c>
      <c r="M642" s="4" t="s">
        <v>27</v>
      </c>
      <c r="N642" s="4">
        <v>12</v>
      </c>
      <c r="O642" s="4">
        <v>12</v>
      </c>
      <c r="P642" s="4" t="s">
        <v>2234</v>
      </c>
      <c r="Q642" s="4">
        <v>12</v>
      </c>
      <c r="R642" s="4" t="s">
        <v>2235</v>
      </c>
    </row>
    <row r="643" spans="1:18" hidden="1" x14ac:dyDescent="0.35">
      <c r="A643" s="4" t="s">
        <v>1023</v>
      </c>
      <c r="B643" s="4" t="s">
        <v>4081</v>
      </c>
      <c r="C643" s="4" t="s">
        <v>3316</v>
      </c>
      <c r="D643" s="4" t="s">
        <v>3317</v>
      </c>
      <c r="E643" s="4" t="s">
        <v>2447</v>
      </c>
      <c r="F643" s="4" t="s">
        <v>173</v>
      </c>
      <c r="G643" s="4" t="s">
        <v>409</v>
      </c>
      <c r="H643" s="4" t="s">
        <v>2231</v>
      </c>
      <c r="I643" s="5">
        <v>47475</v>
      </c>
      <c r="J643" s="4" t="s">
        <v>1025</v>
      </c>
      <c r="K643" s="4" t="s">
        <v>693</v>
      </c>
      <c r="L643" s="4">
        <v>1997</v>
      </c>
      <c r="M643" s="4" t="s">
        <v>27</v>
      </c>
      <c r="N643" s="4">
        <v>16</v>
      </c>
      <c r="O643" s="4">
        <v>16</v>
      </c>
      <c r="P643" s="4" t="s">
        <v>173</v>
      </c>
      <c r="Q643" s="4">
        <v>16</v>
      </c>
      <c r="R643" s="4" t="s">
        <v>173</v>
      </c>
    </row>
    <row r="644" spans="1:18" hidden="1" x14ac:dyDescent="0.35">
      <c r="A644" s="4" t="s">
        <v>1168</v>
      </c>
      <c r="B644" s="4" t="s">
        <v>4081</v>
      </c>
      <c r="C644" s="4" t="s">
        <v>2822</v>
      </c>
      <c r="D644" s="4" t="s">
        <v>3318</v>
      </c>
      <c r="E644" s="4" t="s">
        <v>3319</v>
      </c>
      <c r="F644" s="4" t="s">
        <v>33</v>
      </c>
      <c r="G644" s="4" t="s">
        <v>46</v>
      </c>
      <c r="H644" s="4" t="s">
        <v>2231</v>
      </c>
      <c r="I644" s="5">
        <v>47495</v>
      </c>
      <c r="J644" s="4" t="s">
        <v>1160</v>
      </c>
      <c r="K644" s="4" t="s">
        <v>693</v>
      </c>
      <c r="L644" s="4">
        <v>1996</v>
      </c>
      <c r="M644" s="4" t="s">
        <v>27</v>
      </c>
      <c r="N644" s="4">
        <v>54</v>
      </c>
      <c r="O644" s="4">
        <v>54</v>
      </c>
      <c r="P644" s="4" t="s">
        <v>2234</v>
      </c>
      <c r="Q644" s="4">
        <v>54</v>
      </c>
      <c r="R644" s="4" t="s">
        <v>2235</v>
      </c>
    </row>
    <row r="645" spans="1:18" hidden="1" x14ac:dyDescent="0.35">
      <c r="A645" s="4" t="s">
        <v>1158</v>
      </c>
      <c r="B645" s="4" t="s">
        <v>4081</v>
      </c>
      <c r="C645" s="4" t="s">
        <v>2822</v>
      </c>
      <c r="D645" s="4" t="s">
        <v>3318</v>
      </c>
      <c r="E645" s="4" t="s">
        <v>3320</v>
      </c>
      <c r="F645" s="4" t="s">
        <v>33</v>
      </c>
      <c r="G645" s="4" t="s">
        <v>46</v>
      </c>
      <c r="H645" s="4" t="s">
        <v>2231</v>
      </c>
      <c r="I645" s="5">
        <v>47495</v>
      </c>
      <c r="J645" s="4" t="s">
        <v>1160</v>
      </c>
      <c r="K645" s="4" t="s">
        <v>693</v>
      </c>
      <c r="L645" s="4">
        <v>1989</v>
      </c>
      <c r="M645" s="4" t="s">
        <v>27</v>
      </c>
      <c r="N645" s="4">
        <v>12.8</v>
      </c>
      <c r="O645" s="4">
        <v>12.8</v>
      </c>
      <c r="P645" s="4" t="s">
        <v>2234</v>
      </c>
      <c r="Q645" s="4">
        <v>12.8</v>
      </c>
      <c r="R645" s="4" t="s">
        <v>2235</v>
      </c>
    </row>
    <row r="646" spans="1:18" hidden="1" x14ac:dyDescent="0.35">
      <c r="A646" s="4" t="s">
        <v>1162</v>
      </c>
      <c r="B646" s="4" t="s">
        <v>4081</v>
      </c>
      <c r="C646" s="4" t="s">
        <v>2822</v>
      </c>
      <c r="D646" s="4" t="s">
        <v>3318</v>
      </c>
      <c r="E646" s="4" t="s">
        <v>3321</v>
      </c>
      <c r="F646" s="4" t="s">
        <v>71</v>
      </c>
      <c r="G646" s="4" t="s">
        <v>46</v>
      </c>
      <c r="H646" s="4" t="s">
        <v>2231</v>
      </c>
      <c r="I646" s="5">
        <v>47495</v>
      </c>
      <c r="J646" s="4" t="s">
        <v>1160</v>
      </c>
      <c r="K646" s="4" t="s">
        <v>693</v>
      </c>
      <c r="L646" s="4">
        <v>2021</v>
      </c>
      <c r="M646" s="4" t="s">
        <v>27</v>
      </c>
      <c r="N646" s="4">
        <v>15.94</v>
      </c>
      <c r="O646" s="4">
        <v>15.94</v>
      </c>
      <c r="P646" s="4" t="s">
        <v>71</v>
      </c>
      <c r="Q646" s="4">
        <v>15.94</v>
      </c>
      <c r="R646" s="4" t="s">
        <v>71</v>
      </c>
    </row>
    <row r="647" spans="1:18" hidden="1" x14ac:dyDescent="0.35">
      <c r="A647" s="4" t="s">
        <v>1164</v>
      </c>
      <c r="B647" s="4" t="s">
        <v>4081</v>
      </c>
      <c r="C647" s="4" t="s">
        <v>2822</v>
      </c>
      <c r="D647" s="4" t="s">
        <v>3318</v>
      </c>
      <c r="E647" s="4" t="s">
        <v>3322</v>
      </c>
      <c r="F647" s="4" t="s">
        <v>33</v>
      </c>
      <c r="G647" s="4" t="s">
        <v>46</v>
      </c>
      <c r="H647" s="4" t="s">
        <v>2231</v>
      </c>
      <c r="I647" s="5">
        <v>47495</v>
      </c>
      <c r="J647" s="4" t="s">
        <v>1160</v>
      </c>
      <c r="K647" s="4" t="s">
        <v>693</v>
      </c>
      <c r="L647" s="4">
        <v>1976</v>
      </c>
      <c r="M647" s="4" t="s">
        <v>27</v>
      </c>
      <c r="N647" s="4">
        <v>27.2</v>
      </c>
      <c r="O647" s="4">
        <v>27.2</v>
      </c>
      <c r="P647" s="4" t="s">
        <v>2234</v>
      </c>
      <c r="Q647" s="4">
        <v>27.2</v>
      </c>
      <c r="R647" s="4" t="s">
        <v>2235</v>
      </c>
    </row>
    <row r="648" spans="1:18" hidden="1" x14ac:dyDescent="0.35">
      <c r="A648" s="4" t="s">
        <v>1166</v>
      </c>
      <c r="B648" s="4" t="s">
        <v>4081</v>
      </c>
      <c r="C648" s="4" t="s">
        <v>2822</v>
      </c>
      <c r="D648" s="4" t="s">
        <v>3318</v>
      </c>
      <c r="E648" s="4" t="s">
        <v>3323</v>
      </c>
      <c r="F648" s="4" t="s">
        <v>33</v>
      </c>
      <c r="G648" s="4" t="s">
        <v>46</v>
      </c>
      <c r="H648" s="4" t="s">
        <v>2231</v>
      </c>
      <c r="I648" s="5">
        <v>47495</v>
      </c>
      <c r="J648" s="4" t="s">
        <v>1160</v>
      </c>
      <c r="K648" s="4" t="s">
        <v>693</v>
      </c>
      <c r="L648" s="4">
        <v>1983</v>
      </c>
      <c r="M648" s="4" t="s">
        <v>27</v>
      </c>
      <c r="N648" s="4">
        <v>27.2</v>
      </c>
      <c r="O648" s="4">
        <v>27.2</v>
      </c>
      <c r="P648" s="4" t="s">
        <v>2234</v>
      </c>
      <c r="Q648" s="4">
        <v>27.2</v>
      </c>
      <c r="R648" s="4" t="s">
        <v>2235</v>
      </c>
    </row>
    <row r="649" spans="1:18" hidden="1" x14ac:dyDescent="0.35">
      <c r="A649" s="4" t="s">
        <v>3324</v>
      </c>
      <c r="B649" s="4" t="s">
        <v>4081</v>
      </c>
      <c r="C649" s="4" t="s">
        <v>3325</v>
      </c>
      <c r="D649" s="4" t="s">
        <v>3326</v>
      </c>
      <c r="E649" s="4" t="s">
        <v>1672</v>
      </c>
      <c r="F649" s="4" t="s">
        <v>33</v>
      </c>
      <c r="G649" s="4" t="s">
        <v>409</v>
      </c>
      <c r="H649" s="4" t="s">
        <v>2231</v>
      </c>
      <c r="I649" s="5">
        <v>47546</v>
      </c>
      <c r="J649" s="4" t="s">
        <v>3327</v>
      </c>
      <c r="K649" s="4" t="s">
        <v>693</v>
      </c>
      <c r="L649" s="4">
        <v>2004</v>
      </c>
      <c r="M649" s="4" t="s">
        <v>27</v>
      </c>
      <c r="N649" s="4">
        <v>5.72</v>
      </c>
      <c r="O649" s="4">
        <v>5.72</v>
      </c>
      <c r="P649" s="4" t="s">
        <v>2234</v>
      </c>
      <c r="Q649" s="4">
        <v>5.72</v>
      </c>
      <c r="R649" s="4" t="s">
        <v>2235</v>
      </c>
    </row>
    <row r="650" spans="1:18" hidden="1" x14ac:dyDescent="0.35">
      <c r="A650" s="4" t="s">
        <v>3328</v>
      </c>
      <c r="B650" s="4" t="s">
        <v>4081</v>
      </c>
      <c r="C650" s="4" t="s">
        <v>3325</v>
      </c>
      <c r="D650" s="4" t="s">
        <v>3326</v>
      </c>
      <c r="E650" s="4" t="s">
        <v>1094</v>
      </c>
      <c r="F650" s="4" t="s">
        <v>33</v>
      </c>
      <c r="G650" s="4" t="s">
        <v>409</v>
      </c>
      <c r="H650" s="4" t="s">
        <v>2231</v>
      </c>
      <c r="I650" s="5">
        <v>47546</v>
      </c>
      <c r="J650" s="4" t="s">
        <v>3327</v>
      </c>
      <c r="K650" s="4" t="s">
        <v>693</v>
      </c>
      <c r="L650" s="4">
        <v>2004</v>
      </c>
      <c r="M650" s="4" t="s">
        <v>27</v>
      </c>
      <c r="N650" s="4">
        <v>5.72</v>
      </c>
      <c r="O650" s="4">
        <v>5.72</v>
      </c>
      <c r="P650" s="4" t="s">
        <v>2234</v>
      </c>
      <c r="Q650" s="4">
        <v>5.72</v>
      </c>
      <c r="R650" s="4" t="s">
        <v>2235</v>
      </c>
    </row>
    <row r="651" spans="1:18" hidden="1" x14ac:dyDescent="0.35">
      <c r="A651" s="4" t="s">
        <v>3329</v>
      </c>
      <c r="B651" s="4" t="s">
        <v>4081</v>
      </c>
      <c r="C651" s="4" t="s">
        <v>3330</v>
      </c>
      <c r="D651" s="4" t="s">
        <v>3331</v>
      </c>
      <c r="E651" s="4">
        <v>1</v>
      </c>
      <c r="F651" s="4" t="s">
        <v>33</v>
      </c>
      <c r="G651" s="4" t="s">
        <v>409</v>
      </c>
      <c r="H651" s="4" t="s">
        <v>2231</v>
      </c>
      <c r="I651" s="5">
        <v>47804</v>
      </c>
      <c r="J651" s="4" t="s">
        <v>778</v>
      </c>
      <c r="K651" s="4" t="s">
        <v>693</v>
      </c>
      <c r="L651" s="4">
        <v>2013</v>
      </c>
      <c r="M651" s="4" t="s">
        <v>27</v>
      </c>
      <c r="N651" s="4">
        <v>4.24</v>
      </c>
      <c r="O651" s="4">
        <v>4.24</v>
      </c>
      <c r="P651" s="4" t="s">
        <v>2234</v>
      </c>
      <c r="Q651" s="4">
        <v>4.24</v>
      </c>
      <c r="R651" s="4" t="s">
        <v>2235</v>
      </c>
    </row>
    <row r="652" spans="1:18" hidden="1" x14ac:dyDescent="0.35">
      <c r="A652" s="4" t="s">
        <v>3332</v>
      </c>
      <c r="B652" s="4" t="s">
        <v>4081</v>
      </c>
      <c r="C652" s="4" t="s">
        <v>3330</v>
      </c>
      <c r="D652" s="4" t="s">
        <v>3331</v>
      </c>
      <c r="E652" s="4">
        <v>2</v>
      </c>
      <c r="F652" s="4" t="s">
        <v>33</v>
      </c>
      <c r="G652" s="4" t="s">
        <v>409</v>
      </c>
      <c r="H652" s="4" t="s">
        <v>2231</v>
      </c>
      <c r="I652" s="5">
        <v>47804</v>
      </c>
      <c r="J652" s="4" t="s">
        <v>778</v>
      </c>
      <c r="K652" s="4" t="s">
        <v>693</v>
      </c>
      <c r="L652" s="4">
        <v>2013</v>
      </c>
      <c r="M652" s="4" t="s">
        <v>27</v>
      </c>
      <c r="N652" s="4">
        <v>4.24</v>
      </c>
      <c r="O652" s="4">
        <v>4.24</v>
      </c>
      <c r="P652" s="4" t="s">
        <v>2234</v>
      </c>
      <c r="Q652" s="4">
        <v>4.24</v>
      </c>
      <c r="R652" s="4" t="s">
        <v>2235</v>
      </c>
    </row>
    <row r="653" spans="1:18" hidden="1" x14ac:dyDescent="0.35">
      <c r="A653" s="4" t="s">
        <v>3333</v>
      </c>
      <c r="B653" s="4" t="s">
        <v>4081</v>
      </c>
      <c r="C653" s="4" t="s">
        <v>3330</v>
      </c>
      <c r="D653" s="4" t="s">
        <v>3331</v>
      </c>
      <c r="E653" s="4">
        <v>3</v>
      </c>
      <c r="F653" s="4" t="s">
        <v>33</v>
      </c>
      <c r="G653" s="4" t="s">
        <v>409</v>
      </c>
      <c r="H653" s="4" t="s">
        <v>2231</v>
      </c>
      <c r="I653" s="5">
        <v>47804</v>
      </c>
      <c r="J653" s="4" t="s">
        <v>778</v>
      </c>
      <c r="K653" s="4" t="s">
        <v>693</v>
      </c>
      <c r="L653" s="4">
        <v>2013</v>
      </c>
      <c r="M653" s="4" t="s">
        <v>27</v>
      </c>
      <c r="N653" s="4">
        <v>4.24</v>
      </c>
      <c r="O653" s="4">
        <v>4.24</v>
      </c>
      <c r="P653" s="4" t="s">
        <v>2234</v>
      </c>
      <c r="Q653" s="4">
        <v>4.24</v>
      </c>
      <c r="R653" s="4" t="s">
        <v>2235</v>
      </c>
    </row>
    <row r="654" spans="1:18" hidden="1" x14ac:dyDescent="0.35">
      <c r="A654" s="4" t="s">
        <v>776</v>
      </c>
      <c r="B654" s="4" t="s">
        <v>4081</v>
      </c>
      <c r="C654" s="4" t="s">
        <v>115</v>
      </c>
      <c r="D654" s="4" t="s">
        <v>3334</v>
      </c>
      <c r="E654" s="4" t="s">
        <v>3335</v>
      </c>
      <c r="F654" s="4" t="s">
        <v>33</v>
      </c>
      <c r="G654" s="4" t="s">
        <v>46</v>
      </c>
      <c r="H654" s="4" t="s">
        <v>2231</v>
      </c>
      <c r="I654" s="5">
        <v>47809</v>
      </c>
      <c r="J654" s="4" t="s">
        <v>778</v>
      </c>
      <c r="K654" s="4" t="s">
        <v>693</v>
      </c>
      <c r="L654" s="4">
        <v>1995</v>
      </c>
      <c r="M654" s="4" t="s">
        <v>27</v>
      </c>
      <c r="N654" s="4">
        <v>14</v>
      </c>
      <c r="O654" s="4">
        <v>14</v>
      </c>
      <c r="P654" s="4" t="s">
        <v>2234</v>
      </c>
      <c r="Q654" s="4">
        <v>14</v>
      </c>
      <c r="R654" s="4" t="s">
        <v>2235</v>
      </c>
    </row>
    <row r="655" spans="1:18" hidden="1" x14ac:dyDescent="0.35">
      <c r="A655" s="4" t="s">
        <v>780</v>
      </c>
      <c r="B655" s="4" t="s">
        <v>4081</v>
      </c>
      <c r="C655" s="4" t="s">
        <v>115</v>
      </c>
      <c r="D655" s="4" t="s">
        <v>3336</v>
      </c>
      <c r="E655" s="4" t="s">
        <v>409</v>
      </c>
      <c r="F655" s="4" t="s">
        <v>33</v>
      </c>
      <c r="G655" s="4" t="s">
        <v>46</v>
      </c>
      <c r="H655" s="4" t="s">
        <v>2231</v>
      </c>
      <c r="I655" s="5">
        <v>47809</v>
      </c>
      <c r="J655" s="4" t="s">
        <v>778</v>
      </c>
      <c r="K655" s="4" t="s">
        <v>693</v>
      </c>
      <c r="L655" s="4">
        <v>2005</v>
      </c>
      <c r="M655" s="4" t="s">
        <v>27</v>
      </c>
      <c r="N655" s="4">
        <v>25.8</v>
      </c>
      <c r="O655" s="4">
        <v>25.8</v>
      </c>
      <c r="P655" s="4" t="s">
        <v>2234</v>
      </c>
      <c r="Q655" s="4">
        <v>25.8</v>
      </c>
      <c r="R655" s="4" t="s">
        <v>2235</v>
      </c>
    </row>
    <row r="656" spans="1:18" hidden="1" x14ac:dyDescent="0.35">
      <c r="A656" s="4" t="s">
        <v>789</v>
      </c>
      <c r="B656" s="4" t="s">
        <v>4081</v>
      </c>
      <c r="C656" s="4" t="s">
        <v>784</v>
      </c>
      <c r="D656" s="4" t="s">
        <v>3337</v>
      </c>
      <c r="E656" s="4" t="s">
        <v>3338</v>
      </c>
      <c r="F656" s="4" t="s">
        <v>33</v>
      </c>
      <c r="G656" s="4" t="s">
        <v>409</v>
      </c>
      <c r="H656" s="4" t="s">
        <v>2231</v>
      </c>
      <c r="I656" s="5">
        <v>47812</v>
      </c>
      <c r="J656" s="4" t="s">
        <v>3339</v>
      </c>
      <c r="K656" s="4" t="s">
        <v>693</v>
      </c>
      <c r="L656" s="4">
        <v>1967</v>
      </c>
      <c r="M656" s="4" t="s">
        <v>27</v>
      </c>
      <c r="N656" s="4">
        <v>13.3</v>
      </c>
      <c r="O656" s="4">
        <v>13.3</v>
      </c>
      <c r="P656" s="4" t="s">
        <v>2234</v>
      </c>
      <c r="Q656" s="4">
        <v>13.3</v>
      </c>
      <c r="R656" s="4" t="s">
        <v>2235</v>
      </c>
    </row>
    <row r="657" spans="1:18" hidden="1" x14ac:dyDescent="0.35">
      <c r="A657" s="4" t="s">
        <v>806</v>
      </c>
      <c r="B657" s="4" t="s">
        <v>4081</v>
      </c>
      <c r="C657" s="4" t="s">
        <v>784</v>
      </c>
      <c r="D657" s="4" t="s">
        <v>3337</v>
      </c>
      <c r="E657" s="4" t="s">
        <v>3340</v>
      </c>
      <c r="F657" s="4" t="s">
        <v>33</v>
      </c>
      <c r="G657" s="4" t="s">
        <v>409</v>
      </c>
      <c r="H657" s="4" t="s">
        <v>2231</v>
      </c>
      <c r="I657" s="5">
        <v>47812</v>
      </c>
      <c r="J657" s="4" t="s">
        <v>3339</v>
      </c>
      <c r="K657" s="4" t="s">
        <v>693</v>
      </c>
      <c r="L657" s="4">
        <v>1971</v>
      </c>
      <c r="M657" s="4" t="s">
        <v>27</v>
      </c>
      <c r="N657" s="4">
        <v>32.200000000000003</v>
      </c>
      <c r="O657" s="4">
        <v>32.200000000000003</v>
      </c>
      <c r="P657" s="4" t="s">
        <v>2234</v>
      </c>
      <c r="Q657" s="4">
        <v>32.200000000000003</v>
      </c>
      <c r="R657" s="4" t="s">
        <v>2235</v>
      </c>
    </row>
    <row r="658" spans="1:18" hidden="1" x14ac:dyDescent="0.35">
      <c r="A658" s="4" t="s">
        <v>804</v>
      </c>
      <c r="B658" s="4" t="s">
        <v>4081</v>
      </c>
      <c r="C658" s="4" t="s">
        <v>784</v>
      </c>
      <c r="D658" s="4" t="s">
        <v>3337</v>
      </c>
      <c r="E658" s="4" t="s">
        <v>3341</v>
      </c>
      <c r="F658" s="4" t="s">
        <v>33</v>
      </c>
      <c r="G658" s="4" t="s">
        <v>409</v>
      </c>
      <c r="H658" s="4" t="s">
        <v>2231</v>
      </c>
      <c r="I658" s="5">
        <v>47812</v>
      </c>
      <c r="J658" s="4" t="s">
        <v>3339</v>
      </c>
      <c r="K658" s="4" t="s">
        <v>693</v>
      </c>
      <c r="L658" s="4">
        <v>1971</v>
      </c>
      <c r="M658" s="4" t="s">
        <v>27</v>
      </c>
      <c r="N658" s="4">
        <v>29</v>
      </c>
      <c r="O658" s="4">
        <v>29</v>
      </c>
      <c r="P658" s="4" t="s">
        <v>2234</v>
      </c>
      <c r="Q658" s="4">
        <v>29</v>
      </c>
      <c r="R658" s="4" t="s">
        <v>2235</v>
      </c>
    </row>
    <row r="659" spans="1:18" hidden="1" x14ac:dyDescent="0.35">
      <c r="A659" s="4" t="s">
        <v>3342</v>
      </c>
      <c r="B659" s="4" t="s">
        <v>4081</v>
      </c>
      <c r="C659" s="4" t="s">
        <v>3343</v>
      </c>
      <c r="D659" s="4" t="s">
        <v>3344</v>
      </c>
      <c r="E659" s="4" t="s">
        <v>715</v>
      </c>
      <c r="F659" s="4" t="s">
        <v>173</v>
      </c>
      <c r="G659" s="4" t="s">
        <v>409</v>
      </c>
      <c r="H659" s="4" t="s">
        <v>2231</v>
      </c>
      <c r="I659" s="5">
        <v>47829</v>
      </c>
      <c r="J659" s="4" t="s">
        <v>778</v>
      </c>
      <c r="K659" s="4" t="s">
        <v>693</v>
      </c>
      <c r="L659" s="4">
        <v>1982</v>
      </c>
      <c r="M659" s="4" t="s">
        <v>27</v>
      </c>
      <c r="N659" s="4">
        <v>8</v>
      </c>
      <c r="O659" s="4">
        <v>8</v>
      </c>
      <c r="P659" s="4" t="s">
        <v>173</v>
      </c>
      <c r="Q659" s="4">
        <v>8</v>
      </c>
      <c r="R659" s="4" t="s">
        <v>173</v>
      </c>
    </row>
    <row r="660" spans="1:18" hidden="1" x14ac:dyDescent="0.35">
      <c r="A660" s="4" t="s">
        <v>3345</v>
      </c>
      <c r="B660" s="4" t="s">
        <v>4081</v>
      </c>
      <c r="C660" s="4" t="s">
        <v>3343</v>
      </c>
      <c r="D660" s="4" t="s">
        <v>3344</v>
      </c>
      <c r="E660" s="4" t="s">
        <v>1591</v>
      </c>
      <c r="F660" s="4" t="s">
        <v>173</v>
      </c>
      <c r="G660" s="4" t="s">
        <v>409</v>
      </c>
      <c r="H660" s="4" t="s">
        <v>2231</v>
      </c>
      <c r="I660" s="5">
        <v>47829</v>
      </c>
      <c r="J660" s="4" t="s">
        <v>778</v>
      </c>
      <c r="K660" s="4" t="s">
        <v>693</v>
      </c>
      <c r="L660" s="4">
        <v>2001</v>
      </c>
      <c r="M660" s="4" t="s">
        <v>27</v>
      </c>
      <c r="N660" s="4">
        <v>9.1999999999999993</v>
      </c>
      <c r="O660" s="4">
        <v>9.1999999999999993</v>
      </c>
      <c r="P660" s="4" t="s">
        <v>173</v>
      </c>
      <c r="Q660" s="4">
        <v>9.1999999999999993</v>
      </c>
      <c r="R660" s="4" t="s">
        <v>173</v>
      </c>
    </row>
    <row r="661" spans="1:18" hidden="1" x14ac:dyDescent="0.35">
      <c r="A661" s="4" t="s">
        <v>3346</v>
      </c>
      <c r="B661" s="4" t="s">
        <v>4081</v>
      </c>
      <c r="C661" s="4" t="s">
        <v>3343</v>
      </c>
      <c r="D661" s="4" t="s">
        <v>3344</v>
      </c>
      <c r="E661" s="4" t="s">
        <v>1510</v>
      </c>
      <c r="F661" s="4" t="s">
        <v>173</v>
      </c>
      <c r="G661" s="4" t="s">
        <v>409</v>
      </c>
      <c r="H661" s="4" t="s">
        <v>2231</v>
      </c>
      <c r="I661" s="5">
        <v>47829</v>
      </c>
      <c r="J661" s="4" t="s">
        <v>778</v>
      </c>
      <c r="K661" s="4" t="s">
        <v>693</v>
      </c>
      <c r="L661" s="4">
        <v>1976</v>
      </c>
      <c r="M661" s="4" t="s">
        <v>27</v>
      </c>
      <c r="N661" s="4">
        <v>0.9</v>
      </c>
      <c r="O661" s="4">
        <v>0.9</v>
      </c>
      <c r="P661" s="4" t="s">
        <v>173</v>
      </c>
      <c r="Q661" s="4">
        <v>0.9</v>
      </c>
      <c r="R661" s="4" t="s">
        <v>173</v>
      </c>
    </row>
    <row r="662" spans="1:18" hidden="1" x14ac:dyDescent="0.35">
      <c r="A662" s="4" t="s">
        <v>3347</v>
      </c>
      <c r="B662" s="4" t="s">
        <v>4081</v>
      </c>
      <c r="C662" s="4" t="s">
        <v>3343</v>
      </c>
      <c r="D662" s="4" t="s">
        <v>3344</v>
      </c>
      <c r="E662" s="4" t="s">
        <v>1506</v>
      </c>
      <c r="F662" s="4" t="s">
        <v>173</v>
      </c>
      <c r="G662" s="4" t="s">
        <v>409</v>
      </c>
      <c r="H662" s="4" t="s">
        <v>2231</v>
      </c>
      <c r="I662" s="5">
        <v>47829</v>
      </c>
      <c r="J662" s="4" t="s">
        <v>778</v>
      </c>
      <c r="K662" s="4" t="s">
        <v>693</v>
      </c>
      <c r="L662" s="4">
        <v>1997</v>
      </c>
      <c r="M662" s="4" t="s">
        <v>27</v>
      </c>
      <c r="N662" s="4">
        <v>1.9</v>
      </c>
      <c r="O662" s="4">
        <v>1.9</v>
      </c>
      <c r="P662" s="4" t="s">
        <v>173</v>
      </c>
      <c r="Q662" s="4">
        <v>1.9</v>
      </c>
      <c r="R662" s="4" t="s">
        <v>173</v>
      </c>
    </row>
    <row r="663" spans="1:18" x14ac:dyDescent="0.35">
      <c r="A663" s="4" t="s">
        <v>3348</v>
      </c>
      <c r="B663" s="4" t="s">
        <v>4080</v>
      </c>
      <c r="C663" s="4" t="s">
        <v>2394</v>
      </c>
      <c r="D663" s="4" t="s">
        <v>2395</v>
      </c>
      <c r="E663" s="4" t="s">
        <v>3349</v>
      </c>
      <c r="F663" s="4" t="s">
        <v>33</v>
      </c>
      <c r="G663" s="4" t="s">
        <v>46</v>
      </c>
      <c r="H663" s="4" t="s">
        <v>2231</v>
      </c>
      <c r="I663" s="5">
        <v>36269</v>
      </c>
      <c r="J663" s="4" t="s">
        <v>1570</v>
      </c>
      <c r="K663" s="4" t="s">
        <v>865</v>
      </c>
      <c r="L663" s="4">
        <v>2017</v>
      </c>
      <c r="M663" s="4" t="s">
        <v>27</v>
      </c>
      <c r="N663" s="4">
        <v>5.67</v>
      </c>
      <c r="O663" s="4">
        <v>5.67</v>
      </c>
      <c r="P663" s="4" t="s">
        <v>2234</v>
      </c>
      <c r="Q663" s="4">
        <v>5.67</v>
      </c>
      <c r="R663" s="4" t="s">
        <v>2235</v>
      </c>
    </row>
    <row r="664" spans="1:18" hidden="1" x14ac:dyDescent="0.35">
      <c r="A664" s="4" t="s">
        <v>3350</v>
      </c>
      <c r="B664" s="4" t="s">
        <v>4081</v>
      </c>
      <c r="C664" s="4" t="s">
        <v>3343</v>
      </c>
      <c r="D664" s="4" t="s">
        <v>3344</v>
      </c>
      <c r="E664" s="4" t="s">
        <v>704</v>
      </c>
      <c r="F664" s="4" t="s">
        <v>173</v>
      </c>
      <c r="G664" s="4" t="s">
        <v>409</v>
      </c>
      <c r="H664" s="4" t="s">
        <v>2231</v>
      </c>
      <c r="I664" s="5">
        <v>47829</v>
      </c>
      <c r="J664" s="4" t="s">
        <v>778</v>
      </c>
      <c r="K664" s="4" t="s">
        <v>693</v>
      </c>
      <c r="L664" s="4">
        <v>1976</v>
      </c>
      <c r="M664" s="4" t="s">
        <v>27</v>
      </c>
      <c r="N664" s="4">
        <v>0.9</v>
      </c>
      <c r="O664" s="4">
        <v>0.9</v>
      </c>
      <c r="P664" s="4" t="s">
        <v>173</v>
      </c>
      <c r="Q664" s="4">
        <v>0.9</v>
      </c>
      <c r="R664" s="4" t="s">
        <v>173</v>
      </c>
    </row>
    <row r="665" spans="1:18" hidden="1" x14ac:dyDescent="0.35">
      <c r="A665" s="4" t="s">
        <v>3351</v>
      </c>
      <c r="B665" s="4" t="s">
        <v>4081</v>
      </c>
      <c r="C665" s="4" t="s">
        <v>3352</v>
      </c>
      <c r="D665" s="4" t="s">
        <v>3353</v>
      </c>
      <c r="E665" s="4">
        <v>40</v>
      </c>
      <c r="F665" s="4" t="s">
        <v>33</v>
      </c>
      <c r="G665" s="4" t="s">
        <v>137</v>
      </c>
      <c r="H665" s="4" t="s">
        <v>2231</v>
      </c>
      <c r="I665" s="5">
        <v>47906</v>
      </c>
      <c r="J665" s="4" t="s">
        <v>3354</v>
      </c>
      <c r="K665" s="4" t="s">
        <v>693</v>
      </c>
      <c r="L665" s="4">
        <v>2010</v>
      </c>
      <c r="M665" s="4" t="s">
        <v>27</v>
      </c>
      <c r="N665" s="4">
        <v>2.39</v>
      </c>
      <c r="O665" s="4">
        <v>2.39</v>
      </c>
      <c r="P665" s="4" t="s">
        <v>2234</v>
      </c>
      <c r="Q665" s="4">
        <v>2.39</v>
      </c>
      <c r="R665" s="4" t="s">
        <v>2235</v>
      </c>
    </row>
    <row r="666" spans="1:18" hidden="1" x14ac:dyDescent="0.35">
      <c r="A666" s="4" t="s">
        <v>3355</v>
      </c>
      <c r="B666" s="4" t="s">
        <v>4081</v>
      </c>
      <c r="C666" s="4" t="s">
        <v>3352</v>
      </c>
      <c r="D666" s="4" t="s">
        <v>3353</v>
      </c>
      <c r="E666" s="4">
        <v>41</v>
      </c>
      <c r="F666" s="4" t="s">
        <v>33</v>
      </c>
      <c r="G666" s="4" t="s">
        <v>137</v>
      </c>
      <c r="H666" s="4" t="s">
        <v>2231</v>
      </c>
      <c r="I666" s="5">
        <v>47906</v>
      </c>
      <c r="J666" s="4" t="s">
        <v>3354</v>
      </c>
      <c r="K666" s="4" t="s">
        <v>693</v>
      </c>
      <c r="L666" s="4">
        <v>2010</v>
      </c>
      <c r="M666" s="4" t="s">
        <v>27</v>
      </c>
      <c r="N666" s="4">
        <v>2.39</v>
      </c>
      <c r="O666" s="4">
        <v>2.39</v>
      </c>
      <c r="P666" s="4" t="s">
        <v>2234</v>
      </c>
      <c r="Q666" s="4">
        <v>2.39</v>
      </c>
      <c r="R666" s="4" t="s">
        <v>2235</v>
      </c>
    </row>
    <row r="667" spans="1:18" hidden="1" x14ac:dyDescent="0.35">
      <c r="A667" s="4" t="s">
        <v>3356</v>
      </c>
      <c r="B667" s="4" t="s">
        <v>4081</v>
      </c>
      <c r="C667" s="4" t="s">
        <v>3352</v>
      </c>
      <c r="D667" s="4" t="s">
        <v>3353</v>
      </c>
      <c r="E667" s="4">
        <v>42</v>
      </c>
      <c r="F667" s="4" t="s">
        <v>33</v>
      </c>
      <c r="G667" s="4" t="s">
        <v>137</v>
      </c>
      <c r="H667" s="4" t="s">
        <v>2231</v>
      </c>
      <c r="I667" s="5">
        <v>47906</v>
      </c>
      <c r="J667" s="4" t="s">
        <v>3354</v>
      </c>
      <c r="K667" s="4" t="s">
        <v>693</v>
      </c>
      <c r="L667" s="4">
        <v>2010</v>
      </c>
      <c r="M667" s="4" t="s">
        <v>27</v>
      </c>
      <c r="N667" s="4">
        <v>2.39</v>
      </c>
      <c r="O667" s="4">
        <v>2.39</v>
      </c>
      <c r="P667" s="4" t="s">
        <v>2234</v>
      </c>
      <c r="Q667" s="4">
        <v>2.39</v>
      </c>
      <c r="R667" s="4" t="s">
        <v>2235</v>
      </c>
    </row>
    <row r="668" spans="1:18" hidden="1" x14ac:dyDescent="0.35">
      <c r="A668" s="4" t="s">
        <v>3357</v>
      </c>
      <c r="B668" s="4" t="s">
        <v>4081</v>
      </c>
      <c r="C668" s="4" t="s">
        <v>3352</v>
      </c>
      <c r="D668" s="4" t="s">
        <v>3353</v>
      </c>
      <c r="E668" s="4">
        <v>50</v>
      </c>
      <c r="F668" s="4" t="s">
        <v>33</v>
      </c>
      <c r="G668" s="4" t="s">
        <v>137</v>
      </c>
      <c r="H668" s="4" t="s">
        <v>2231</v>
      </c>
      <c r="I668" s="5">
        <v>47906</v>
      </c>
      <c r="J668" s="4" t="s">
        <v>3354</v>
      </c>
      <c r="K668" s="4" t="s">
        <v>693</v>
      </c>
      <c r="L668" s="4">
        <v>2017</v>
      </c>
      <c r="M668" s="4" t="s">
        <v>27</v>
      </c>
      <c r="N668" s="4">
        <v>3.31</v>
      </c>
      <c r="O668" s="4">
        <v>3.31</v>
      </c>
      <c r="P668" s="4" t="s">
        <v>2234</v>
      </c>
      <c r="Q668" s="4">
        <v>3.31</v>
      </c>
      <c r="R668" s="4" t="s">
        <v>2235</v>
      </c>
    </row>
    <row r="669" spans="1:18" hidden="1" x14ac:dyDescent="0.35">
      <c r="A669" s="4" t="s">
        <v>1201</v>
      </c>
      <c r="B669" s="4" t="s">
        <v>4081</v>
      </c>
      <c r="C669" s="4" t="s">
        <v>3358</v>
      </c>
      <c r="D669" s="4" t="s">
        <v>3359</v>
      </c>
      <c r="E669" s="4" t="s">
        <v>46</v>
      </c>
      <c r="F669" s="4" t="s">
        <v>33</v>
      </c>
      <c r="G669" s="4" t="s">
        <v>46</v>
      </c>
      <c r="H669" s="4" t="s">
        <v>2231</v>
      </c>
      <c r="I669" s="5">
        <v>48145</v>
      </c>
      <c r="J669" s="4" t="s">
        <v>1204</v>
      </c>
      <c r="K669" s="4" t="s">
        <v>693</v>
      </c>
      <c r="L669" s="4">
        <v>2005</v>
      </c>
      <c r="M669" s="4" t="s">
        <v>27</v>
      </c>
      <c r="N669" s="4">
        <v>31.3</v>
      </c>
      <c r="O669" s="4">
        <v>31.3</v>
      </c>
      <c r="P669" s="4" t="s">
        <v>2234</v>
      </c>
      <c r="Q669" s="4">
        <v>31.3</v>
      </c>
      <c r="R669" s="4" t="s">
        <v>2235</v>
      </c>
    </row>
    <row r="670" spans="1:18" hidden="1" x14ac:dyDescent="0.35">
      <c r="A670" s="4" t="s">
        <v>1206</v>
      </c>
      <c r="B670" s="4" t="s">
        <v>4081</v>
      </c>
      <c r="C670" s="4" t="s">
        <v>3358</v>
      </c>
      <c r="D670" s="4" t="s">
        <v>3359</v>
      </c>
      <c r="E670" s="4" t="s">
        <v>46</v>
      </c>
      <c r="F670" s="4" t="s">
        <v>33</v>
      </c>
      <c r="G670" s="4" t="s">
        <v>46</v>
      </c>
      <c r="H670" s="4" t="s">
        <v>2231</v>
      </c>
      <c r="I670" s="5">
        <v>48145</v>
      </c>
      <c r="J670" s="4" t="s">
        <v>1204</v>
      </c>
      <c r="K670" s="4" t="s">
        <v>693</v>
      </c>
      <c r="L670" s="4">
        <v>2005</v>
      </c>
      <c r="M670" s="4" t="s">
        <v>27</v>
      </c>
      <c r="N670" s="4">
        <v>31.3</v>
      </c>
      <c r="O670" s="4">
        <v>31.3</v>
      </c>
      <c r="P670" s="4" t="s">
        <v>2234</v>
      </c>
      <c r="Q670" s="4">
        <v>31.3</v>
      </c>
      <c r="R670" s="4" t="s">
        <v>2235</v>
      </c>
    </row>
    <row r="671" spans="1:18" hidden="1" x14ac:dyDescent="0.35">
      <c r="A671" s="4" t="s">
        <v>1208</v>
      </c>
      <c r="B671" s="4" t="s">
        <v>4081</v>
      </c>
      <c r="C671" s="4" t="s">
        <v>3358</v>
      </c>
      <c r="D671" s="4" t="s">
        <v>3359</v>
      </c>
      <c r="E671" s="4" t="s">
        <v>46</v>
      </c>
      <c r="F671" s="4" t="s">
        <v>33</v>
      </c>
      <c r="G671" s="4" t="s">
        <v>46</v>
      </c>
      <c r="H671" s="4" t="s">
        <v>2231</v>
      </c>
      <c r="I671" s="5">
        <v>48145</v>
      </c>
      <c r="J671" s="4" t="s">
        <v>1204</v>
      </c>
      <c r="K671" s="4" t="s">
        <v>693</v>
      </c>
      <c r="L671" s="4">
        <v>2005</v>
      </c>
      <c r="M671" s="4" t="s">
        <v>27</v>
      </c>
      <c r="N671" s="4">
        <v>35.200000000000003</v>
      </c>
      <c r="O671" s="4">
        <v>35.200000000000003</v>
      </c>
      <c r="P671" s="4" t="s">
        <v>2234</v>
      </c>
      <c r="Q671" s="4">
        <v>35.200000000000003</v>
      </c>
      <c r="R671" s="4" t="s">
        <v>2235</v>
      </c>
    </row>
    <row r="672" spans="1:18" hidden="1" x14ac:dyDescent="0.35">
      <c r="A672" s="4" t="s">
        <v>3360</v>
      </c>
      <c r="B672" s="4" t="s">
        <v>4081</v>
      </c>
      <c r="C672" s="4" t="s">
        <v>3358</v>
      </c>
      <c r="D672" s="4" t="s">
        <v>3361</v>
      </c>
      <c r="E672" s="4">
        <v>1</v>
      </c>
      <c r="F672" s="4" t="s">
        <v>33</v>
      </c>
      <c r="G672" s="4" t="s">
        <v>137</v>
      </c>
      <c r="H672" s="4" t="s">
        <v>2231</v>
      </c>
      <c r="I672" s="5">
        <v>48155</v>
      </c>
      <c r="J672" s="4" t="s">
        <v>3362</v>
      </c>
      <c r="K672" s="4" t="s">
        <v>693</v>
      </c>
      <c r="L672" s="4">
        <v>2009</v>
      </c>
      <c r="M672" s="4" t="s">
        <v>27</v>
      </c>
      <c r="N672" s="4">
        <v>3.7</v>
      </c>
      <c r="O672" s="4">
        <v>3.7</v>
      </c>
      <c r="P672" s="4" t="s">
        <v>2234</v>
      </c>
      <c r="Q672" s="4">
        <v>3.7</v>
      </c>
      <c r="R672" s="4" t="s">
        <v>2235</v>
      </c>
    </row>
    <row r="673" spans="1:18" hidden="1" x14ac:dyDescent="0.35">
      <c r="A673" s="4" t="s">
        <v>3363</v>
      </c>
      <c r="B673" s="4" t="s">
        <v>4081</v>
      </c>
      <c r="C673" s="4" t="s">
        <v>3364</v>
      </c>
      <c r="D673" s="4" t="s">
        <v>3365</v>
      </c>
      <c r="E673" s="4" t="s">
        <v>3366</v>
      </c>
      <c r="F673" s="4" t="s">
        <v>33</v>
      </c>
      <c r="G673" s="4" t="s">
        <v>409</v>
      </c>
      <c r="H673" s="4" t="s">
        <v>2231</v>
      </c>
      <c r="I673" s="5">
        <v>48499</v>
      </c>
      <c r="J673" s="4" t="s">
        <v>3367</v>
      </c>
      <c r="K673" s="4" t="s">
        <v>765</v>
      </c>
      <c r="L673" s="4">
        <v>2016</v>
      </c>
      <c r="M673" s="4" t="s">
        <v>27</v>
      </c>
      <c r="N673" s="4">
        <v>9.0299999999999994</v>
      </c>
      <c r="O673" s="4">
        <v>9.0299999999999994</v>
      </c>
      <c r="P673" s="4" t="s">
        <v>2234</v>
      </c>
      <c r="Q673" s="4">
        <v>9.0299999999999994</v>
      </c>
      <c r="R673" s="4" t="s">
        <v>2235</v>
      </c>
    </row>
    <row r="674" spans="1:18" hidden="1" x14ac:dyDescent="0.35">
      <c r="A674" s="4" t="s">
        <v>3368</v>
      </c>
      <c r="B674" s="4" t="s">
        <v>4081</v>
      </c>
      <c r="C674" s="4" t="s">
        <v>3369</v>
      </c>
      <c r="D674" s="4" t="s">
        <v>3365</v>
      </c>
      <c r="E674" s="4" t="s">
        <v>3370</v>
      </c>
      <c r="F674" s="4" t="s">
        <v>33</v>
      </c>
      <c r="G674" s="4" t="s">
        <v>409</v>
      </c>
      <c r="H674" s="4" t="s">
        <v>2249</v>
      </c>
      <c r="I674" s="5">
        <v>48499</v>
      </c>
      <c r="J674" s="4" t="s">
        <v>3367</v>
      </c>
      <c r="K674" s="4" t="s">
        <v>765</v>
      </c>
      <c r="L674" s="4">
        <v>1977</v>
      </c>
      <c r="M674" s="4" t="s">
        <v>27</v>
      </c>
      <c r="N674" s="4">
        <v>6.02</v>
      </c>
      <c r="O674" s="4">
        <v>6.02</v>
      </c>
      <c r="P674" s="4" t="s">
        <v>2234</v>
      </c>
      <c r="Q674" s="4">
        <v>6.02</v>
      </c>
      <c r="R674" s="4" t="s">
        <v>2235</v>
      </c>
    </row>
    <row r="675" spans="1:18" hidden="1" x14ac:dyDescent="0.35">
      <c r="A675" s="4" t="s">
        <v>901</v>
      </c>
      <c r="B675" s="4" t="s">
        <v>4081</v>
      </c>
      <c r="C675" s="4" t="s">
        <v>3371</v>
      </c>
      <c r="D675" s="4" t="s">
        <v>3372</v>
      </c>
      <c r="E675" s="4" t="s">
        <v>3373</v>
      </c>
      <c r="F675" s="4" t="s">
        <v>33</v>
      </c>
      <c r="G675" s="4" t="s">
        <v>46</v>
      </c>
      <c r="H675" s="4" t="s">
        <v>2231</v>
      </c>
      <c r="I675" s="5">
        <v>49086</v>
      </c>
      <c r="J675" s="4" t="s">
        <v>3374</v>
      </c>
      <c r="K675" s="4" t="s">
        <v>765</v>
      </c>
      <c r="L675" s="4">
        <v>1994</v>
      </c>
      <c r="M675" s="4" t="s">
        <v>27</v>
      </c>
      <c r="N675" s="4">
        <v>15.4</v>
      </c>
      <c r="O675" s="4">
        <v>15.4</v>
      </c>
      <c r="P675" s="4" t="s">
        <v>2234</v>
      </c>
      <c r="Q675" s="4">
        <v>15.4</v>
      </c>
      <c r="R675" s="4" t="s">
        <v>2235</v>
      </c>
    </row>
    <row r="676" spans="1:18" hidden="1" x14ac:dyDescent="0.35">
      <c r="A676" s="4" t="s">
        <v>3375</v>
      </c>
      <c r="B676" s="4" t="s">
        <v>4081</v>
      </c>
      <c r="C676" s="4" t="s">
        <v>3376</v>
      </c>
      <c r="D676" s="4" t="s">
        <v>3377</v>
      </c>
      <c r="E676" s="4" t="s">
        <v>3378</v>
      </c>
      <c r="F676" s="4" t="s">
        <v>33</v>
      </c>
      <c r="G676" s="4" t="s">
        <v>137</v>
      </c>
      <c r="H676" s="4" t="s">
        <v>2231</v>
      </c>
      <c r="I676" s="5">
        <v>49479</v>
      </c>
      <c r="J676" s="4" t="s">
        <v>3379</v>
      </c>
      <c r="K676" s="4" t="s">
        <v>693</v>
      </c>
      <c r="L676" s="4">
        <v>2017</v>
      </c>
      <c r="M676" s="4" t="s">
        <v>27</v>
      </c>
      <c r="N676" s="4">
        <v>7.5</v>
      </c>
      <c r="O676" s="4">
        <v>7.5</v>
      </c>
      <c r="P676" s="4" t="s">
        <v>2234</v>
      </c>
      <c r="Q676" s="4">
        <v>7.5</v>
      </c>
      <c r="R676" s="4" t="s">
        <v>2235</v>
      </c>
    </row>
    <row r="677" spans="1:18" hidden="1" x14ac:dyDescent="0.35">
      <c r="A677" s="4" t="s">
        <v>3380</v>
      </c>
      <c r="B677" s="4" t="s">
        <v>4081</v>
      </c>
      <c r="C677" s="4" t="s">
        <v>3376</v>
      </c>
      <c r="D677" s="4" t="s">
        <v>3377</v>
      </c>
      <c r="E677" s="4" t="s">
        <v>3381</v>
      </c>
      <c r="F677" s="4" t="s">
        <v>33</v>
      </c>
      <c r="G677" s="4" t="s">
        <v>137</v>
      </c>
      <c r="H677" s="4" t="s">
        <v>2231</v>
      </c>
      <c r="I677" s="5">
        <v>49479</v>
      </c>
      <c r="J677" s="4" t="s">
        <v>3379</v>
      </c>
      <c r="K677" s="4" t="s">
        <v>693</v>
      </c>
      <c r="L677" s="4">
        <v>2013</v>
      </c>
      <c r="M677" s="4" t="s">
        <v>27</v>
      </c>
      <c r="N677" s="4">
        <v>1.9</v>
      </c>
      <c r="O677" s="4">
        <v>1.9</v>
      </c>
      <c r="P677" s="4" t="s">
        <v>2234</v>
      </c>
      <c r="Q677" s="4">
        <v>1.9</v>
      </c>
      <c r="R677" s="4" t="s">
        <v>2235</v>
      </c>
    </row>
    <row r="678" spans="1:18" hidden="1" x14ac:dyDescent="0.35">
      <c r="A678" s="4" t="s">
        <v>3382</v>
      </c>
      <c r="B678" s="4" t="s">
        <v>4081</v>
      </c>
      <c r="C678" s="4" t="s">
        <v>3376</v>
      </c>
      <c r="D678" s="4" t="s">
        <v>3377</v>
      </c>
      <c r="E678" s="4" t="s">
        <v>3383</v>
      </c>
      <c r="F678" s="4" t="s">
        <v>33</v>
      </c>
      <c r="G678" s="4" t="s">
        <v>137</v>
      </c>
      <c r="H678" s="4" t="s">
        <v>2231</v>
      </c>
      <c r="I678" s="5">
        <v>49479</v>
      </c>
      <c r="J678" s="4" t="s">
        <v>3379</v>
      </c>
      <c r="K678" s="4" t="s">
        <v>693</v>
      </c>
      <c r="L678" s="4">
        <v>2009</v>
      </c>
      <c r="M678" s="4" t="s">
        <v>27</v>
      </c>
      <c r="N678" s="4">
        <v>5.4</v>
      </c>
      <c r="O678" s="4">
        <v>5.4</v>
      </c>
      <c r="P678" s="4" t="s">
        <v>2234</v>
      </c>
      <c r="Q678" s="4">
        <v>5.4</v>
      </c>
      <c r="R678" s="4" t="s">
        <v>2235</v>
      </c>
    </row>
    <row r="679" spans="1:18" hidden="1" x14ac:dyDescent="0.35">
      <c r="A679" s="4" t="s">
        <v>3384</v>
      </c>
      <c r="B679" s="4" t="s">
        <v>4081</v>
      </c>
      <c r="C679" s="4" t="s">
        <v>3376</v>
      </c>
      <c r="D679" s="4" t="s">
        <v>3377</v>
      </c>
      <c r="E679" s="4" t="s">
        <v>3385</v>
      </c>
      <c r="F679" s="4" t="s">
        <v>33</v>
      </c>
      <c r="G679" s="4" t="s">
        <v>137</v>
      </c>
      <c r="H679" s="4" t="s">
        <v>2231</v>
      </c>
      <c r="I679" s="5">
        <v>49479</v>
      </c>
      <c r="J679" s="4" t="s">
        <v>3379</v>
      </c>
      <c r="K679" s="4" t="s">
        <v>693</v>
      </c>
      <c r="L679" s="4">
        <v>1994</v>
      </c>
      <c r="M679" s="4" t="s">
        <v>27</v>
      </c>
      <c r="N679" s="4">
        <v>1.1000000000000001</v>
      </c>
      <c r="O679" s="4">
        <v>1.1000000000000001</v>
      </c>
      <c r="P679" s="4" t="s">
        <v>2234</v>
      </c>
      <c r="Q679" s="4">
        <v>1.1000000000000001</v>
      </c>
      <c r="R679" s="4" t="s">
        <v>2235</v>
      </c>
    </row>
    <row r="680" spans="1:18" hidden="1" x14ac:dyDescent="0.35">
      <c r="A680" s="4" t="s">
        <v>3386</v>
      </c>
      <c r="B680" s="4" t="s">
        <v>4081</v>
      </c>
      <c r="C680" s="4" t="s">
        <v>3376</v>
      </c>
      <c r="D680" s="4" t="s">
        <v>3377</v>
      </c>
      <c r="E680" s="4" t="s">
        <v>3387</v>
      </c>
      <c r="F680" s="4" t="s">
        <v>33</v>
      </c>
      <c r="G680" s="4" t="s">
        <v>137</v>
      </c>
      <c r="H680" s="4" t="s">
        <v>2231</v>
      </c>
      <c r="I680" s="5">
        <v>49479</v>
      </c>
      <c r="J680" s="4" t="s">
        <v>3379</v>
      </c>
      <c r="K680" s="4" t="s">
        <v>693</v>
      </c>
      <c r="L680" s="4">
        <v>1994</v>
      </c>
      <c r="M680" s="4" t="s">
        <v>27</v>
      </c>
      <c r="N680" s="4">
        <v>1.1000000000000001</v>
      </c>
      <c r="O680" s="4">
        <v>1.1000000000000001</v>
      </c>
      <c r="P680" s="4" t="s">
        <v>2234</v>
      </c>
      <c r="Q680" s="4">
        <v>1.1000000000000001</v>
      </c>
      <c r="R680" s="4" t="s">
        <v>2235</v>
      </c>
    </row>
    <row r="681" spans="1:18" hidden="1" x14ac:dyDescent="0.35">
      <c r="A681" s="4" t="s">
        <v>770</v>
      </c>
      <c r="B681" s="4" t="s">
        <v>4081</v>
      </c>
      <c r="C681" s="4" t="s">
        <v>761</v>
      </c>
      <c r="D681" s="4" t="s">
        <v>3388</v>
      </c>
      <c r="E681" s="4" t="s">
        <v>2227</v>
      </c>
      <c r="F681" s="4" t="s">
        <v>33</v>
      </c>
      <c r="G681" s="4" t="s">
        <v>409</v>
      </c>
      <c r="H681" s="4" t="s">
        <v>2231</v>
      </c>
      <c r="I681" s="5">
        <v>49808</v>
      </c>
      <c r="J681" s="4" t="s">
        <v>763</v>
      </c>
      <c r="K681" s="4" t="s">
        <v>765</v>
      </c>
      <c r="L681" s="4">
        <v>1996</v>
      </c>
      <c r="M681" s="4" t="s">
        <v>27</v>
      </c>
      <c r="N681" s="4">
        <v>22.7</v>
      </c>
      <c r="O681" s="4">
        <v>22.7</v>
      </c>
      <c r="P681" s="4" t="s">
        <v>2234</v>
      </c>
      <c r="Q681" s="4">
        <v>22.7</v>
      </c>
      <c r="R681" s="4" t="s">
        <v>2235</v>
      </c>
    </row>
    <row r="682" spans="1:18" hidden="1" x14ac:dyDescent="0.35">
      <c r="A682" s="4" t="s">
        <v>769</v>
      </c>
      <c r="B682" s="4" t="s">
        <v>4081</v>
      </c>
      <c r="C682" s="4" t="s">
        <v>761</v>
      </c>
      <c r="D682" s="4" t="s">
        <v>3388</v>
      </c>
      <c r="E682" s="4" t="s">
        <v>2227</v>
      </c>
      <c r="F682" s="4" t="s">
        <v>33</v>
      </c>
      <c r="G682" s="4" t="s">
        <v>409</v>
      </c>
      <c r="H682" s="4" t="s">
        <v>2231</v>
      </c>
      <c r="I682" s="5">
        <v>49808</v>
      </c>
      <c r="J682" s="4" t="s">
        <v>763</v>
      </c>
      <c r="K682" s="4" t="s">
        <v>765</v>
      </c>
      <c r="L682" s="4">
        <v>1996</v>
      </c>
      <c r="M682" s="4" t="s">
        <v>27</v>
      </c>
      <c r="N682" s="4">
        <v>22.4</v>
      </c>
      <c r="O682" s="4">
        <v>22.4</v>
      </c>
      <c r="P682" s="4" t="s">
        <v>2234</v>
      </c>
      <c r="Q682" s="4">
        <v>22.4</v>
      </c>
      <c r="R682" s="4" t="s">
        <v>2235</v>
      </c>
    </row>
    <row r="683" spans="1:18" hidden="1" x14ac:dyDescent="0.35">
      <c r="A683" s="4" t="s">
        <v>760</v>
      </c>
      <c r="B683" s="4" t="s">
        <v>4081</v>
      </c>
      <c r="C683" s="4" t="s">
        <v>761</v>
      </c>
      <c r="D683" s="4" t="s">
        <v>3388</v>
      </c>
      <c r="E683" s="4" t="s">
        <v>762</v>
      </c>
      <c r="F683" s="4" t="s">
        <v>33</v>
      </c>
      <c r="G683" s="4" t="s">
        <v>409</v>
      </c>
      <c r="H683" s="4" t="s">
        <v>2231</v>
      </c>
      <c r="I683" s="5">
        <v>49808</v>
      </c>
      <c r="J683" s="4" t="s">
        <v>763</v>
      </c>
      <c r="K683" s="4" t="s">
        <v>765</v>
      </c>
      <c r="L683" s="4">
        <v>1996</v>
      </c>
      <c r="M683" s="4" t="s">
        <v>27</v>
      </c>
      <c r="N683" s="4">
        <v>10.1</v>
      </c>
      <c r="O683" s="4">
        <v>10.1</v>
      </c>
      <c r="P683" s="4" t="s">
        <v>2234</v>
      </c>
      <c r="Q683" s="4">
        <v>10.1</v>
      </c>
      <c r="R683" s="4" t="s">
        <v>2235</v>
      </c>
    </row>
    <row r="684" spans="1:18" hidden="1" x14ac:dyDescent="0.35">
      <c r="A684" s="4" t="s">
        <v>766</v>
      </c>
      <c r="B684" s="4" t="s">
        <v>4081</v>
      </c>
      <c r="C684" s="4" t="s">
        <v>761</v>
      </c>
      <c r="D684" s="4" t="s">
        <v>3388</v>
      </c>
      <c r="E684" s="4" t="s">
        <v>767</v>
      </c>
      <c r="F684" s="4" t="s">
        <v>33</v>
      </c>
      <c r="G684" s="4" t="s">
        <v>409</v>
      </c>
      <c r="H684" s="4" t="s">
        <v>2231</v>
      </c>
      <c r="I684" s="5">
        <v>49808</v>
      </c>
      <c r="J684" s="4" t="s">
        <v>763</v>
      </c>
      <c r="K684" s="4" t="s">
        <v>765</v>
      </c>
      <c r="L684" s="4">
        <v>1996</v>
      </c>
      <c r="M684" s="4" t="s">
        <v>27</v>
      </c>
      <c r="N684" s="4">
        <v>10.9</v>
      </c>
      <c r="O684" s="4">
        <v>10.9</v>
      </c>
      <c r="P684" s="4" t="s">
        <v>2234</v>
      </c>
      <c r="Q684" s="4">
        <v>10.9</v>
      </c>
      <c r="R684" s="4" t="s">
        <v>2235</v>
      </c>
    </row>
    <row r="685" spans="1:18" hidden="1" x14ac:dyDescent="0.35">
      <c r="A685" s="4" t="s">
        <v>1108</v>
      </c>
      <c r="B685" s="4" t="s">
        <v>4081</v>
      </c>
      <c r="C685" s="4" t="s">
        <v>1098</v>
      </c>
      <c r="D685" s="4" t="s">
        <v>3389</v>
      </c>
      <c r="E685" s="4" t="s">
        <v>3390</v>
      </c>
      <c r="F685" s="4" t="s">
        <v>33</v>
      </c>
      <c r="G685" s="4" t="s">
        <v>46</v>
      </c>
      <c r="H685" s="4" t="s">
        <v>2249</v>
      </c>
      <c r="I685" s="5">
        <v>49811</v>
      </c>
      <c r="J685" s="4" t="s">
        <v>763</v>
      </c>
      <c r="K685" s="4" t="s">
        <v>765</v>
      </c>
      <c r="L685" s="4">
        <v>2011</v>
      </c>
      <c r="M685" s="4" t="s">
        <v>27</v>
      </c>
      <c r="N685" s="4">
        <v>58</v>
      </c>
      <c r="O685" s="4">
        <v>58</v>
      </c>
      <c r="P685" s="4" t="s">
        <v>2234</v>
      </c>
      <c r="Q685" s="4">
        <v>58</v>
      </c>
      <c r="R685" s="4" t="s">
        <v>2235</v>
      </c>
    </row>
    <row r="686" spans="1:18" hidden="1" x14ac:dyDescent="0.35">
      <c r="A686" s="4" t="s">
        <v>1111</v>
      </c>
      <c r="B686" s="4" t="s">
        <v>4081</v>
      </c>
      <c r="C686" s="4" t="s">
        <v>1098</v>
      </c>
      <c r="D686" s="4" t="s">
        <v>3389</v>
      </c>
      <c r="E686" s="4" t="s">
        <v>3390</v>
      </c>
      <c r="F686" s="4" t="s">
        <v>33</v>
      </c>
      <c r="G686" s="4" t="s">
        <v>46</v>
      </c>
      <c r="H686" s="4" t="s">
        <v>2249</v>
      </c>
      <c r="I686" s="5">
        <v>49811</v>
      </c>
      <c r="J686" s="4" t="s">
        <v>763</v>
      </c>
      <c r="K686" s="4" t="s">
        <v>765</v>
      </c>
      <c r="L686" s="4">
        <v>2011</v>
      </c>
      <c r="M686" s="4" t="s">
        <v>27</v>
      </c>
      <c r="N686" s="4">
        <v>58</v>
      </c>
      <c r="O686" s="4">
        <v>58</v>
      </c>
      <c r="P686" s="4" t="s">
        <v>2234</v>
      </c>
      <c r="Q686" s="4">
        <v>58</v>
      </c>
      <c r="R686" s="4" t="s">
        <v>2235</v>
      </c>
    </row>
    <row r="687" spans="1:18" hidden="1" x14ac:dyDescent="0.35">
      <c r="A687" s="4" t="s">
        <v>1115</v>
      </c>
      <c r="B687" s="4" t="s">
        <v>4081</v>
      </c>
      <c r="C687" s="4" t="s">
        <v>1098</v>
      </c>
      <c r="D687" s="4" t="s">
        <v>3389</v>
      </c>
      <c r="E687" s="4" t="s">
        <v>3391</v>
      </c>
      <c r="F687" s="4" t="s">
        <v>33</v>
      </c>
      <c r="G687" s="4" t="s">
        <v>46</v>
      </c>
      <c r="H687" s="4" t="s">
        <v>2249</v>
      </c>
      <c r="I687" s="5">
        <v>49811</v>
      </c>
      <c r="J687" s="4" t="s">
        <v>763</v>
      </c>
      <c r="K687" s="4" t="s">
        <v>765</v>
      </c>
      <c r="L687" s="4">
        <v>2011</v>
      </c>
      <c r="M687" s="4" t="s">
        <v>27</v>
      </c>
      <c r="N687" s="4">
        <v>58</v>
      </c>
      <c r="O687" s="4">
        <v>58</v>
      </c>
      <c r="P687" s="4" t="s">
        <v>2234</v>
      </c>
      <c r="Q687" s="4">
        <v>58</v>
      </c>
      <c r="R687" s="4" t="s">
        <v>2235</v>
      </c>
    </row>
    <row r="688" spans="1:18" hidden="1" x14ac:dyDescent="0.35">
      <c r="A688" s="4" t="s">
        <v>1113</v>
      </c>
      <c r="B688" s="4" t="s">
        <v>4081</v>
      </c>
      <c r="C688" s="4" t="s">
        <v>1098</v>
      </c>
      <c r="D688" s="4" t="s">
        <v>3389</v>
      </c>
      <c r="E688" s="4" t="s">
        <v>3391</v>
      </c>
      <c r="F688" s="4" t="s">
        <v>33</v>
      </c>
      <c r="G688" s="4" t="s">
        <v>46</v>
      </c>
      <c r="H688" s="4" t="s">
        <v>2249</v>
      </c>
      <c r="I688" s="5">
        <v>49811</v>
      </c>
      <c r="J688" s="4" t="s">
        <v>763</v>
      </c>
      <c r="K688" s="4" t="s">
        <v>765</v>
      </c>
      <c r="L688" s="4">
        <v>2011</v>
      </c>
      <c r="M688" s="4" t="s">
        <v>27</v>
      </c>
      <c r="N688" s="4">
        <v>58</v>
      </c>
      <c r="O688" s="4">
        <v>58</v>
      </c>
      <c r="P688" s="4" t="s">
        <v>2234</v>
      </c>
      <c r="Q688" s="4">
        <v>58</v>
      </c>
      <c r="R688" s="4" t="s">
        <v>2235</v>
      </c>
    </row>
    <row r="689" spans="1:18" hidden="1" x14ac:dyDescent="0.35">
      <c r="A689" s="4" t="s">
        <v>1133</v>
      </c>
      <c r="B689" s="4" t="s">
        <v>4081</v>
      </c>
      <c r="C689" s="4" t="s">
        <v>1098</v>
      </c>
      <c r="D689" s="4" t="s">
        <v>3389</v>
      </c>
      <c r="E689" s="4" t="s">
        <v>3392</v>
      </c>
      <c r="F689" s="4" t="s">
        <v>33</v>
      </c>
      <c r="G689" s="4" t="s">
        <v>46</v>
      </c>
      <c r="H689" s="4" t="s">
        <v>2249</v>
      </c>
      <c r="I689" s="5">
        <v>49811</v>
      </c>
      <c r="J689" s="4" t="s">
        <v>763</v>
      </c>
      <c r="K689" s="4" t="s">
        <v>765</v>
      </c>
      <c r="L689" s="4">
        <v>1973</v>
      </c>
      <c r="M689" s="4" t="s">
        <v>27</v>
      </c>
      <c r="N689" s="4">
        <v>359</v>
      </c>
      <c r="O689" s="4">
        <v>359</v>
      </c>
      <c r="P689" s="4" t="s">
        <v>2234</v>
      </c>
      <c r="Q689" s="4">
        <v>359</v>
      </c>
      <c r="R689" s="4" t="s">
        <v>2235</v>
      </c>
    </row>
    <row r="690" spans="1:18" hidden="1" x14ac:dyDescent="0.35">
      <c r="A690" s="4" t="s">
        <v>1135</v>
      </c>
      <c r="B690" s="4" t="s">
        <v>4081</v>
      </c>
      <c r="C690" s="4" t="s">
        <v>1098</v>
      </c>
      <c r="D690" s="4" t="s">
        <v>3389</v>
      </c>
      <c r="E690" s="4" t="s">
        <v>3393</v>
      </c>
      <c r="F690" s="4" t="s">
        <v>33</v>
      </c>
      <c r="G690" s="4" t="s">
        <v>46</v>
      </c>
      <c r="H690" s="4" t="s">
        <v>2249</v>
      </c>
      <c r="I690" s="5">
        <v>49811</v>
      </c>
      <c r="J690" s="4" t="s">
        <v>763</v>
      </c>
      <c r="K690" s="4" t="s">
        <v>765</v>
      </c>
      <c r="L690" s="4">
        <v>1974</v>
      </c>
      <c r="M690" s="4" t="s">
        <v>27</v>
      </c>
      <c r="N690" s="4">
        <v>359</v>
      </c>
      <c r="O690" s="4">
        <v>359</v>
      </c>
      <c r="P690" s="4" t="s">
        <v>2234</v>
      </c>
      <c r="Q690" s="4">
        <v>359</v>
      </c>
      <c r="R690" s="4" t="s">
        <v>2235</v>
      </c>
    </row>
    <row r="691" spans="1:18" hidden="1" x14ac:dyDescent="0.35">
      <c r="A691" s="4" t="s">
        <v>1127</v>
      </c>
      <c r="B691" s="4" t="s">
        <v>4081</v>
      </c>
      <c r="C691" s="4" t="s">
        <v>1098</v>
      </c>
      <c r="D691" s="4" t="s">
        <v>3389</v>
      </c>
      <c r="E691" s="4" t="s">
        <v>525</v>
      </c>
      <c r="F691" s="4" t="s">
        <v>33</v>
      </c>
      <c r="G691" s="4" t="s">
        <v>46</v>
      </c>
      <c r="H691" s="4" t="s">
        <v>2249</v>
      </c>
      <c r="I691" s="5">
        <v>49811</v>
      </c>
      <c r="J691" s="4" t="s">
        <v>763</v>
      </c>
      <c r="K691" s="4" t="s">
        <v>765</v>
      </c>
      <c r="L691" s="4">
        <v>2010</v>
      </c>
      <c r="M691" s="4" t="s">
        <v>27</v>
      </c>
      <c r="N691" s="4">
        <v>293.5</v>
      </c>
      <c r="O691" s="4">
        <v>293.5</v>
      </c>
      <c r="P691" s="4" t="s">
        <v>2234</v>
      </c>
      <c r="Q691" s="4">
        <v>293.5</v>
      </c>
      <c r="R691" s="4" t="s">
        <v>2235</v>
      </c>
    </row>
    <row r="692" spans="1:18" hidden="1" x14ac:dyDescent="0.35">
      <c r="A692" s="4" t="s">
        <v>1129</v>
      </c>
      <c r="B692" s="4" t="s">
        <v>4081</v>
      </c>
      <c r="C692" s="4" t="s">
        <v>1098</v>
      </c>
      <c r="D692" s="4" t="s">
        <v>3389</v>
      </c>
      <c r="E692" s="4" t="s">
        <v>527</v>
      </c>
      <c r="F692" s="4" t="s">
        <v>33</v>
      </c>
      <c r="G692" s="4" t="s">
        <v>46</v>
      </c>
      <c r="H692" s="4" t="s">
        <v>2249</v>
      </c>
      <c r="I692" s="5">
        <v>49811</v>
      </c>
      <c r="J692" s="4" t="s">
        <v>763</v>
      </c>
      <c r="K692" s="4" t="s">
        <v>765</v>
      </c>
      <c r="L692" s="4">
        <v>2010</v>
      </c>
      <c r="M692" s="4" t="s">
        <v>27</v>
      </c>
      <c r="N692" s="4">
        <v>293.5</v>
      </c>
      <c r="O692" s="4">
        <v>293.5</v>
      </c>
      <c r="P692" s="4" t="s">
        <v>2234</v>
      </c>
      <c r="Q692" s="4">
        <v>293.5</v>
      </c>
      <c r="R692" s="4" t="s">
        <v>2235</v>
      </c>
    </row>
    <row r="693" spans="1:18" hidden="1" x14ac:dyDescent="0.35">
      <c r="A693" s="4" t="s">
        <v>1131</v>
      </c>
      <c r="B693" s="4" t="s">
        <v>4081</v>
      </c>
      <c r="C693" s="4" t="s">
        <v>1098</v>
      </c>
      <c r="D693" s="4" t="s">
        <v>3389</v>
      </c>
      <c r="E693" s="4" t="s">
        <v>159</v>
      </c>
      <c r="F693" s="4" t="s">
        <v>33</v>
      </c>
      <c r="G693" s="4" t="s">
        <v>46</v>
      </c>
      <c r="H693" s="4" t="s">
        <v>2249</v>
      </c>
      <c r="I693" s="5">
        <v>49811</v>
      </c>
      <c r="J693" s="4" t="s">
        <v>763</v>
      </c>
      <c r="K693" s="4" t="s">
        <v>765</v>
      </c>
      <c r="L693" s="4">
        <v>2010</v>
      </c>
      <c r="M693" s="4" t="s">
        <v>27</v>
      </c>
      <c r="N693" s="4">
        <v>340</v>
      </c>
      <c r="O693" s="4">
        <v>340</v>
      </c>
      <c r="P693" s="4" t="s">
        <v>2234</v>
      </c>
      <c r="Q693" s="4">
        <v>340</v>
      </c>
      <c r="R693" s="4" t="s">
        <v>2235</v>
      </c>
    </row>
    <row r="694" spans="1:18" hidden="1" x14ac:dyDescent="0.35">
      <c r="A694" s="4" t="s">
        <v>1213</v>
      </c>
      <c r="B694" s="4" t="s">
        <v>4081</v>
      </c>
      <c r="C694" s="4" t="s">
        <v>1214</v>
      </c>
      <c r="D694" s="4" t="s">
        <v>3394</v>
      </c>
      <c r="E694" s="4" t="s">
        <v>2227</v>
      </c>
      <c r="F694" s="4" t="s">
        <v>33</v>
      </c>
      <c r="G694" s="4" t="s">
        <v>46</v>
      </c>
      <c r="H694" s="4" t="s">
        <v>2249</v>
      </c>
      <c r="I694" s="5">
        <v>50351</v>
      </c>
      <c r="J694" s="4" t="s">
        <v>3395</v>
      </c>
      <c r="K694" s="4" t="s">
        <v>693</v>
      </c>
      <c r="L694" s="4">
        <v>2013</v>
      </c>
      <c r="M694" s="4" t="s">
        <v>27</v>
      </c>
      <c r="N694" s="4">
        <v>430</v>
      </c>
      <c r="O694" s="4">
        <v>430</v>
      </c>
      <c r="P694" s="4" t="s">
        <v>2234</v>
      </c>
      <c r="Q694" s="4">
        <v>430</v>
      </c>
      <c r="R694" s="4" t="s">
        <v>2235</v>
      </c>
    </row>
    <row r="695" spans="1:18" hidden="1" x14ac:dyDescent="0.35">
      <c r="A695" s="4" t="s">
        <v>1001</v>
      </c>
      <c r="B695" s="4" t="s">
        <v>4081</v>
      </c>
      <c r="C695" s="4" t="s">
        <v>1214</v>
      </c>
      <c r="D695" s="4" t="s">
        <v>3396</v>
      </c>
      <c r="E695" s="4" t="s">
        <v>3397</v>
      </c>
      <c r="F695" s="4" t="s">
        <v>33</v>
      </c>
      <c r="G695" s="4" t="s">
        <v>46</v>
      </c>
      <c r="H695" s="4" t="s">
        <v>2249</v>
      </c>
      <c r="I695" s="5">
        <v>50351</v>
      </c>
      <c r="J695" s="4" t="s">
        <v>3395</v>
      </c>
      <c r="K695" s="4" t="s">
        <v>693</v>
      </c>
      <c r="L695" s="4">
        <v>2007</v>
      </c>
      <c r="M695" s="4" t="s">
        <v>27</v>
      </c>
      <c r="N695" s="4">
        <v>308</v>
      </c>
      <c r="O695" s="4">
        <v>308</v>
      </c>
      <c r="P695" s="4" t="s">
        <v>2234</v>
      </c>
      <c r="Q695" s="4">
        <v>308</v>
      </c>
      <c r="R695" s="4" t="s">
        <v>2235</v>
      </c>
    </row>
    <row r="696" spans="1:18" hidden="1" x14ac:dyDescent="0.35">
      <c r="A696" s="4" t="s">
        <v>999</v>
      </c>
      <c r="B696" s="4" t="s">
        <v>4081</v>
      </c>
      <c r="C696" s="4" t="s">
        <v>1214</v>
      </c>
      <c r="D696" s="4" t="s">
        <v>3396</v>
      </c>
      <c r="E696" s="4" t="s">
        <v>3398</v>
      </c>
      <c r="F696" s="4" t="s">
        <v>33</v>
      </c>
      <c r="G696" s="4" t="s">
        <v>46</v>
      </c>
      <c r="H696" s="4" t="s">
        <v>2249</v>
      </c>
      <c r="I696" s="5">
        <v>50351</v>
      </c>
      <c r="J696" s="4" t="s">
        <v>3395</v>
      </c>
      <c r="K696" s="4" t="s">
        <v>693</v>
      </c>
      <c r="L696" s="4">
        <v>2007</v>
      </c>
      <c r="M696" s="4" t="s">
        <v>27</v>
      </c>
      <c r="N696" s="4">
        <v>308</v>
      </c>
      <c r="O696" s="4">
        <v>308</v>
      </c>
      <c r="P696" s="4" t="s">
        <v>2234</v>
      </c>
      <c r="Q696" s="4">
        <v>308</v>
      </c>
      <c r="R696" s="4" t="s">
        <v>2235</v>
      </c>
    </row>
    <row r="697" spans="1:18" hidden="1" x14ac:dyDescent="0.35">
      <c r="A697" s="4" t="s">
        <v>995</v>
      </c>
      <c r="B697" s="4" t="s">
        <v>4081</v>
      </c>
      <c r="C697" s="4" t="s">
        <v>1214</v>
      </c>
      <c r="D697" s="4" t="s">
        <v>3396</v>
      </c>
      <c r="E697" s="4" t="s">
        <v>3399</v>
      </c>
      <c r="F697" s="4" t="s">
        <v>33</v>
      </c>
      <c r="G697" s="4" t="s">
        <v>46</v>
      </c>
      <c r="H697" s="4" t="s">
        <v>2249</v>
      </c>
      <c r="I697" s="5">
        <v>50351</v>
      </c>
      <c r="J697" s="4" t="s">
        <v>3395</v>
      </c>
      <c r="K697" s="4" t="s">
        <v>693</v>
      </c>
      <c r="L697" s="4">
        <v>2007</v>
      </c>
      <c r="M697" s="4" t="s">
        <v>27</v>
      </c>
      <c r="N697" s="4">
        <v>280</v>
      </c>
      <c r="O697" s="4">
        <v>280</v>
      </c>
      <c r="P697" s="4" t="s">
        <v>2234</v>
      </c>
      <c r="Q697" s="4">
        <v>280</v>
      </c>
      <c r="R697" s="4" t="s">
        <v>2235</v>
      </c>
    </row>
    <row r="698" spans="1:18" hidden="1" x14ac:dyDescent="0.35">
      <c r="A698" s="4" t="s">
        <v>2168</v>
      </c>
      <c r="B698" s="4" t="s">
        <v>4081</v>
      </c>
      <c r="C698" s="4" t="s">
        <v>2169</v>
      </c>
      <c r="D698" s="4" t="s">
        <v>3400</v>
      </c>
      <c r="E698" s="4" t="s">
        <v>1841</v>
      </c>
      <c r="F698" s="4" t="s">
        <v>33</v>
      </c>
      <c r="G698" s="4" t="s">
        <v>409</v>
      </c>
      <c r="H698" s="4" t="s">
        <v>2231</v>
      </c>
      <c r="I698" s="5">
        <v>76189</v>
      </c>
      <c r="J698" s="4" t="s">
        <v>2071</v>
      </c>
      <c r="K698" s="4" t="s">
        <v>2232</v>
      </c>
      <c r="L698" s="4">
        <v>1984</v>
      </c>
      <c r="M698" s="4" t="s">
        <v>27</v>
      </c>
      <c r="N698" s="4">
        <v>33</v>
      </c>
      <c r="O698" s="4">
        <v>33</v>
      </c>
      <c r="P698" s="4" t="s">
        <v>2234</v>
      </c>
      <c r="Q698" s="4">
        <v>33</v>
      </c>
      <c r="R698" s="4" t="s">
        <v>2235</v>
      </c>
    </row>
    <row r="699" spans="1:18" hidden="1" x14ac:dyDescent="0.35">
      <c r="A699" s="4" t="s">
        <v>808</v>
      </c>
      <c r="B699" s="4" t="s">
        <v>4081</v>
      </c>
      <c r="C699" s="4" t="s">
        <v>3401</v>
      </c>
      <c r="D699" s="4" t="s">
        <v>810</v>
      </c>
      <c r="E699" s="4" t="s">
        <v>2227</v>
      </c>
      <c r="F699" s="4" t="s">
        <v>173</v>
      </c>
      <c r="G699" s="4" t="s">
        <v>409</v>
      </c>
      <c r="H699" s="4" t="s">
        <v>2231</v>
      </c>
      <c r="I699" s="5">
        <v>50354</v>
      </c>
      <c r="J699" s="4" t="s">
        <v>3402</v>
      </c>
      <c r="K699" s="4" t="s">
        <v>693</v>
      </c>
      <c r="L699" s="4">
        <v>2008</v>
      </c>
      <c r="M699" s="4" t="s">
        <v>27</v>
      </c>
      <c r="N699" s="4">
        <v>29.9</v>
      </c>
      <c r="O699" s="4">
        <v>29.9</v>
      </c>
      <c r="P699" s="4" t="s">
        <v>173</v>
      </c>
      <c r="Q699" s="4">
        <v>29.9</v>
      </c>
      <c r="R699" s="4" t="s">
        <v>173</v>
      </c>
    </row>
    <row r="700" spans="1:18" hidden="1" x14ac:dyDescent="0.35">
      <c r="A700" s="4" t="s">
        <v>917</v>
      </c>
      <c r="B700" s="4" t="s">
        <v>4081</v>
      </c>
      <c r="C700" s="4" t="s">
        <v>918</v>
      </c>
      <c r="D700" s="4" t="s">
        <v>3403</v>
      </c>
      <c r="E700" s="4" t="s">
        <v>3403</v>
      </c>
      <c r="F700" s="4" t="s">
        <v>173</v>
      </c>
      <c r="G700" s="4" t="s">
        <v>409</v>
      </c>
      <c r="H700" s="4" t="s">
        <v>2231</v>
      </c>
      <c r="I700" s="5">
        <v>50354</v>
      </c>
      <c r="J700" s="4" t="s">
        <v>3402</v>
      </c>
      <c r="K700" s="4" t="s">
        <v>693</v>
      </c>
      <c r="L700" s="4">
        <v>2023</v>
      </c>
      <c r="M700" s="4" t="s">
        <v>2459</v>
      </c>
      <c r="N700" s="4">
        <v>18.3</v>
      </c>
      <c r="O700" s="4">
        <v>18.3</v>
      </c>
      <c r="P700" s="4" t="s">
        <v>173</v>
      </c>
      <c r="Q700" s="4">
        <v>18.3</v>
      </c>
      <c r="R700" s="4" t="s">
        <v>173</v>
      </c>
    </row>
    <row r="701" spans="1:18" hidden="1" x14ac:dyDescent="0.35">
      <c r="A701" s="4" t="s">
        <v>725</v>
      </c>
      <c r="B701" s="4" t="s">
        <v>4081</v>
      </c>
      <c r="C701" s="4" t="s">
        <v>726</v>
      </c>
      <c r="D701" s="4" t="s">
        <v>36</v>
      </c>
      <c r="E701" s="4" t="s">
        <v>3404</v>
      </c>
      <c r="F701" s="4" t="s">
        <v>33</v>
      </c>
      <c r="G701" s="4" t="s">
        <v>36</v>
      </c>
      <c r="H701" s="4" t="s">
        <v>2231</v>
      </c>
      <c r="I701" s="5">
        <v>50389</v>
      </c>
      <c r="J701" s="4" t="s">
        <v>728</v>
      </c>
      <c r="K701" s="4" t="s">
        <v>693</v>
      </c>
      <c r="L701" s="4">
        <v>1996</v>
      </c>
      <c r="M701" s="4" t="s">
        <v>27</v>
      </c>
      <c r="N701" s="4">
        <v>51.9</v>
      </c>
      <c r="O701" s="4">
        <v>51.9</v>
      </c>
      <c r="P701" s="4" t="s">
        <v>2234</v>
      </c>
      <c r="Q701" s="4">
        <v>51.9</v>
      </c>
      <c r="R701" s="4" t="s">
        <v>2235</v>
      </c>
    </row>
    <row r="702" spans="1:18" hidden="1" x14ac:dyDescent="0.35">
      <c r="A702" s="4" t="s">
        <v>718</v>
      </c>
      <c r="B702" s="4" t="s">
        <v>4081</v>
      </c>
      <c r="C702" s="4" t="s">
        <v>3405</v>
      </c>
      <c r="D702" s="4" t="s">
        <v>3406</v>
      </c>
      <c r="E702" s="4" t="s">
        <v>720</v>
      </c>
      <c r="F702" s="4" t="s">
        <v>173</v>
      </c>
      <c r="G702" s="4" t="s">
        <v>409</v>
      </c>
      <c r="H702" s="4" t="s">
        <v>2231</v>
      </c>
      <c r="I702" s="5">
        <v>50735</v>
      </c>
      <c r="J702" s="4" t="s">
        <v>721</v>
      </c>
      <c r="K702" s="4" t="s">
        <v>693</v>
      </c>
      <c r="L702" s="4">
        <v>2017</v>
      </c>
      <c r="M702" s="4" t="s">
        <v>27</v>
      </c>
      <c r="N702" s="4">
        <v>18</v>
      </c>
      <c r="O702" s="4">
        <v>18</v>
      </c>
      <c r="P702" s="4" t="s">
        <v>173</v>
      </c>
      <c r="Q702" s="4">
        <v>18</v>
      </c>
      <c r="R702" s="4" t="s">
        <v>173</v>
      </c>
    </row>
    <row r="703" spans="1:18" hidden="1" x14ac:dyDescent="0.35">
      <c r="A703" s="4" t="s">
        <v>723</v>
      </c>
      <c r="B703" s="4" t="s">
        <v>4081</v>
      </c>
      <c r="C703" s="4" t="s">
        <v>3405</v>
      </c>
      <c r="D703" s="4" t="s">
        <v>3407</v>
      </c>
      <c r="E703" s="4" t="s">
        <v>3407</v>
      </c>
      <c r="F703" s="4" t="s">
        <v>173</v>
      </c>
      <c r="G703" s="4" t="s">
        <v>409</v>
      </c>
      <c r="H703" s="4" t="s">
        <v>2231</v>
      </c>
      <c r="I703" s="5">
        <v>50735</v>
      </c>
      <c r="J703" s="4" t="s">
        <v>721</v>
      </c>
      <c r="K703" s="4" t="s">
        <v>693</v>
      </c>
      <c r="L703" s="4">
        <v>1997</v>
      </c>
      <c r="M703" s="4" t="s">
        <v>27</v>
      </c>
      <c r="N703" s="4">
        <v>45.1</v>
      </c>
      <c r="O703" s="4">
        <v>45.1</v>
      </c>
      <c r="P703" s="4" t="s">
        <v>173</v>
      </c>
      <c r="Q703" s="4">
        <v>45.1</v>
      </c>
      <c r="R703" s="4" t="s">
        <v>173</v>
      </c>
    </row>
    <row r="704" spans="1:18" hidden="1" x14ac:dyDescent="0.35">
      <c r="A704" s="4" t="s">
        <v>1090</v>
      </c>
      <c r="B704" s="4" t="s">
        <v>4081</v>
      </c>
      <c r="C704" s="4" t="s">
        <v>1074</v>
      </c>
      <c r="D704" s="4" t="s">
        <v>3408</v>
      </c>
      <c r="E704" s="4" t="s">
        <v>3409</v>
      </c>
      <c r="F704" s="4" t="s">
        <v>33</v>
      </c>
      <c r="G704" s="4" t="s">
        <v>46</v>
      </c>
      <c r="H704" s="4" t="s">
        <v>2231</v>
      </c>
      <c r="I704" s="5">
        <v>50735</v>
      </c>
      <c r="J704" s="4" t="s">
        <v>721</v>
      </c>
      <c r="K704" s="4" t="s">
        <v>693</v>
      </c>
      <c r="L704" s="4">
        <v>2016</v>
      </c>
      <c r="M704" s="4" t="s">
        <v>27</v>
      </c>
      <c r="N704" s="4">
        <v>452.9</v>
      </c>
      <c r="O704" s="4">
        <v>452.9</v>
      </c>
      <c r="P704" s="4" t="s">
        <v>2234</v>
      </c>
      <c r="Q704" s="4">
        <v>452.9</v>
      </c>
      <c r="R704" s="4" t="s">
        <v>2235</v>
      </c>
    </row>
    <row r="705" spans="1:18" hidden="1" x14ac:dyDescent="0.35">
      <c r="A705" s="4" t="s">
        <v>1088</v>
      </c>
      <c r="B705" s="4" t="s">
        <v>4081</v>
      </c>
      <c r="C705" s="4" t="s">
        <v>1074</v>
      </c>
      <c r="D705" s="4" t="s">
        <v>3410</v>
      </c>
      <c r="E705" s="4" t="s">
        <v>46</v>
      </c>
      <c r="F705" s="4" t="s">
        <v>33</v>
      </c>
      <c r="G705" s="4" t="s">
        <v>46</v>
      </c>
      <c r="H705" s="4" t="s">
        <v>2231</v>
      </c>
      <c r="I705" s="5">
        <v>50735</v>
      </c>
      <c r="J705" s="4" t="s">
        <v>721</v>
      </c>
      <c r="K705" s="4" t="s">
        <v>693</v>
      </c>
      <c r="L705" s="4">
        <v>2005</v>
      </c>
      <c r="M705" s="4" t="s">
        <v>27</v>
      </c>
      <c r="N705" s="4">
        <v>266</v>
      </c>
      <c r="O705" s="4">
        <v>266</v>
      </c>
      <c r="P705" s="4" t="s">
        <v>2234</v>
      </c>
      <c r="Q705" s="4">
        <v>266</v>
      </c>
      <c r="R705" s="4" t="s">
        <v>2235</v>
      </c>
    </row>
    <row r="706" spans="1:18" hidden="1" x14ac:dyDescent="0.35">
      <c r="A706" s="4" t="s">
        <v>1085</v>
      </c>
      <c r="B706" s="4" t="s">
        <v>4081</v>
      </c>
      <c r="C706" s="4" t="s">
        <v>1074</v>
      </c>
      <c r="D706" s="4" t="s">
        <v>3410</v>
      </c>
      <c r="E706" s="4" t="s">
        <v>46</v>
      </c>
      <c r="F706" s="4" t="s">
        <v>33</v>
      </c>
      <c r="G706" s="4" t="s">
        <v>46</v>
      </c>
      <c r="H706" s="4" t="s">
        <v>2231</v>
      </c>
      <c r="I706" s="5">
        <v>50735</v>
      </c>
      <c r="J706" s="4" t="s">
        <v>721</v>
      </c>
      <c r="K706" s="4" t="s">
        <v>693</v>
      </c>
      <c r="L706" s="4">
        <v>2005</v>
      </c>
      <c r="M706" s="4" t="s">
        <v>27</v>
      </c>
      <c r="N706" s="4">
        <v>147</v>
      </c>
      <c r="O706" s="4">
        <v>147</v>
      </c>
      <c r="P706" s="4" t="s">
        <v>2234</v>
      </c>
      <c r="Q706" s="4">
        <v>147</v>
      </c>
      <c r="R706" s="4" t="s">
        <v>2235</v>
      </c>
    </row>
    <row r="707" spans="1:18" hidden="1" x14ac:dyDescent="0.35">
      <c r="A707" s="4" t="s">
        <v>1073</v>
      </c>
      <c r="B707" s="4" t="s">
        <v>4081</v>
      </c>
      <c r="C707" s="4" t="s">
        <v>1074</v>
      </c>
      <c r="D707" s="4" t="s">
        <v>3411</v>
      </c>
      <c r="E707" s="4" t="s">
        <v>2355</v>
      </c>
      <c r="F707" s="4" t="s">
        <v>33</v>
      </c>
      <c r="G707" s="4" t="s">
        <v>409</v>
      </c>
      <c r="H707" s="4" t="s">
        <v>2231</v>
      </c>
      <c r="I707" s="5">
        <v>50769</v>
      </c>
      <c r="J707" s="4" t="s">
        <v>721</v>
      </c>
      <c r="K707" s="4" t="s">
        <v>693</v>
      </c>
      <c r="L707" s="4">
        <v>1965</v>
      </c>
      <c r="M707" s="4" t="s">
        <v>27</v>
      </c>
      <c r="N707" s="4">
        <v>15.5</v>
      </c>
      <c r="O707" s="4">
        <v>15.5</v>
      </c>
      <c r="P707" s="4" t="s">
        <v>2234</v>
      </c>
      <c r="Q707" s="4">
        <v>15.5</v>
      </c>
      <c r="R707" s="4" t="s">
        <v>2235</v>
      </c>
    </row>
    <row r="708" spans="1:18" hidden="1" x14ac:dyDescent="0.35">
      <c r="A708" s="4" t="s">
        <v>1083</v>
      </c>
      <c r="B708" s="4" t="s">
        <v>4081</v>
      </c>
      <c r="C708" s="4" t="s">
        <v>1074</v>
      </c>
      <c r="D708" s="4" t="s">
        <v>3411</v>
      </c>
      <c r="E708" s="4" t="s">
        <v>46</v>
      </c>
      <c r="F708" s="4" t="s">
        <v>33</v>
      </c>
      <c r="G708" s="4" t="s">
        <v>46</v>
      </c>
      <c r="H708" s="4" t="s">
        <v>2231</v>
      </c>
      <c r="I708" s="5">
        <v>50769</v>
      </c>
      <c r="J708" s="4" t="s">
        <v>721</v>
      </c>
      <c r="K708" s="4" t="s">
        <v>693</v>
      </c>
      <c r="L708" s="4">
        <v>2004</v>
      </c>
      <c r="M708" s="4" t="s">
        <v>27</v>
      </c>
      <c r="N708" s="4">
        <v>108</v>
      </c>
      <c r="O708" s="4">
        <v>108</v>
      </c>
      <c r="P708" s="4" t="s">
        <v>2234</v>
      </c>
      <c r="Q708" s="4">
        <v>108</v>
      </c>
      <c r="R708" s="4" t="s">
        <v>2235</v>
      </c>
    </row>
    <row r="709" spans="1:18" hidden="1" x14ac:dyDescent="0.35">
      <c r="A709" s="4" t="s">
        <v>3412</v>
      </c>
      <c r="B709" s="4" t="s">
        <v>4081</v>
      </c>
      <c r="C709" s="4" t="s">
        <v>3413</v>
      </c>
      <c r="D709" s="4" t="s">
        <v>952</v>
      </c>
      <c r="E709" s="4" t="s">
        <v>952</v>
      </c>
      <c r="F709" s="4" t="s">
        <v>33</v>
      </c>
      <c r="G709" s="4" t="s">
        <v>409</v>
      </c>
      <c r="H709" s="4" t="s">
        <v>2231</v>
      </c>
      <c r="I709" s="5">
        <v>50769</v>
      </c>
      <c r="J709" s="4" t="s">
        <v>721</v>
      </c>
      <c r="K709" s="4" t="s">
        <v>693</v>
      </c>
      <c r="L709" s="4">
        <v>2022</v>
      </c>
      <c r="M709" s="4" t="s">
        <v>2233</v>
      </c>
      <c r="N709" s="4">
        <v>35.090000000000003</v>
      </c>
      <c r="O709" s="4">
        <v>35.090000000000003</v>
      </c>
      <c r="P709" s="4" t="s">
        <v>2234</v>
      </c>
      <c r="Q709" s="4">
        <v>35.090000000000003</v>
      </c>
      <c r="R709" s="4" t="s">
        <v>2235</v>
      </c>
    </row>
    <row r="710" spans="1:18" hidden="1" x14ac:dyDescent="0.35">
      <c r="A710" s="4" t="s">
        <v>951</v>
      </c>
      <c r="B710" s="4" t="s">
        <v>4081</v>
      </c>
      <c r="C710" s="4" t="s">
        <v>3413</v>
      </c>
      <c r="D710" s="4" t="s">
        <v>3414</v>
      </c>
      <c r="E710" s="4" t="s">
        <v>3414</v>
      </c>
      <c r="F710" s="4" t="s">
        <v>33</v>
      </c>
      <c r="G710" s="4" t="s">
        <v>409</v>
      </c>
      <c r="H710" s="4" t="s">
        <v>2231</v>
      </c>
      <c r="I710" s="5">
        <v>50769</v>
      </c>
      <c r="J710" s="4" t="s">
        <v>721</v>
      </c>
      <c r="K710" s="4" t="s">
        <v>693</v>
      </c>
      <c r="L710" s="4">
        <v>2022</v>
      </c>
      <c r="M710" s="4" t="s">
        <v>2233</v>
      </c>
      <c r="N710" s="4">
        <v>29.5</v>
      </c>
      <c r="O710" s="4">
        <v>29.5</v>
      </c>
      <c r="P710" s="4" t="s">
        <v>2234</v>
      </c>
      <c r="Q710" s="4">
        <v>29.5</v>
      </c>
      <c r="R710" s="4" t="s">
        <v>2235</v>
      </c>
    </row>
    <row r="711" spans="1:18" hidden="1" x14ac:dyDescent="0.35">
      <c r="A711" s="4" t="s">
        <v>1148</v>
      </c>
      <c r="B711" s="4" t="s">
        <v>4081</v>
      </c>
      <c r="C711" s="4" t="s">
        <v>3415</v>
      </c>
      <c r="D711" s="4" t="s">
        <v>3416</v>
      </c>
      <c r="E711" s="4" t="s">
        <v>3416</v>
      </c>
      <c r="F711" s="4" t="s">
        <v>33</v>
      </c>
      <c r="G711" s="4" t="s">
        <v>46</v>
      </c>
      <c r="H711" s="4" t="s">
        <v>2231</v>
      </c>
      <c r="I711" s="5">
        <v>50997</v>
      </c>
      <c r="J711" s="4" t="s">
        <v>721</v>
      </c>
      <c r="K711" s="4" t="s">
        <v>693</v>
      </c>
      <c r="L711" s="4">
        <v>2023</v>
      </c>
      <c r="M711" s="4" t="s">
        <v>27</v>
      </c>
      <c r="N711" s="4">
        <v>92</v>
      </c>
      <c r="O711" s="4">
        <v>92</v>
      </c>
      <c r="P711" s="4" t="s">
        <v>2234</v>
      </c>
      <c r="Q711" s="4">
        <v>92</v>
      </c>
      <c r="R711" s="4" t="s">
        <v>2235</v>
      </c>
    </row>
    <row r="712" spans="1:18" hidden="1" x14ac:dyDescent="0.35">
      <c r="A712" s="4" t="s">
        <v>1077</v>
      </c>
      <c r="B712" s="4" t="s">
        <v>4081</v>
      </c>
      <c r="C712" s="4" t="s">
        <v>1074</v>
      </c>
      <c r="D712" s="4" t="s">
        <v>3417</v>
      </c>
      <c r="E712" s="4" t="s">
        <v>3418</v>
      </c>
      <c r="F712" s="4" t="s">
        <v>33</v>
      </c>
      <c r="G712" s="4" t="s">
        <v>137</v>
      </c>
      <c r="H712" s="4" t="s">
        <v>2231</v>
      </c>
      <c r="I712" s="5">
        <v>51109</v>
      </c>
      <c r="J712" s="4" t="s">
        <v>3419</v>
      </c>
      <c r="K712" s="4" t="s">
        <v>693</v>
      </c>
      <c r="L712" s="4">
        <v>2020</v>
      </c>
      <c r="M712" s="4" t="s">
        <v>27</v>
      </c>
      <c r="N712" s="4">
        <v>31.1</v>
      </c>
      <c r="O712" s="4">
        <v>31.1</v>
      </c>
      <c r="P712" s="4" t="s">
        <v>2234</v>
      </c>
      <c r="Q712" s="4">
        <v>31.1</v>
      </c>
      <c r="R712" s="4" t="s">
        <v>2235</v>
      </c>
    </row>
    <row r="713" spans="1:18" hidden="1" x14ac:dyDescent="0.35">
      <c r="A713" s="4" t="s">
        <v>800</v>
      </c>
      <c r="B713" s="4" t="s">
        <v>4081</v>
      </c>
      <c r="C713" s="4" t="s">
        <v>784</v>
      </c>
      <c r="D713" s="4" t="s">
        <v>3420</v>
      </c>
      <c r="E713" s="4" t="s">
        <v>2227</v>
      </c>
      <c r="F713" s="4" t="s">
        <v>33</v>
      </c>
      <c r="G713" s="4" t="s">
        <v>36</v>
      </c>
      <c r="H713" s="4" t="s">
        <v>2231</v>
      </c>
      <c r="I713" s="5">
        <v>51368</v>
      </c>
      <c r="J713" s="4" t="s">
        <v>716</v>
      </c>
      <c r="K713" s="4" t="s">
        <v>693</v>
      </c>
      <c r="L713" s="4">
        <v>1981</v>
      </c>
      <c r="M713" s="4" t="s">
        <v>27</v>
      </c>
      <c r="N713" s="4">
        <v>25.6</v>
      </c>
      <c r="O713" s="4">
        <v>25.6</v>
      </c>
      <c r="P713" s="4" t="s">
        <v>2234</v>
      </c>
      <c r="Q713" s="4">
        <v>25.6</v>
      </c>
      <c r="R713" s="4" t="s">
        <v>2235</v>
      </c>
    </row>
    <row r="714" spans="1:18" hidden="1" x14ac:dyDescent="0.35">
      <c r="A714" s="4" t="s">
        <v>802</v>
      </c>
      <c r="B714" s="4" t="s">
        <v>4081</v>
      </c>
      <c r="C714" s="4" t="s">
        <v>784</v>
      </c>
      <c r="D714" s="4" t="s">
        <v>3421</v>
      </c>
      <c r="E714" s="4" t="s">
        <v>803</v>
      </c>
      <c r="F714" s="4" t="s">
        <v>33</v>
      </c>
      <c r="G714" s="4" t="s">
        <v>409</v>
      </c>
      <c r="H714" s="4" t="s">
        <v>2231</v>
      </c>
      <c r="I714" s="5">
        <v>51368</v>
      </c>
      <c r="J714" s="4" t="s">
        <v>716</v>
      </c>
      <c r="K714" s="4" t="s">
        <v>693</v>
      </c>
      <c r="L714" s="4">
        <v>1971</v>
      </c>
      <c r="M714" s="4" t="s">
        <v>27</v>
      </c>
      <c r="N714" s="4">
        <v>27.47</v>
      </c>
      <c r="O714" s="4">
        <v>27.47</v>
      </c>
      <c r="P714" s="4" t="s">
        <v>2234</v>
      </c>
      <c r="Q714" s="4">
        <v>27.47</v>
      </c>
      <c r="R714" s="4" t="s">
        <v>2235</v>
      </c>
    </row>
    <row r="715" spans="1:18" x14ac:dyDescent="0.35">
      <c r="A715" s="4" t="s">
        <v>3422</v>
      </c>
      <c r="B715" s="4" t="s">
        <v>4080</v>
      </c>
      <c r="C715" s="4" t="s">
        <v>2394</v>
      </c>
      <c r="D715" s="4" t="s">
        <v>2395</v>
      </c>
      <c r="E715" s="4" t="s">
        <v>3423</v>
      </c>
      <c r="F715" s="4" t="s">
        <v>33</v>
      </c>
      <c r="G715" s="4" t="s">
        <v>46</v>
      </c>
      <c r="H715" s="4" t="s">
        <v>2231</v>
      </c>
      <c r="I715" s="5">
        <v>36269</v>
      </c>
      <c r="J715" s="4" t="s">
        <v>1570</v>
      </c>
      <c r="K715" s="4" t="s">
        <v>865</v>
      </c>
      <c r="L715" s="4">
        <v>2017</v>
      </c>
      <c r="M715" s="4" t="s">
        <v>27</v>
      </c>
      <c r="N715" s="4">
        <v>5.7</v>
      </c>
      <c r="O715" s="4">
        <v>5.7</v>
      </c>
      <c r="P715" s="4" t="s">
        <v>2234</v>
      </c>
      <c r="Q715" s="4">
        <v>5.7</v>
      </c>
      <c r="R715" s="4" t="s">
        <v>2235</v>
      </c>
    </row>
    <row r="716" spans="1:18" hidden="1" x14ac:dyDescent="0.35">
      <c r="A716" s="4" t="s">
        <v>713</v>
      </c>
      <c r="B716" s="4" t="s">
        <v>4081</v>
      </c>
      <c r="C716" s="4" t="s">
        <v>3424</v>
      </c>
      <c r="D716" s="4" t="s">
        <v>715</v>
      </c>
      <c r="E716" s="4" t="s">
        <v>2227</v>
      </c>
      <c r="F716" s="4" t="s">
        <v>173</v>
      </c>
      <c r="G716" s="4" t="s">
        <v>409</v>
      </c>
      <c r="H716" s="4" t="s">
        <v>2231</v>
      </c>
      <c r="I716" s="5">
        <v>51373</v>
      </c>
      <c r="J716" s="4" t="s">
        <v>716</v>
      </c>
      <c r="K716" s="4" t="s">
        <v>693</v>
      </c>
      <c r="L716" s="4">
        <v>2011</v>
      </c>
      <c r="M716" s="4" t="s">
        <v>27</v>
      </c>
      <c r="N716" s="4">
        <v>18.7</v>
      </c>
      <c r="O716" s="4">
        <v>18.7</v>
      </c>
      <c r="P716" s="4" t="s">
        <v>173</v>
      </c>
      <c r="Q716" s="4">
        <v>18.7</v>
      </c>
      <c r="R716" s="4" t="s">
        <v>173</v>
      </c>
    </row>
    <row r="717" spans="1:18" hidden="1" x14ac:dyDescent="0.35">
      <c r="A717" s="4" t="s">
        <v>2227</v>
      </c>
      <c r="B717" s="4" t="s">
        <v>4081</v>
      </c>
      <c r="C717" s="4" t="s">
        <v>3425</v>
      </c>
      <c r="D717" s="4" t="s">
        <v>3426</v>
      </c>
      <c r="E717" s="4" t="s">
        <v>3427</v>
      </c>
      <c r="F717" s="4" t="s">
        <v>33</v>
      </c>
      <c r="G717" s="4" t="s">
        <v>46</v>
      </c>
      <c r="H717" s="4" t="s">
        <v>2231</v>
      </c>
      <c r="I717" s="5">
        <v>51373</v>
      </c>
      <c r="J717" s="4" t="s">
        <v>716</v>
      </c>
      <c r="K717" s="4" t="s">
        <v>693</v>
      </c>
      <c r="L717" s="4">
        <v>2025</v>
      </c>
      <c r="M717" s="4" t="s">
        <v>2459</v>
      </c>
      <c r="N717" s="4">
        <v>574</v>
      </c>
      <c r="O717" s="4">
        <v>574</v>
      </c>
      <c r="P717" s="4" t="s">
        <v>2234</v>
      </c>
      <c r="Q717" s="4">
        <v>574</v>
      </c>
      <c r="R717" s="4" t="s">
        <v>2235</v>
      </c>
    </row>
    <row r="718" spans="1:18" hidden="1" x14ac:dyDescent="0.35">
      <c r="A718" s="4" t="s">
        <v>3428</v>
      </c>
      <c r="B718" s="4" t="s">
        <v>4081</v>
      </c>
      <c r="C718" s="4" t="s">
        <v>2559</v>
      </c>
      <c r="D718" s="4" t="s">
        <v>3429</v>
      </c>
      <c r="E718" s="4" t="s">
        <v>3430</v>
      </c>
      <c r="F718" s="4" t="s">
        <v>33</v>
      </c>
      <c r="G718" s="4" t="s">
        <v>137</v>
      </c>
      <c r="H718" s="4" t="s">
        <v>2231</v>
      </c>
      <c r="I718" s="5">
        <v>84130</v>
      </c>
      <c r="J718" s="4" t="s">
        <v>2572</v>
      </c>
      <c r="K718" s="4" t="s">
        <v>701</v>
      </c>
      <c r="L718" s="4">
        <v>2019</v>
      </c>
      <c r="M718" s="4" t="s">
        <v>27</v>
      </c>
      <c r="N718" s="4">
        <v>4.5</v>
      </c>
      <c r="O718" s="4">
        <v>4.5</v>
      </c>
      <c r="P718" s="4" t="s">
        <v>2234</v>
      </c>
      <c r="Q718" s="4">
        <v>4.5</v>
      </c>
      <c r="R718" s="4" t="s">
        <v>2235</v>
      </c>
    </row>
    <row r="719" spans="1:18" hidden="1" x14ac:dyDescent="0.35">
      <c r="A719" s="4" t="s">
        <v>3431</v>
      </c>
      <c r="B719" s="4" t="s">
        <v>4081</v>
      </c>
      <c r="C719" s="4" t="s">
        <v>2559</v>
      </c>
      <c r="D719" s="4" t="s">
        <v>3429</v>
      </c>
      <c r="E719" s="4" t="s">
        <v>2587</v>
      </c>
      <c r="F719" s="4" t="s">
        <v>33</v>
      </c>
      <c r="G719" s="4" t="s">
        <v>137</v>
      </c>
      <c r="H719" s="4" t="s">
        <v>2231</v>
      </c>
      <c r="I719" s="5">
        <v>84130</v>
      </c>
      <c r="J719" s="4" t="s">
        <v>2572</v>
      </c>
      <c r="K719" s="4" t="s">
        <v>701</v>
      </c>
      <c r="L719" s="4">
        <v>2019</v>
      </c>
      <c r="M719" s="4" t="s">
        <v>27</v>
      </c>
      <c r="N719" s="4">
        <v>4.5</v>
      </c>
      <c r="O719" s="4">
        <v>4.5</v>
      </c>
      <c r="P719" s="4" t="s">
        <v>2234</v>
      </c>
      <c r="Q719" s="4">
        <v>4.5</v>
      </c>
      <c r="R719" s="4" t="s">
        <v>2235</v>
      </c>
    </row>
    <row r="720" spans="1:18" hidden="1" x14ac:dyDescent="0.35">
      <c r="A720" s="4" t="s">
        <v>1266</v>
      </c>
      <c r="B720" s="4" t="s">
        <v>4081</v>
      </c>
      <c r="C720" s="4" t="s">
        <v>1267</v>
      </c>
      <c r="D720" s="4" t="s">
        <v>1268</v>
      </c>
      <c r="E720" s="4" t="s">
        <v>1268</v>
      </c>
      <c r="F720" s="4" t="s">
        <v>33</v>
      </c>
      <c r="G720" s="4" t="s">
        <v>137</v>
      </c>
      <c r="H720" s="4" t="s">
        <v>2231</v>
      </c>
      <c r="I720" s="5">
        <v>51465</v>
      </c>
      <c r="J720" s="4" t="s">
        <v>1269</v>
      </c>
      <c r="K720" s="4" t="s">
        <v>693</v>
      </c>
      <c r="L720" s="4">
        <v>1989</v>
      </c>
      <c r="M720" s="4" t="s">
        <v>27</v>
      </c>
      <c r="N720" s="4">
        <v>21.1</v>
      </c>
      <c r="O720" s="4">
        <v>21.1</v>
      </c>
      <c r="P720" s="4" t="s">
        <v>2234</v>
      </c>
      <c r="Q720" s="4">
        <v>21.1</v>
      </c>
      <c r="R720" s="4" t="s">
        <v>2235</v>
      </c>
    </row>
    <row r="721" spans="1:18" hidden="1" x14ac:dyDescent="0.35">
      <c r="A721" s="4" t="s">
        <v>1216</v>
      </c>
      <c r="B721" s="4" t="s">
        <v>4081</v>
      </c>
      <c r="C721" s="4" t="s">
        <v>3432</v>
      </c>
      <c r="D721" s="4" t="s">
        <v>1218</v>
      </c>
      <c r="E721" s="4">
        <v>1</v>
      </c>
      <c r="F721" s="4" t="s">
        <v>33</v>
      </c>
      <c r="G721" s="4" t="s">
        <v>137</v>
      </c>
      <c r="H721" s="4" t="s">
        <v>2249</v>
      </c>
      <c r="I721" s="5">
        <v>52070</v>
      </c>
      <c r="J721" s="4" t="s">
        <v>1219</v>
      </c>
      <c r="K721" s="4" t="s">
        <v>693</v>
      </c>
      <c r="L721" s="4">
        <v>2023</v>
      </c>
      <c r="M721" s="4" t="s">
        <v>27</v>
      </c>
      <c r="N721" s="4">
        <v>21.51</v>
      </c>
      <c r="O721" s="4">
        <v>21.51</v>
      </c>
      <c r="P721" s="4" t="s">
        <v>2234</v>
      </c>
      <c r="Q721" s="4">
        <v>21.51</v>
      </c>
      <c r="R721" s="4" t="s">
        <v>2235</v>
      </c>
    </row>
    <row r="722" spans="1:18" hidden="1" x14ac:dyDescent="0.35">
      <c r="A722" s="4" t="s">
        <v>1137</v>
      </c>
      <c r="B722" s="4" t="s">
        <v>4081</v>
      </c>
      <c r="C722" s="4" t="s">
        <v>1138</v>
      </c>
      <c r="D722" s="4" t="s">
        <v>3433</v>
      </c>
      <c r="E722" s="4" t="s">
        <v>3434</v>
      </c>
      <c r="F722" s="4" t="s">
        <v>33</v>
      </c>
      <c r="G722" s="4" t="s">
        <v>36</v>
      </c>
      <c r="H722" s="4" t="s">
        <v>2249</v>
      </c>
      <c r="I722" s="5">
        <v>52249</v>
      </c>
      <c r="J722" s="4" t="s">
        <v>3435</v>
      </c>
      <c r="K722" s="4" t="s">
        <v>693</v>
      </c>
      <c r="L722" s="4">
        <v>2006</v>
      </c>
      <c r="M722" s="4" t="s">
        <v>27</v>
      </c>
      <c r="N722" s="4">
        <v>200</v>
      </c>
      <c r="O722" s="4">
        <v>200</v>
      </c>
      <c r="P722" s="4" t="s">
        <v>2234</v>
      </c>
      <c r="Q722" s="4">
        <v>200</v>
      </c>
      <c r="R722" s="4" t="s">
        <v>2235</v>
      </c>
    </row>
    <row r="723" spans="1:18" hidden="1" x14ac:dyDescent="0.35">
      <c r="A723" s="4" t="s">
        <v>1141</v>
      </c>
      <c r="B723" s="4" t="s">
        <v>4081</v>
      </c>
      <c r="C723" s="4" t="s">
        <v>1138</v>
      </c>
      <c r="D723" s="4" t="s">
        <v>3433</v>
      </c>
      <c r="E723" s="4" t="s">
        <v>3436</v>
      </c>
      <c r="F723" s="4" t="s">
        <v>33</v>
      </c>
      <c r="G723" s="4" t="s">
        <v>36</v>
      </c>
      <c r="H723" s="4" t="s">
        <v>2249</v>
      </c>
      <c r="I723" s="5">
        <v>52249</v>
      </c>
      <c r="J723" s="4" t="s">
        <v>3435</v>
      </c>
      <c r="K723" s="4" t="s">
        <v>693</v>
      </c>
      <c r="L723" s="4">
        <v>2006</v>
      </c>
      <c r="M723" s="4" t="s">
        <v>27</v>
      </c>
      <c r="N723" s="4">
        <v>200</v>
      </c>
      <c r="O723" s="4">
        <v>200</v>
      </c>
      <c r="P723" s="4" t="s">
        <v>2234</v>
      </c>
      <c r="Q723" s="4">
        <v>200</v>
      </c>
      <c r="R723" s="4" t="s">
        <v>2235</v>
      </c>
    </row>
    <row r="724" spans="1:18" hidden="1" x14ac:dyDescent="0.35">
      <c r="A724" s="4" t="s">
        <v>1044</v>
      </c>
      <c r="B724" s="4" t="s">
        <v>4081</v>
      </c>
      <c r="C724" s="4" t="s">
        <v>1138</v>
      </c>
      <c r="D724" s="4" t="s">
        <v>3437</v>
      </c>
      <c r="E724" s="4" t="s">
        <v>2447</v>
      </c>
      <c r="F724" s="4" t="s">
        <v>173</v>
      </c>
      <c r="G724" s="4" t="s">
        <v>409</v>
      </c>
      <c r="H724" s="4" t="s">
        <v>2231</v>
      </c>
      <c r="I724" s="5">
        <v>52249</v>
      </c>
      <c r="J724" s="4" t="s">
        <v>3433</v>
      </c>
      <c r="K724" s="4" t="s">
        <v>693</v>
      </c>
      <c r="L724" s="4">
        <v>1996</v>
      </c>
      <c r="M724" s="4" t="s">
        <v>27</v>
      </c>
      <c r="N724" s="4">
        <v>27</v>
      </c>
      <c r="O724" s="4">
        <v>27</v>
      </c>
      <c r="P724" s="4" t="s">
        <v>173</v>
      </c>
      <c r="Q724" s="4">
        <v>27</v>
      </c>
      <c r="R724" s="4" t="s">
        <v>173</v>
      </c>
    </row>
    <row r="725" spans="1:18" hidden="1" x14ac:dyDescent="0.35">
      <c r="A725" s="4" t="s">
        <v>2227</v>
      </c>
      <c r="B725" s="4" t="s">
        <v>4081</v>
      </c>
      <c r="C725" s="4" t="s">
        <v>2227</v>
      </c>
      <c r="D725" s="4" t="s">
        <v>2227</v>
      </c>
      <c r="E725" s="4" t="s">
        <v>2227</v>
      </c>
      <c r="F725" s="4" t="s">
        <v>2234</v>
      </c>
      <c r="G725" s="4" t="s">
        <v>46</v>
      </c>
      <c r="H725" s="4" t="s">
        <v>2231</v>
      </c>
      <c r="I725" s="5" t="s">
        <v>2227</v>
      </c>
      <c r="J725" s="5" t="s">
        <v>2227</v>
      </c>
      <c r="K725" s="4" t="s">
        <v>693</v>
      </c>
      <c r="L725" s="4">
        <v>2028</v>
      </c>
      <c r="M725" s="4" t="s">
        <v>2459</v>
      </c>
      <c r="N725" s="4">
        <v>1000</v>
      </c>
      <c r="O725" s="4">
        <v>1000</v>
      </c>
      <c r="P725" s="4" t="s">
        <v>2234</v>
      </c>
      <c r="Q725" s="4">
        <v>1000</v>
      </c>
      <c r="R725" s="4" t="s">
        <v>2235</v>
      </c>
    </row>
    <row r="726" spans="1:18" hidden="1" x14ac:dyDescent="0.35">
      <c r="A726" s="4" t="s">
        <v>3438</v>
      </c>
      <c r="B726" s="4" t="s">
        <v>4081</v>
      </c>
      <c r="C726" s="4" t="s">
        <v>3439</v>
      </c>
      <c r="D726" s="4" t="s">
        <v>3440</v>
      </c>
      <c r="E726" s="4" t="s">
        <v>2150</v>
      </c>
      <c r="F726" s="4" t="s">
        <v>2255</v>
      </c>
      <c r="G726" s="4" t="s">
        <v>2535</v>
      </c>
      <c r="H726" s="4" t="s">
        <v>2249</v>
      </c>
      <c r="I726" s="5">
        <v>52396</v>
      </c>
      <c r="J726" s="4" t="s">
        <v>3441</v>
      </c>
      <c r="K726" s="4" t="s">
        <v>693</v>
      </c>
      <c r="L726" s="4">
        <v>1938</v>
      </c>
      <c r="M726" s="4" t="s">
        <v>27</v>
      </c>
      <c r="N726" s="4">
        <v>14</v>
      </c>
      <c r="O726" s="4">
        <v>14</v>
      </c>
      <c r="P726" s="4" t="s">
        <v>2255</v>
      </c>
      <c r="Q726" s="4">
        <v>14</v>
      </c>
      <c r="R726" s="4" t="s">
        <v>2255</v>
      </c>
    </row>
    <row r="727" spans="1:18" hidden="1" x14ac:dyDescent="0.35">
      <c r="A727" s="4" t="s">
        <v>3442</v>
      </c>
      <c r="B727" s="4" t="s">
        <v>4081</v>
      </c>
      <c r="C727" s="4" t="s">
        <v>3443</v>
      </c>
      <c r="D727" s="4" t="s">
        <v>3444</v>
      </c>
      <c r="E727" s="4" t="s">
        <v>3444</v>
      </c>
      <c r="F727" s="4" t="s">
        <v>33</v>
      </c>
      <c r="G727" s="4" t="s">
        <v>137</v>
      </c>
      <c r="H727" s="4" t="s">
        <v>2231</v>
      </c>
      <c r="I727" s="5">
        <v>52428</v>
      </c>
      <c r="J727" s="4" t="s">
        <v>3445</v>
      </c>
      <c r="K727" s="4" t="s">
        <v>693</v>
      </c>
      <c r="L727" s="4">
        <v>2021</v>
      </c>
      <c r="M727" s="4" t="s">
        <v>27</v>
      </c>
      <c r="N727" s="4">
        <v>4.3</v>
      </c>
      <c r="O727" s="4">
        <v>4.3</v>
      </c>
      <c r="P727" s="4" t="s">
        <v>2234</v>
      </c>
      <c r="Q727" s="4">
        <v>4.3</v>
      </c>
      <c r="R727" s="4" t="s">
        <v>2235</v>
      </c>
    </row>
    <row r="728" spans="1:18" hidden="1" x14ac:dyDescent="0.35">
      <c r="A728" s="4" t="s">
        <v>3446</v>
      </c>
      <c r="B728" s="4" t="s">
        <v>4081</v>
      </c>
      <c r="C728" s="4" t="s">
        <v>3443</v>
      </c>
      <c r="D728" s="4" t="s">
        <v>3447</v>
      </c>
      <c r="E728" s="4" t="s">
        <v>3447</v>
      </c>
      <c r="F728" s="4" t="s">
        <v>33</v>
      </c>
      <c r="G728" s="4" t="s">
        <v>137</v>
      </c>
      <c r="H728" s="4" t="s">
        <v>2231</v>
      </c>
      <c r="I728" s="5">
        <v>52428</v>
      </c>
      <c r="J728" s="4" t="s">
        <v>3445</v>
      </c>
      <c r="K728" s="4" t="s">
        <v>693</v>
      </c>
      <c r="L728" s="4">
        <v>2021</v>
      </c>
      <c r="M728" s="4" t="s">
        <v>27</v>
      </c>
      <c r="N728" s="4">
        <v>4.3</v>
      </c>
      <c r="O728" s="4">
        <v>4.3</v>
      </c>
      <c r="P728" s="4" t="s">
        <v>2234</v>
      </c>
      <c r="Q728" s="4">
        <v>4.3</v>
      </c>
      <c r="R728" s="4" t="s">
        <v>2235</v>
      </c>
    </row>
    <row r="729" spans="1:18" hidden="1" x14ac:dyDescent="0.35">
      <c r="A729" s="4" t="s">
        <v>3448</v>
      </c>
      <c r="B729" s="4" t="s">
        <v>4081</v>
      </c>
      <c r="C729" s="4" t="s">
        <v>3443</v>
      </c>
      <c r="D729" s="4" t="s">
        <v>3449</v>
      </c>
      <c r="E729" s="4" t="s">
        <v>3449</v>
      </c>
      <c r="F729" s="4" t="s">
        <v>33</v>
      </c>
      <c r="G729" s="4" t="s">
        <v>137</v>
      </c>
      <c r="H729" s="4" t="s">
        <v>2231</v>
      </c>
      <c r="I729" s="5">
        <v>52428</v>
      </c>
      <c r="J729" s="4" t="s">
        <v>3445</v>
      </c>
      <c r="K729" s="4" t="s">
        <v>693</v>
      </c>
      <c r="L729" s="4">
        <v>2021</v>
      </c>
      <c r="M729" s="4" t="s">
        <v>27</v>
      </c>
      <c r="N729" s="4">
        <v>4.3</v>
      </c>
      <c r="O729" s="4">
        <v>4.3</v>
      </c>
      <c r="P729" s="4" t="s">
        <v>2234</v>
      </c>
      <c r="Q729" s="4">
        <v>4.3</v>
      </c>
      <c r="R729" s="4" t="s">
        <v>2235</v>
      </c>
    </row>
    <row r="730" spans="1:18" hidden="1" x14ac:dyDescent="0.35">
      <c r="A730" s="4" t="s">
        <v>3450</v>
      </c>
      <c r="B730" s="4" t="s">
        <v>4081</v>
      </c>
      <c r="C730" s="4" t="s">
        <v>3325</v>
      </c>
      <c r="D730" s="4" t="s">
        <v>2831</v>
      </c>
      <c r="E730" s="4">
        <v>1</v>
      </c>
      <c r="F730" s="4" t="s">
        <v>33</v>
      </c>
      <c r="G730" s="4" t="s">
        <v>137</v>
      </c>
      <c r="H730" s="4" t="s">
        <v>2231</v>
      </c>
      <c r="I730" s="5">
        <v>52428</v>
      </c>
      <c r="J730" s="4" t="s">
        <v>3445</v>
      </c>
      <c r="K730" s="4" t="s">
        <v>693</v>
      </c>
      <c r="L730" s="4">
        <v>2002</v>
      </c>
      <c r="M730" s="4" t="s">
        <v>27</v>
      </c>
      <c r="N730" s="4">
        <v>1.39</v>
      </c>
      <c r="O730" s="4">
        <v>1.39</v>
      </c>
      <c r="P730" s="4" t="s">
        <v>2234</v>
      </c>
      <c r="Q730" s="4">
        <v>1.39</v>
      </c>
      <c r="R730" s="4" t="s">
        <v>2235</v>
      </c>
    </row>
    <row r="731" spans="1:18" hidden="1" x14ac:dyDescent="0.35">
      <c r="A731" s="4" t="s">
        <v>1063</v>
      </c>
      <c r="B731" s="4" t="s">
        <v>4081</v>
      </c>
      <c r="C731" s="4" t="s">
        <v>3325</v>
      </c>
      <c r="D731" s="4" t="s">
        <v>3451</v>
      </c>
      <c r="E731" s="4" t="s">
        <v>3452</v>
      </c>
      <c r="F731" s="4" t="s">
        <v>33</v>
      </c>
      <c r="G731" s="4" t="s">
        <v>409</v>
      </c>
      <c r="H731" s="4" t="s">
        <v>2231</v>
      </c>
      <c r="I731" s="5">
        <v>52428</v>
      </c>
      <c r="J731" s="4" t="s">
        <v>3445</v>
      </c>
      <c r="K731" s="4" t="s">
        <v>693</v>
      </c>
      <c r="L731" s="4">
        <v>2004</v>
      </c>
      <c r="M731" s="4" t="s">
        <v>27</v>
      </c>
      <c r="N731" s="4">
        <v>22.86</v>
      </c>
      <c r="O731" s="4">
        <v>22.86</v>
      </c>
      <c r="P731" s="4" t="s">
        <v>2234</v>
      </c>
      <c r="Q731" s="4">
        <v>22.86</v>
      </c>
      <c r="R731" s="4" t="s">
        <v>2235</v>
      </c>
    </row>
    <row r="732" spans="1:18" hidden="1" x14ac:dyDescent="0.35">
      <c r="A732" s="4" t="s">
        <v>843</v>
      </c>
      <c r="B732" s="4" t="s">
        <v>4081</v>
      </c>
      <c r="C732" s="4" t="s">
        <v>844</v>
      </c>
      <c r="D732" s="4" t="s">
        <v>3453</v>
      </c>
      <c r="E732" s="4" t="s">
        <v>3453</v>
      </c>
      <c r="F732" s="4" t="s">
        <v>173</v>
      </c>
      <c r="G732" s="4" t="s">
        <v>409</v>
      </c>
      <c r="H732" s="4" t="s">
        <v>2231</v>
      </c>
      <c r="I732" s="5">
        <v>53115</v>
      </c>
      <c r="J732" s="4" t="s">
        <v>846</v>
      </c>
      <c r="K732" s="4" t="s">
        <v>693</v>
      </c>
      <c r="L732" s="4">
        <v>1991</v>
      </c>
      <c r="M732" s="4" t="s">
        <v>27</v>
      </c>
      <c r="N732" s="4">
        <v>12</v>
      </c>
      <c r="O732" s="4">
        <v>12</v>
      </c>
      <c r="P732" s="4" t="s">
        <v>173</v>
      </c>
      <c r="Q732" s="4">
        <v>12</v>
      </c>
      <c r="R732" s="4" t="s">
        <v>173</v>
      </c>
    </row>
    <row r="733" spans="1:18" hidden="1" x14ac:dyDescent="0.35">
      <c r="A733" s="4" t="s">
        <v>848</v>
      </c>
      <c r="B733" s="4" t="s">
        <v>4081</v>
      </c>
      <c r="C733" s="4" t="s">
        <v>844</v>
      </c>
      <c r="D733" s="4" t="s">
        <v>3453</v>
      </c>
      <c r="E733" s="4" t="s">
        <v>1010</v>
      </c>
      <c r="F733" s="4" t="s">
        <v>33</v>
      </c>
      <c r="G733" s="4" t="s">
        <v>46</v>
      </c>
      <c r="H733" s="4" t="s">
        <v>2231</v>
      </c>
      <c r="I733" s="5">
        <v>53115</v>
      </c>
      <c r="J733" s="4" t="s">
        <v>846</v>
      </c>
      <c r="K733" s="4" t="s">
        <v>693</v>
      </c>
      <c r="L733" s="4">
        <v>2013</v>
      </c>
      <c r="M733" s="4" t="s">
        <v>27</v>
      </c>
      <c r="N733" s="4">
        <v>20.5</v>
      </c>
      <c r="O733" s="4">
        <v>20.5</v>
      </c>
      <c r="P733" s="4" t="s">
        <v>2234</v>
      </c>
      <c r="Q733" s="4">
        <v>20.5</v>
      </c>
      <c r="R733" s="4" t="s">
        <v>2235</v>
      </c>
    </row>
    <row r="734" spans="1:18" hidden="1" x14ac:dyDescent="0.35">
      <c r="A734" s="4" t="s">
        <v>853</v>
      </c>
      <c r="B734" s="4" t="s">
        <v>4081</v>
      </c>
      <c r="C734" s="4" t="s">
        <v>844</v>
      </c>
      <c r="D734" s="4" t="s">
        <v>3453</v>
      </c>
      <c r="E734" s="4" t="s">
        <v>159</v>
      </c>
      <c r="F734" s="4" t="s">
        <v>33</v>
      </c>
      <c r="G734" s="4" t="s">
        <v>46</v>
      </c>
      <c r="H734" s="4" t="s">
        <v>2231</v>
      </c>
      <c r="I734" s="5">
        <v>53115</v>
      </c>
      <c r="J734" s="4" t="s">
        <v>846</v>
      </c>
      <c r="K734" s="4" t="s">
        <v>693</v>
      </c>
      <c r="L734" s="4">
        <v>2013</v>
      </c>
      <c r="M734" s="4" t="s">
        <v>27</v>
      </c>
      <c r="N734" s="4">
        <v>73.5</v>
      </c>
      <c r="O734" s="4">
        <v>73.5</v>
      </c>
      <c r="P734" s="4" t="s">
        <v>2234</v>
      </c>
      <c r="Q734" s="4">
        <v>73.5</v>
      </c>
      <c r="R734" s="4" t="s">
        <v>2235</v>
      </c>
    </row>
    <row r="735" spans="1:18" hidden="1" x14ac:dyDescent="0.35">
      <c r="A735" s="4" t="s">
        <v>3454</v>
      </c>
      <c r="B735" s="4" t="s">
        <v>4081</v>
      </c>
      <c r="C735" s="4" t="s">
        <v>883</v>
      </c>
      <c r="D735" s="4" t="s">
        <v>3455</v>
      </c>
      <c r="E735" s="4" t="s">
        <v>36</v>
      </c>
      <c r="F735" s="4" t="s">
        <v>33</v>
      </c>
      <c r="G735" s="4" t="s">
        <v>36</v>
      </c>
      <c r="H735" s="4" t="s">
        <v>2231</v>
      </c>
      <c r="I735" s="5">
        <v>79618</v>
      </c>
      <c r="J735" s="4" t="s">
        <v>3456</v>
      </c>
      <c r="K735" s="4" t="s">
        <v>2232</v>
      </c>
      <c r="L735" s="4">
        <v>1979</v>
      </c>
      <c r="M735" s="4" t="s">
        <v>27</v>
      </c>
      <c r="N735" s="4">
        <v>9.25</v>
      </c>
      <c r="O735" s="4">
        <v>9.25</v>
      </c>
      <c r="P735" s="4" t="s">
        <v>2234</v>
      </c>
      <c r="Q735" s="4">
        <v>9.25</v>
      </c>
      <c r="R735" s="4" t="s">
        <v>2235</v>
      </c>
    </row>
    <row r="736" spans="1:18" hidden="1" x14ac:dyDescent="0.35">
      <c r="A736" s="4" t="s">
        <v>3457</v>
      </c>
      <c r="B736" s="4" t="s">
        <v>4081</v>
      </c>
      <c r="C736" s="4" t="s">
        <v>883</v>
      </c>
      <c r="D736" s="4" t="s">
        <v>3455</v>
      </c>
      <c r="E736" s="4" t="s">
        <v>409</v>
      </c>
      <c r="F736" s="4" t="s">
        <v>33</v>
      </c>
      <c r="G736" s="4" t="s">
        <v>409</v>
      </c>
      <c r="H736" s="4" t="s">
        <v>2231</v>
      </c>
      <c r="I736" s="5">
        <v>79618</v>
      </c>
      <c r="J736" s="4" t="s">
        <v>3456</v>
      </c>
      <c r="K736" s="4" t="s">
        <v>2232</v>
      </c>
      <c r="L736" s="4">
        <v>2006</v>
      </c>
      <c r="M736" s="4" t="s">
        <v>27</v>
      </c>
      <c r="N736" s="4">
        <v>6.43</v>
      </c>
      <c r="O736" s="4">
        <v>6.43</v>
      </c>
      <c r="P736" s="4" t="s">
        <v>2234</v>
      </c>
      <c r="Q736" s="4">
        <v>6.43</v>
      </c>
      <c r="R736" s="4" t="s">
        <v>2235</v>
      </c>
    </row>
    <row r="737" spans="1:18" hidden="1" x14ac:dyDescent="0.35">
      <c r="A737" s="4" t="s">
        <v>3458</v>
      </c>
      <c r="B737" s="4" t="s">
        <v>4081</v>
      </c>
      <c r="C737" s="4" t="s">
        <v>3459</v>
      </c>
      <c r="D737" s="4" t="s">
        <v>3460</v>
      </c>
      <c r="E737" s="4" t="s">
        <v>2256</v>
      </c>
      <c r="F737" s="4" t="s">
        <v>2255</v>
      </c>
      <c r="G737" s="4" t="s">
        <v>2256</v>
      </c>
      <c r="H737" s="4" t="s">
        <v>2249</v>
      </c>
      <c r="I737" s="5">
        <v>74405</v>
      </c>
      <c r="J737" s="4" t="s">
        <v>3460</v>
      </c>
      <c r="K737" s="4" t="s">
        <v>2232</v>
      </c>
      <c r="L737" s="4">
        <v>2024</v>
      </c>
      <c r="M737" s="4" t="s">
        <v>2233</v>
      </c>
      <c r="N737" s="4">
        <v>16</v>
      </c>
      <c r="O737" s="4">
        <v>16</v>
      </c>
      <c r="P737" s="4" t="s">
        <v>2255</v>
      </c>
      <c r="Q737" s="4">
        <v>16</v>
      </c>
      <c r="R737" s="4" t="s">
        <v>2255</v>
      </c>
    </row>
    <row r="738" spans="1:18" hidden="1" x14ac:dyDescent="0.35">
      <c r="A738" s="4" t="s">
        <v>3461</v>
      </c>
      <c r="B738" s="4" t="s">
        <v>4081</v>
      </c>
      <c r="C738" s="4" t="s">
        <v>2228</v>
      </c>
      <c r="D738" s="4" t="s">
        <v>3462</v>
      </c>
      <c r="E738" s="4" t="s">
        <v>3463</v>
      </c>
      <c r="F738" s="4" t="s">
        <v>2255</v>
      </c>
      <c r="G738" s="4" t="s">
        <v>2535</v>
      </c>
      <c r="H738" s="4" t="s">
        <v>2249</v>
      </c>
      <c r="I738" s="5" t="s">
        <v>2647</v>
      </c>
      <c r="J738" s="4" t="s">
        <v>2648</v>
      </c>
      <c r="K738" s="4" t="s">
        <v>2227</v>
      </c>
      <c r="L738" s="4">
        <v>1943</v>
      </c>
      <c r="M738" s="4" t="s">
        <v>27</v>
      </c>
      <c r="N738" s="4">
        <v>18</v>
      </c>
      <c r="O738" s="4">
        <v>18</v>
      </c>
      <c r="P738" s="4" t="s">
        <v>2255</v>
      </c>
      <c r="Q738" s="4">
        <v>18</v>
      </c>
      <c r="R738" s="4" t="s">
        <v>2255</v>
      </c>
    </row>
    <row r="739" spans="1:18" hidden="1" x14ac:dyDescent="0.35">
      <c r="A739" s="4" t="s">
        <v>3464</v>
      </c>
      <c r="B739" s="4" t="s">
        <v>4081</v>
      </c>
      <c r="C739" s="4" t="s">
        <v>2228</v>
      </c>
      <c r="D739" s="4" t="s">
        <v>3462</v>
      </c>
      <c r="E739" s="4" t="s">
        <v>3465</v>
      </c>
      <c r="F739" s="4" t="s">
        <v>2255</v>
      </c>
      <c r="G739" s="4" t="s">
        <v>2535</v>
      </c>
      <c r="H739" s="4" t="s">
        <v>2249</v>
      </c>
      <c r="I739" s="5" t="s">
        <v>2647</v>
      </c>
      <c r="J739" s="4" t="s">
        <v>2648</v>
      </c>
      <c r="K739" s="4" t="s">
        <v>2227</v>
      </c>
      <c r="L739" s="4">
        <v>1943</v>
      </c>
      <c r="M739" s="4" t="s">
        <v>27</v>
      </c>
      <c r="N739" s="4">
        <v>18</v>
      </c>
      <c r="O739" s="4">
        <v>18</v>
      </c>
      <c r="P739" s="4" t="s">
        <v>2255</v>
      </c>
      <c r="Q739" s="4">
        <v>18</v>
      </c>
      <c r="R739" s="4" t="s">
        <v>2255</v>
      </c>
    </row>
    <row r="740" spans="1:18" hidden="1" x14ac:dyDescent="0.35">
      <c r="A740" s="4" t="s">
        <v>2038</v>
      </c>
      <c r="B740" s="4" t="s">
        <v>4081</v>
      </c>
      <c r="C740" s="4" t="s">
        <v>3466</v>
      </c>
      <c r="D740" s="4" t="s">
        <v>2039</v>
      </c>
      <c r="E740" s="4" t="s">
        <v>2227</v>
      </c>
      <c r="F740" s="4" t="s">
        <v>173</v>
      </c>
      <c r="G740" s="4" t="s">
        <v>409</v>
      </c>
      <c r="H740" s="4" t="s">
        <v>2231</v>
      </c>
      <c r="I740" s="5">
        <v>79427</v>
      </c>
      <c r="J740" s="4" t="s">
        <v>2040</v>
      </c>
      <c r="K740" s="4" t="s">
        <v>2232</v>
      </c>
      <c r="L740" s="4">
        <v>2005</v>
      </c>
      <c r="M740" s="4" t="s">
        <v>27</v>
      </c>
      <c r="N740" s="4">
        <v>13.6</v>
      </c>
      <c r="O740" s="4">
        <v>13.6</v>
      </c>
      <c r="P740" s="4" t="s">
        <v>173</v>
      </c>
      <c r="Q740" s="4">
        <v>13.6</v>
      </c>
      <c r="R740" s="4" t="s">
        <v>173</v>
      </c>
    </row>
    <row r="741" spans="1:18" hidden="1" x14ac:dyDescent="0.35">
      <c r="A741" s="4" t="s">
        <v>3467</v>
      </c>
      <c r="B741" s="4" t="s">
        <v>4081</v>
      </c>
      <c r="C741" s="4" t="s">
        <v>2559</v>
      </c>
      <c r="D741" s="4" t="s">
        <v>3468</v>
      </c>
      <c r="E741" s="4" t="s">
        <v>3469</v>
      </c>
      <c r="F741" s="4" t="s">
        <v>33</v>
      </c>
      <c r="G741" s="4" t="s">
        <v>137</v>
      </c>
      <c r="H741" s="4" t="s">
        <v>2231</v>
      </c>
      <c r="I741" s="5">
        <v>80937</v>
      </c>
      <c r="J741" s="4" t="s">
        <v>1824</v>
      </c>
      <c r="K741" s="4" t="s">
        <v>701</v>
      </c>
      <c r="L741" s="4">
        <v>2019</v>
      </c>
      <c r="M741" s="4" t="s">
        <v>27</v>
      </c>
      <c r="N741" s="4">
        <v>4.5</v>
      </c>
      <c r="O741" s="4">
        <v>4.5</v>
      </c>
      <c r="P741" s="4" t="s">
        <v>2234</v>
      </c>
      <c r="Q741" s="4">
        <v>4.5</v>
      </c>
      <c r="R741" s="4" t="s">
        <v>2235</v>
      </c>
    </row>
    <row r="742" spans="1:18" hidden="1" x14ac:dyDescent="0.35">
      <c r="A742" s="4" t="s">
        <v>3470</v>
      </c>
      <c r="B742" s="4" t="s">
        <v>4081</v>
      </c>
      <c r="C742" s="4" t="s">
        <v>2559</v>
      </c>
      <c r="D742" s="4" t="s">
        <v>3468</v>
      </c>
      <c r="E742" s="4" t="s">
        <v>3471</v>
      </c>
      <c r="F742" s="4" t="s">
        <v>33</v>
      </c>
      <c r="G742" s="4" t="s">
        <v>137</v>
      </c>
      <c r="H742" s="4" t="s">
        <v>2231</v>
      </c>
      <c r="I742" s="5">
        <v>80937</v>
      </c>
      <c r="J742" s="4" t="s">
        <v>1824</v>
      </c>
      <c r="K742" s="4" t="s">
        <v>701</v>
      </c>
      <c r="L742" s="4">
        <v>2019</v>
      </c>
      <c r="M742" s="4" t="s">
        <v>27</v>
      </c>
      <c r="N742" s="4">
        <v>4.5</v>
      </c>
      <c r="O742" s="4">
        <v>4.5</v>
      </c>
      <c r="P742" s="4" t="s">
        <v>2234</v>
      </c>
      <c r="Q742" s="4">
        <v>4.5</v>
      </c>
      <c r="R742" s="4" t="s">
        <v>2235</v>
      </c>
    </row>
    <row r="743" spans="1:18" hidden="1" x14ac:dyDescent="0.35">
      <c r="A743" s="4" t="s">
        <v>3472</v>
      </c>
      <c r="B743" s="4" t="s">
        <v>4081</v>
      </c>
      <c r="C743" s="4" t="s">
        <v>2559</v>
      </c>
      <c r="D743" s="4" t="s">
        <v>3468</v>
      </c>
      <c r="E743" s="4" t="s">
        <v>3473</v>
      </c>
      <c r="F743" s="4" t="s">
        <v>33</v>
      </c>
      <c r="G743" s="4" t="s">
        <v>137</v>
      </c>
      <c r="H743" s="4" t="s">
        <v>2231</v>
      </c>
      <c r="I743" s="5">
        <v>80937</v>
      </c>
      <c r="J743" s="4" t="s">
        <v>1824</v>
      </c>
      <c r="K743" s="4" t="s">
        <v>701</v>
      </c>
      <c r="L743" s="4">
        <v>2019</v>
      </c>
      <c r="M743" s="4" t="s">
        <v>27</v>
      </c>
      <c r="N743" s="4">
        <v>4.5</v>
      </c>
      <c r="O743" s="4">
        <v>4.5</v>
      </c>
      <c r="P743" s="4" t="s">
        <v>2234</v>
      </c>
      <c r="Q743" s="4">
        <v>4.5</v>
      </c>
      <c r="R743" s="4" t="s">
        <v>2235</v>
      </c>
    </row>
    <row r="744" spans="1:18" hidden="1" x14ac:dyDescent="0.35">
      <c r="A744" s="4" t="s">
        <v>3474</v>
      </c>
      <c r="B744" s="4" t="s">
        <v>4081</v>
      </c>
      <c r="C744" s="4" t="s">
        <v>3475</v>
      </c>
      <c r="D744" s="4" t="s">
        <v>3476</v>
      </c>
      <c r="E744" s="4" t="s">
        <v>2600</v>
      </c>
      <c r="F744" s="4" t="s">
        <v>33</v>
      </c>
      <c r="G744" s="4" t="s">
        <v>137</v>
      </c>
      <c r="H744" s="4" t="s">
        <v>2231</v>
      </c>
      <c r="I744" s="5">
        <v>72072</v>
      </c>
      <c r="J744" s="4" t="s">
        <v>3477</v>
      </c>
      <c r="K744" s="4" t="s">
        <v>2232</v>
      </c>
      <c r="L744" s="4">
        <v>2013</v>
      </c>
      <c r="M744" s="4" t="s">
        <v>27</v>
      </c>
      <c r="N744" s="4">
        <v>3.3</v>
      </c>
      <c r="O744" s="4">
        <v>3.3</v>
      </c>
      <c r="P744" s="4" t="s">
        <v>2234</v>
      </c>
      <c r="Q744" s="4">
        <v>3.3</v>
      </c>
      <c r="R744" s="4" t="s">
        <v>2235</v>
      </c>
    </row>
    <row r="745" spans="1:18" hidden="1" x14ac:dyDescent="0.35">
      <c r="A745" s="4" t="s">
        <v>3478</v>
      </c>
      <c r="B745" s="4" t="s">
        <v>4081</v>
      </c>
      <c r="C745" s="4" t="s">
        <v>3475</v>
      </c>
      <c r="D745" s="4" t="s">
        <v>3476</v>
      </c>
      <c r="E745" s="4" t="s">
        <v>2602</v>
      </c>
      <c r="F745" s="4" t="s">
        <v>33</v>
      </c>
      <c r="G745" s="4" t="s">
        <v>137</v>
      </c>
      <c r="H745" s="4" t="s">
        <v>2231</v>
      </c>
      <c r="I745" s="5">
        <v>72072</v>
      </c>
      <c r="J745" s="4" t="s">
        <v>3477</v>
      </c>
      <c r="K745" s="4" t="s">
        <v>2232</v>
      </c>
      <c r="L745" s="4">
        <v>2013</v>
      </c>
      <c r="M745" s="4" t="s">
        <v>27</v>
      </c>
      <c r="N745" s="4">
        <v>3.3</v>
      </c>
      <c r="O745" s="4">
        <v>3.3</v>
      </c>
      <c r="P745" s="4" t="s">
        <v>2234</v>
      </c>
      <c r="Q745" s="4">
        <v>3.3</v>
      </c>
      <c r="R745" s="4" t="s">
        <v>2235</v>
      </c>
    </row>
    <row r="746" spans="1:18" hidden="1" x14ac:dyDescent="0.35">
      <c r="A746" s="4" t="s">
        <v>3479</v>
      </c>
      <c r="B746" s="4" t="s">
        <v>4081</v>
      </c>
      <c r="C746" s="4" t="s">
        <v>3475</v>
      </c>
      <c r="D746" s="4" t="s">
        <v>3476</v>
      </c>
      <c r="E746" s="4" t="s">
        <v>2604</v>
      </c>
      <c r="F746" s="4" t="s">
        <v>33</v>
      </c>
      <c r="G746" s="4" t="s">
        <v>137</v>
      </c>
      <c r="H746" s="4" t="s">
        <v>2231</v>
      </c>
      <c r="I746" s="5">
        <v>72072</v>
      </c>
      <c r="J746" s="4" t="s">
        <v>3477</v>
      </c>
      <c r="K746" s="4" t="s">
        <v>2232</v>
      </c>
      <c r="L746" s="4">
        <v>2013</v>
      </c>
      <c r="M746" s="4" t="s">
        <v>27</v>
      </c>
      <c r="N746" s="4">
        <v>3.3</v>
      </c>
      <c r="O746" s="4">
        <v>3.3</v>
      </c>
      <c r="P746" s="4" t="s">
        <v>2234</v>
      </c>
      <c r="Q746" s="4">
        <v>3.3</v>
      </c>
      <c r="R746" s="4" t="s">
        <v>2235</v>
      </c>
    </row>
    <row r="747" spans="1:18" hidden="1" x14ac:dyDescent="0.35">
      <c r="A747" s="4" t="s">
        <v>3480</v>
      </c>
      <c r="B747" s="4" t="s">
        <v>4081</v>
      </c>
      <c r="C747" s="4" t="s">
        <v>3475</v>
      </c>
      <c r="D747" s="4" t="s">
        <v>3476</v>
      </c>
      <c r="E747" s="4" t="s">
        <v>2606</v>
      </c>
      <c r="F747" s="4" t="s">
        <v>33</v>
      </c>
      <c r="G747" s="4" t="s">
        <v>137</v>
      </c>
      <c r="H747" s="4" t="s">
        <v>2231</v>
      </c>
      <c r="I747" s="5">
        <v>72072</v>
      </c>
      <c r="J747" s="4" t="s">
        <v>3477</v>
      </c>
      <c r="K747" s="4" t="s">
        <v>2232</v>
      </c>
      <c r="L747" s="4">
        <v>2013</v>
      </c>
      <c r="M747" s="4" t="s">
        <v>27</v>
      </c>
      <c r="N747" s="4">
        <v>3.3</v>
      </c>
      <c r="O747" s="4">
        <v>3.3</v>
      </c>
      <c r="P747" s="4" t="s">
        <v>2234</v>
      </c>
      <c r="Q747" s="4">
        <v>3.3</v>
      </c>
      <c r="R747" s="4" t="s">
        <v>2235</v>
      </c>
    </row>
    <row r="748" spans="1:18" hidden="1" x14ac:dyDescent="0.35">
      <c r="A748" s="4" t="s">
        <v>3481</v>
      </c>
      <c r="B748" s="4" t="s">
        <v>4081</v>
      </c>
      <c r="C748" s="4" t="s">
        <v>3482</v>
      </c>
      <c r="D748" s="4" t="s">
        <v>3483</v>
      </c>
      <c r="E748" s="4" t="s">
        <v>2150</v>
      </c>
      <c r="F748" s="4" t="s">
        <v>2255</v>
      </c>
      <c r="G748" s="4" t="s">
        <v>2256</v>
      </c>
      <c r="H748" s="4" t="s">
        <v>2249</v>
      </c>
      <c r="I748" s="5" t="s">
        <v>3484</v>
      </c>
      <c r="J748" s="4" t="s">
        <v>3485</v>
      </c>
      <c r="K748" s="4" t="s">
        <v>2227</v>
      </c>
      <c r="L748" s="4">
        <v>1981</v>
      </c>
      <c r="M748" s="4" t="s">
        <v>27</v>
      </c>
      <c r="N748" s="4">
        <v>250</v>
      </c>
      <c r="O748" s="4">
        <v>250</v>
      </c>
      <c r="P748" s="4" t="s">
        <v>2255</v>
      </c>
      <c r="Q748" s="4">
        <v>250</v>
      </c>
      <c r="R748" s="4" t="s">
        <v>2255</v>
      </c>
    </row>
    <row r="749" spans="1:18" hidden="1" x14ac:dyDescent="0.35">
      <c r="A749" s="4" t="s">
        <v>3486</v>
      </c>
      <c r="B749" s="4" t="s">
        <v>4081</v>
      </c>
      <c r="C749" s="4" t="s">
        <v>3482</v>
      </c>
      <c r="D749" s="4" t="s">
        <v>3483</v>
      </c>
      <c r="E749" s="4" t="s">
        <v>2153</v>
      </c>
      <c r="F749" s="4" t="s">
        <v>2255</v>
      </c>
      <c r="G749" s="4" t="s">
        <v>2256</v>
      </c>
      <c r="H749" s="4" t="s">
        <v>2249</v>
      </c>
      <c r="I749" s="5" t="s">
        <v>3484</v>
      </c>
      <c r="J749" s="4" t="s">
        <v>3485</v>
      </c>
      <c r="K749" s="4" t="s">
        <v>2227</v>
      </c>
      <c r="L749" s="4">
        <v>1981</v>
      </c>
      <c r="M749" s="4" t="s">
        <v>27</v>
      </c>
      <c r="N749" s="4">
        <v>250</v>
      </c>
      <c r="O749" s="4">
        <v>250</v>
      </c>
      <c r="P749" s="4" t="s">
        <v>2255</v>
      </c>
      <c r="Q749" s="4">
        <v>250</v>
      </c>
      <c r="R749" s="4" t="s">
        <v>2255</v>
      </c>
    </row>
    <row r="750" spans="1:18" hidden="1" x14ac:dyDescent="0.35">
      <c r="A750" s="4" t="s">
        <v>3487</v>
      </c>
      <c r="B750" s="4" t="s">
        <v>4081</v>
      </c>
      <c r="C750" s="4" t="s">
        <v>2187</v>
      </c>
      <c r="D750" s="4" t="s">
        <v>2964</v>
      </c>
      <c r="E750" s="4" t="s">
        <v>3488</v>
      </c>
      <c r="F750" s="4" t="s">
        <v>33</v>
      </c>
      <c r="G750" s="4" t="s">
        <v>46</v>
      </c>
      <c r="H750" s="4" t="s">
        <v>2231</v>
      </c>
      <c r="I750" s="5">
        <v>70569</v>
      </c>
      <c r="J750" s="4" t="s">
        <v>2044</v>
      </c>
      <c r="K750" s="4" t="s">
        <v>2232</v>
      </c>
      <c r="L750" s="4">
        <v>1988</v>
      </c>
      <c r="M750" s="4" t="s">
        <v>27</v>
      </c>
      <c r="N750" s="4">
        <v>4.9000000000000004</v>
      </c>
      <c r="O750" s="4">
        <v>4.9000000000000004</v>
      </c>
      <c r="P750" s="4" t="s">
        <v>2234</v>
      </c>
      <c r="Q750" s="4">
        <v>4.9000000000000004</v>
      </c>
      <c r="R750" s="4" t="s">
        <v>2235</v>
      </c>
    </row>
    <row r="751" spans="1:18" hidden="1" x14ac:dyDescent="0.35">
      <c r="A751" s="4" t="s">
        <v>3489</v>
      </c>
      <c r="B751" s="4" t="s">
        <v>4081</v>
      </c>
      <c r="C751" s="4" t="s">
        <v>2187</v>
      </c>
      <c r="D751" s="4" t="s">
        <v>2964</v>
      </c>
      <c r="E751" s="4" t="s">
        <v>3490</v>
      </c>
      <c r="F751" s="4" t="s">
        <v>33</v>
      </c>
      <c r="G751" s="4" t="s">
        <v>46</v>
      </c>
      <c r="H751" s="4" t="s">
        <v>2231</v>
      </c>
      <c r="I751" s="5">
        <v>70569</v>
      </c>
      <c r="J751" s="4" t="s">
        <v>2044</v>
      </c>
      <c r="K751" s="4" t="s">
        <v>2232</v>
      </c>
      <c r="L751" s="4">
        <v>1988</v>
      </c>
      <c r="M751" s="4" t="s">
        <v>27</v>
      </c>
      <c r="N751" s="4">
        <v>4.9000000000000004</v>
      </c>
      <c r="O751" s="4">
        <v>4.9000000000000004</v>
      </c>
      <c r="P751" s="4" t="s">
        <v>2234</v>
      </c>
      <c r="Q751" s="4">
        <v>4.9000000000000004</v>
      </c>
      <c r="R751" s="4" t="s">
        <v>2235</v>
      </c>
    </row>
    <row r="752" spans="1:18" hidden="1" x14ac:dyDescent="0.35">
      <c r="A752" s="4" t="s">
        <v>3491</v>
      </c>
      <c r="B752" s="4" t="s">
        <v>4081</v>
      </c>
      <c r="C752" s="4" t="s">
        <v>2187</v>
      </c>
      <c r="D752" s="4" t="s">
        <v>2964</v>
      </c>
      <c r="E752" s="4" t="s">
        <v>3492</v>
      </c>
      <c r="F752" s="4" t="s">
        <v>33</v>
      </c>
      <c r="G752" s="4" t="s">
        <v>46</v>
      </c>
      <c r="H752" s="4" t="s">
        <v>2231</v>
      </c>
      <c r="I752" s="5">
        <v>70569</v>
      </c>
      <c r="J752" s="4" t="s">
        <v>2044</v>
      </c>
      <c r="K752" s="4" t="s">
        <v>2232</v>
      </c>
      <c r="L752" s="4">
        <v>1988</v>
      </c>
      <c r="M752" s="4" t="s">
        <v>27</v>
      </c>
      <c r="N752" s="4">
        <v>2.4</v>
      </c>
      <c r="O752" s="4">
        <v>2.4</v>
      </c>
      <c r="P752" s="4" t="s">
        <v>2234</v>
      </c>
      <c r="Q752" s="4">
        <v>2.4</v>
      </c>
      <c r="R752" s="4" t="s">
        <v>2235</v>
      </c>
    </row>
    <row r="753" spans="1:18" hidden="1" x14ac:dyDescent="0.35">
      <c r="A753" s="4" t="s">
        <v>3493</v>
      </c>
      <c r="B753" s="4" t="s">
        <v>4081</v>
      </c>
      <c r="C753" s="4" t="s">
        <v>2228</v>
      </c>
      <c r="D753" s="4" t="s">
        <v>3494</v>
      </c>
      <c r="E753" s="4" t="s">
        <v>3495</v>
      </c>
      <c r="F753" s="4" t="s">
        <v>2255</v>
      </c>
      <c r="G753" s="4" t="s">
        <v>2256</v>
      </c>
      <c r="H753" s="4" t="s">
        <v>2249</v>
      </c>
      <c r="I753" s="5" t="s">
        <v>2629</v>
      </c>
      <c r="J753" s="4" t="s">
        <v>2630</v>
      </c>
      <c r="K753" s="4" t="s">
        <v>2227</v>
      </c>
      <c r="L753" s="4">
        <v>2018</v>
      </c>
      <c r="M753" s="4" t="s">
        <v>27</v>
      </c>
      <c r="N753" s="4">
        <v>12</v>
      </c>
      <c r="O753" s="4">
        <v>12</v>
      </c>
      <c r="P753" s="4" t="s">
        <v>2255</v>
      </c>
      <c r="Q753" s="4">
        <v>12</v>
      </c>
      <c r="R753" s="4" t="s">
        <v>2255</v>
      </c>
    </row>
    <row r="754" spans="1:18" x14ac:dyDescent="0.35">
      <c r="A754" s="4" t="s">
        <v>1473</v>
      </c>
      <c r="B754" s="4" t="s">
        <v>4080</v>
      </c>
      <c r="C754" s="4" t="s">
        <v>1474</v>
      </c>
      <c r="D754" s="4" t="s">
        <v>1475</v>
      </c>
      <c r="E754" s="4" t="s">
        <v>2227</v>
      </c>
      <c r="F754" s="4" t="s">
        <v>33</v>
      </c>
      <c r="G754" s="4" t="s">
        <v>409</v>
      </c>
      <c r="H754" s="4" t="s">
        <v>2231</v>
      </c>
      <c r="I754" s="5">
        <v>37213</v>
      </c>
      <c r="J754" s="4" t="s">
        <v>1448</v>
      </c>
      <c r="K754" s="4" t="s">
        <v>865</v>
      </c>
      <c r="L754" s="4">
        <v>1975</v>
      </c>
      <c r="M754" s="4" t="s">
        <v>27</v>
      </c>
      <c r="N754" s="4">
        <v>12.8</v>
      </c>
      <c r="O754" s="4">
        <v>12.8</v>
      </c>
      <c r="P754" s="4" t="s">
        <v>2234</v>
      </c>
      <c r="Q754" s="4">
        <v>12.8</v>
      </c>
      <c r="R754" s="4" t="s">
        <v>2235</v>
      </c>
    </row>
    <row r="755" spans="1:18" hidden="1" x14ac:dyDescent="0.35">
      <c r="A755" s="4" t="s">
        <v>851</v>
      </c>
      <c r="B755" s="4" t="s">
        <v>4081</v>
      </c>
      <c r="C755" s="4" t="s">
        <v>844</v>
      </c>
      <c r="D755" s="4" t="s">
        <v>3453</v>
      </c>
      <c r="E755" s="4" t="s">
        <v>3496</v>
      </c>
      <c r="F755" s="4" t="s">
        <v>33</v>
      </c>
      <c r="G755" s="4" t="s">
        <v>46</v>
      </c>
      <c r="H755" s="4" t="s">
        <v>2231</v>
      </c>
      <c r="I755" s="5">
        <v>53115</v>
      </c>
      <c r="J755" s="4" t="s">
        <v>846</v>
      </c>
      <c r="K755" s="4" t="s">
        <v>693</v>
      </c>
      <c r="L755" s="4">
        <v>2025</v>
      </c>
      <c r="M755" s="4" t="s">
        <v>2459</v>
      </c>
      <c r="N755" s="4">
        <v>39.186</v>
      </c>
      <c r="O755" s="4">
        <v>39.186</v>
      </c>
      <c r="P755" s="4" t="s">
        <v>2234</v>
      </c>
      <c r="Q755" s="4">
        <v>39.186</v>
      </c>
      <c r="R755" s="4" t="s">
        <v>2235</v>
      </c>
    </row>
    <row r="756" spans="1:18" hidden="1" x14ac:dyDescent="0.35">
      <c r="A756" s="4" t="s">
        <v>3497</v>
      </c>
      <c r="B756" s="4" t="s">
        <v>4081</v>
      </c>
      <c r="C756" s="4" t="s">
        <v>3325</v>
      </c>
      <c r="D756" s="4" t="s">
        <v>3498</v>
      </c>
      <c r="E756" s="4" t="s">
        <v>1672</v>
      </c>
      <c r="F756" s="4" t="s">
        <v>33</v>
      </c>
      <c r="G756" s="4" t="s">
        <v>409</v>
      </c>
      <c r="H756" s="4" t="s">
        <v>2231</v>
      </c>
      <c r="I756" s="5">
        <v>53879</v>
      </c>
      <c r="J756" s="4" t="s">
        <v>3499</v>
      </c>
      <c r="K756" s="4" t="s">
        <v>693</v>
      </c>
      <c r="L756" s="4">
        <v>2023</v>
      </c>
      <c r="M756" s="4" t="s">
        <v>27</v>
      </c>
      <c r="N756" s="4">
        <v>7.2</v>
      </c>
      <c r="O756" s="4">
        <v>7.2</v>
      </c>
      <c r="P756" s="4" t="s">
        <v>2234</v>
      </c>
      <c r="Q756" s="4">
        <v>7.2</v>
      </c>
      <c r="R756" s="4" t="s">
        <v>2235</v>
      </c>
    </row>
    <row r="757" spans="1:18" hidden="1" x14ac:dyDescent="0.35">
      <c r="A757" s="4" t="s">
        <v>2033</v>
      </c>
      <c r="B757" s="4" t="s">
        <v>4081</v>
      </c>
      <c r="C757" s="4" t="s">
        <v>3500</v>
      </c>
      <c r="D757" s="4" t="s">
        <v>3501</v>
      </c>
      <c r="E757" s="4" t="s">
        <v>3502</v>
      </c>
      <c r="F757" s="4" t="s">
        <v>173</v>
      </c>
      <c r="G757" s="4" t="s">
        <v>409</v>
      </c>
      <c r="H757" s="4" t="s">
        <v>2231</v>
      </c>
      <c r="I757" s="5">
        <v>73037</v>
      </c>
      <c r="J757" s="4" t="s">
        <v>2036</v>
      </c>
      <c r="K757" s="4" t="s">
        <v>2232</v>
      </c>
      <c r="L757" s="4">
        <v>2009</v>
      </c>
      <c r="M757" s="4" t="s">
        <v>27</v>
      </c>
      <c r="N757" s="4">
        <v>11</v>
      </c>
      <c r="O757" s="4">
        <v>11</v>
      </c>
      <c r="P757" s="4" t="s">
        <v>173</v>
      </c>
      <c r="Q757" s="4">
        <v>11</v>
      </c>
      <c r="R757" s="4" t="s">
        <v>173</v>
      </c>
    </row>
    <row r="758" spans="1:18" hidden="1" x14ac:dyDescent="0.35">
      <c r="A758" s="4" t="s">
        <v>3503</v>
      </c>
      <c r="B758" s="4" t="s">
        <v>4081</v>
      </c>
      <c r="C758" s="4" t="s">
        <v>3504</v>
      </c>
      <c r="D758" s="4" t="s">
        <v>3505</v>
      </c>
      <c r="E758" s="4" t="s">
        <v>3506</v>
      </c>
      <c r="F758" s="4" t="s">
        <v>33</v>
      </c>
      <c r="G758" s="4" t="s">
        <v>409</v>
      </c>
      <c r="H758" s="4" t="s">
        <v>2231</v>
      </c>
      <c r="I758" s="5">
        <v>72762</v>
      </c>
      <c r="J758" s="4" t="s">
        <v>3507</v>
      </c>
      <c r="K758" s="4" t="s">
        <v>2232</v>
      </c>
      <c r="L758" s="4">
        <v>2011</v>
      </c>
      <c r="M758" s="4" t="s">
        <v>27</v>
      </c>
      <c r="N758" s="4">
        <v>2</v>
      </c>
      <c r="O758" s="4">
        <v>2</v>
      </c>
      <c r="P758" s="4" t="s">
        <v>2234</v>
      </c>
      <c r="Q758" s="4">
        <v>2</v>
      </c>
      <c r="R758" s="4" t="s">
        <v>2235</v>
      </c>
    </row>
    <row r="759" spans="1:18" hidden="1" x14ac:dyDescent="0.35">
      <c r="A759" s="4" t="s">
        <v>3508</v>
      </c>
      <c r="B759" s="4" t="s">
        <v>4081</v>
      </c>
      <c r="C759" s="4" t="s">
        <v>3504</v>
      </c>
      <c r="D759" s="4" t="s">
        <v>3505</v>
      </c>
      <c r="E759" s="4" t="s">
        <v>3509</v>
      </c>
      <c r="F759" s="4" t="s">
        <v>33</v>
      </c>
      <c r="G759" s="4" t="s">
        <v>409</v>
      </c>
      <c r="H759" s="4" t="s">
        <v>2231</v>
      </c>
      <c r="I759" s="5">
        <v>72762</v>
      </c>
      <c r="J759" s="4" t="s">
        <v>3507</v>
      </c>
      <c r="K759" s="4" t="s">
        <v>2232</v>
      </c>
      <c r="L759" s="4">
        <v>2011</v>
      </c>
      <c r="M759" s="4" t="s">
        <v>27</v>
      </c>
      <c r="N759" s="4">
        <v>2</v>
      </c>
      <c r="O759" s="4">
        <v>2</v>
      </c>
      <c r="P759" s="4" t="s">
        <v>2234</v>
      </c>
      <c r="Q759" s="4">
        <v>2</v>
      </c>
      <c r="R759" s="4" t="s">
        <v>2235</v>
      </c>
    </row>
    <row r="760" spans="1:18" hidden="1" x14ac:dyDescent="0.35">
      <c r="A760" s="4" t="s">
        <v>3510</v>
      </c>
      <c r="B760" s="4" t="s">
        <v>4081</v>
      </c>
      <c r="C760" s="4" t="s">
        <v>3504</v>
      </c>
      <c r="D760" s="4" t="s">
        <v>3505</v>
      </c>
      <c r="E760" s="4" t="s">
        <v>3511</v>
      </c>
      <c r="F760" s="4" t="s">
        <v>33</v>
      </c>
      <c r="G760" s="4" t="s">
        <v>409</v>
      </c>
      <c r="H760" s="4" t="s">
        <v>2231</v>
      </c>
      <c r="I760" s="5">
        <v>72762</v>
      </c>
      <c r="J760" s="4" t="s">
        <v>3507</v>
      </c>
      <c r="K760" s="4" t="s">
        <v>2232</v>
      </c>
      <c r="L760" s="4">
        <v>2011</v>
      </c>
      <c r="M760" s="4" t="s">
        <v>27</v>
      </c>
      <c r="N760" s="4">
        <v>2</v>
      </c>
      <c r="O760" s="4">
        <v>2</v>
      </c>
      <c r="P760" s="4" t="s">
        <v>2234</v>
      </c>
      <c r="Q760" s="4">
        <v>2</v>
      </c>
      <c r="R760" s="4" t="s">
        <v>2235</v>
      </c>
    </row>
    <row r="761" spans="1:18" hidden="1" x14ac:dyDescent="0.35">
      <c r="A761" s="4" t="s">
        <v>3512</v>
      </c>
      <c r="B761" s="4" t="s">
        <v>4081</v>
      </c>
      <c r="C761" s="4" t="s">
        <v>3504</v>
      </c>
      <c r="D761" s="4" t="s">
        <v>3505</v>
      </c>
      <c r="E761" s="4" t="s">
        <v>3513</v>
      </c>
      <c r="F761" s="4" t="s">
        <v>33</v>
      </c>
      <c r="G761" s="4" t="s">
        <v>409</v>
      </c>
      <c r="H761" s="4" t="s">
        <v>2231</v>
      </c>
      <c r="I761" s="5">
        <v>72762</v>
      </c>
      <c r="J761" s="4" t="s">
        <v>3507</v>
      </c>
      <c r="K761" s="4" t="s">
        <v>2232</v>
      </c>
      <c r="L761" s="4">
        <v>2011</v>
      </c>
      <c r="M761" s="4" t="s">
        <v>27</v>
      </c>
      <c r="N761" s="4">
        <v>2</v>
      </c>
      <c r="O761" s="4">
        <v>2</v>
      </c>
      <c r="P761" s="4" t="s">
        <v>2234</v>
      </c>
      <c r="Q761" s="4">
        <v>2</v>
      </c>
      <c r="R761" s="4" t="s">
        <v>2235</v>
      </c>
    </row>
    <row r="762" spans="1:18" hidden="1" x14ac:dyDescent="0.35">
      <c r="A762" s="4" t="s">
        <v>3514</v>
      </c>
      <c r="B762" s="4" t="s">
        <v>4081</v>
      </c>
      <c r="C762" s="4" t="s">
        <v>3504</v>
      </c>
      <c r="D762" s="4" t="s">
        <v>3505</v>
      </c>
      <c r="E762" s="4" t="s">
        <v>3515</v>
      </c>
      <c r="F762" s="4" t="s">
        <v>33</v>
      </c>
      <c r="G762" s="4" t="s">
        <v>409</v>
      </c>
      <c r="H762" s="4" t="s">
        <v>2231</v>
      </c>
      <c r="I762" s="5">
        <v>72762</v>
      </c>
      <c r="J762" s="4" t="s">
        <v>3507</v>
      </c>
      <c r="K762" s="4" t="s">
        <v>2232</v>
      </c>
      <c r="L762" s="4">
        <v>2011</v>
      </c>
      <c r="M762" s="4" t="s">
        <v>27</v>
      </c>
      <c r="N762" s="4">
        <v>2</v>
      </c>
      <c r="O762" s="4">
        <v>2</v>
      </c>
      <c r="P762" s="4" t="s">
        <v>2234</v>
      </c>
      <c r="Q762" s="4">
        <v>2</v>
      </c>
      <c r="R762" s="4" t="s">
        <v>2235</v>
      </c>
    </row>
    <row r="763" spans="1:18" hidden="1" x14ac:dyDescent="0.35">
      <c r="A763" s="4" t="s">
        <v>3516</v>
      </c>
      <c r="B763" s="4" t="s">
        <v>4081</v>
      </c>
      <c r="C763" s="4" t="s">
        <v>3482</v>
      </c>
      <c r="D763" s="4" t="s">
        <v>3517</v>
      </c>
      <c r="E763" s="4" t="s">
        <v>3518</v>
      </c>
      <c r="F763" s="4" t="s">
        <v>2255</v>
      </c>
      <c r="G763" s="4" t="s">
        <v>2256</v>
      </c>
      <c r="H763" s="4" t="s">
        <v>2249</v>
      </c>
      <c r="I763" s="5" t="s">
        <v>3519</v>
      </c>
      <c r="J763" s="4" t="s">
        <v>3520</v>
      </c>
      <c r="K763" s="4" t="s">
        <v>2227</v>
      </c>
      <c r="L763" s="4">
        <v>1981</v>
      </c>
      <c r="M763" s="4" t="s">
        <v>27</v>
      </c>
      <c r="N763" s="4">
        <v>144.5</v>
      </c>
      <c r="O763" s="4">
        <v>144.5</v>
      </c>
      <c r="P763" s="4" t="s">
        <v>2255</v>
      </c>
      <c r="Q763" s="4">
        <v>144.5</v>
      </c>
      <c r="R763" s="4" t="s">
        <v>2255</v>
      </c>
    </row>
    <row r="764" spans="1:18" hidden="1" x14ac:dyDescent="0.35">
      <c r="A764" s="4" t="s">
        <v>3521</v>
      </c>
      <c r="B764" s="4" t="s">
        <v>4081</v>
      </c>
      <c r="C764" s="4" t="s">
        <v>3482</v>
      </c>
      <c r="D764" s="4" t="s">
        <v>3517</v>
      </c>
      <c r="E764" s="4" t="s">
        <v>3522</v>
      </c>
      <c r="F764" s="4" t="s">
        <v>2255</v>
      </c>
      <c r="G764" s="4" t="s">
        <v>2256</v>
      </c>
      <c r="H764" s="4" t="s">
        <v>2249</v>
      </c>
      <c r="I764" s="5" t="s">
        <v>3519</v>
      </c>
      <c r="J764" s="4" t="s">
        <v>3520</v>
      </c>
      <c r="K764" s="4" t="s">
        <v>2227</v>
      </c>
      <c r="L764" s="4">
        <v>1981</v>
      </c>
      <c r="M764" s="4" t="s">
        <v>27</v>
      </c>
      <c r="N764" s="4">
        <v>144.5</v>
      </c>
      <c r="O764" s="4">
        <v>144.5</v>
      </c>
      <c r="P764" s="4" t="s">
        <v>2255</v>
      </c>
      <c r="Q764" s="4">
        <v>144.5</v>
      </c>
      <c r="R764" s="4" t="s">
        <v>2255</v>
      </c>
    </row>
    <row r="765" spans="1:18" hidden="1" x14ac:dyDescent="0.35">
      <c r="A765" s="4" t="s">
        <v>2227</v>
      </c>
      <c r="B765" s="4" t="s">
        <v>4081</v>
      </c>
      <c r="C765" s="4" t="s">
        <v>3482</v>
      </c>
      <c r="D765" s="4" t="s">
        <v>3523</v>
      </c>
      <c r="E765" s="4" t="s">
        <v>3523</v>
      </c>
      <c r="F765" s="4" t="s">
        <v>2255</v>
      </c>
      <c r="G765" s="4" t="s">
        <v>2256</v>
      </c>
      <c r="H765" s="4" t="s">
        <v>2249</v>
      </c>
      <c r="I765" s="5" t="s">
        <v>3519</v>
      </c>
      <c r="J765" s="4" t="s">
        <v>3524</v>
      </c>
      <c r="K765" s="4" t="s">
        <v>2227</v>
      </c>
      <c r="L765" s="4">
        <v>2026</v>
      </c>
      <c r="M765" s="4" t="s">
        <v>2233</v>
      </c>
      <c r="N765" s="4">
        <v>130</v>
      </c>
      <c r="O765" s="4">
        <v>130</v>
      </c>
      <c r="P765" s="4" t="s">
        <v>2255</v>
      </c>
      <c r="Q765" s="4">
        <v>130</v>
      </c>
      <c r="R765" s="4" t="s">
        <v>2255</v>
      </c>
    </row>
    <row r="766" spans="1:18" hidden="1" x14ac:dyDescent="0.35">
      <c r="A766" s="4" t="s">
        <v>2201</v>
      </c>
      <c r="B766" s="4" t="s">
        <v>4081</v>
      </c>
      <c r="C766" s="4" t="s">
        <v>3525</v>
      </c>
      <c r="D766" s="4" t="s">
        <v>3526</v>
      </c>
      <c r="E766" s="4" t="s">
        <v>3527</v>
      </c>
      <c r="F766" s="4" t="s">
        <v>173</v>
      </c>
      <c r="G766" s="4" t="s">
        <v>409</v>
      </c>
      <c r="H766" s="4" t="s">
        <v>2231</v>
      </c>
      <c r="I766" s="5">
        <v>71032</v>
      </c>
      <c r="J766" s="4" t="s">
        <v>2204</v>
      </c>
      <c r="K766" s="4" t="s">
        <v>2232</v>
      </c>
      <c r="L766" s="4">
        <v>1999</v>
      </c>
      <c r="M766" s="4" t="s">
        <v>27</v>
      </c>
      <c r="N766" s="4">
        <v>12.6</v>
      </c>
      <c r="O766" s="4">
        <v>12.6</v>
      </c>
      <c r="P766" s="4" t="s">
        <v>173</v>
      </c>
      <c r="Q766" s="4">
        <v>12.6</v>
      </c>
      <c r="R766" s="4" t="s">
        <v>173</v>
      </c>
    </row>
    <row r="767" spans="1:18" hidden="1" x14ac:dyDescent="0.35">
      <c r="A767" s="4" t="s">
        <v>3528</v>
      </c>
      <c r="B767" s="4" t="s">
        <v>4081</v>
      </c>
      <c r="C767" s="4" t="s">
        <v>3529</v>
      </c>
      <c r="D767" s="4" t="s">
        <v>3530</v>
      </c>
      <c r="E767" s="4" t="s">
        <v>2600</v>
      </c>
      <c r="F767" s="4" t="s">
        <v>2255</v>
      </c>
      <c r="G767" s="4" t="s">
        <v>2535</v>
      </c>
      <c r="H767" s="4" t="s">
        <v>2249</v>
      </c>
      <c r="I767" s="5" t="s">
        <v>3531</v>
      </c>
      <c r="J767" s="4" t="s">
        <v>2702</v>
      </c>
      <c r="K767" s="4" t="s">
        <v>2227</v>
      </c>
      <c r="L767" s="4">
        <v>1950</v>
      </c>
      <c r="M767" s="4" t="s">
        <v>27</v>
      </c>
      <c r="N767" s="4">
        <v>4</v>
      </c>
      <c r="O767" s="4">
        <v>4</v>
      </c>
      <c r="P767" s="4" t="s">
        <v>2255</v>
      </c>
      <c r="Q767" s="4">
        <v>4</v>
      </c>
      <c r="R767" s="4" t="s">
        <v>2255</v>
      </c>
    </row>
    <row r="768" spans="1:18" hidden="1" x14ac:dyDescent="0.35">
      <c r="A768" s="4" t="s">
        <v>3532</v>
      </c>
      <c r="B768" s="4" t="s">
        <v>4081</v>
      </c>
      <c r="C768" s="4" t="s">
        <v>3529</v>
      </c>
      <c r="D768" s="4" t="s">
        <v>3530</v>
      </c>
      <c r="E768" s="4" t="s">
        <v>2602</v>
      </c>
      <c r="F768" s="4" t="s">
        <v>2255</v>
      </c>
      <c r="G768" s="4" t="s">
        <v>2535</v>
      </c>
      <c r="H768" s="4" t="s">
        <v>2249</v>
      </c>
      <c r="I768" s="5" t="s">
        <v>3531</v>
      </c>
      <c r="J768" s="4" t="s">
        <v>2702</v>
      </c>
      <c r="K768" s="4" t="s">
        <v>2227</v>
      </c>
      <c r="L768" s="4">
        <v>1950</v>
      </c>
      <c r="M768" s="4" t="s">
        <v>27</v>
      </c>
      <c r="N768" s="4">
        <v>4</v>
      </c>
      <c r="O768" s="4">
        <v>4</v>
      </c>
      <c r="P768" s="4" t="s">
        <v>2255</v>
      </c>
      <c r="Q768" s="4">
        <v>4</v>
      </c>
      <c r="R768" s="4" t="s">
        <v>2255</v>
      </c>
    </row>
    <row r="769" spans="1:18" hidden="1" x14ac:dyDescent="0.35">
      <c r="A769" s="4" t="s">
        <v>2009</v>
      </c>
      <c r="B769" s="4" t="s">
        <v>4081</v>
      </c>
      <c r="C769" s="4" t="s">
        <v>733</v>
      </c>
      <c r="D769" s="4" t="s">
        <v>3533</v>
      </c>
      <c r="E769" s="4" t="s">
        <v>715</v>
      </c>
      <c r="F769" s="4" t="s">
        <v>173</v>
      </c>
      <c r="G769" s="4" t="s">
        <v>409</v>
      </c>
      <c r="H769" s="4" t="s">
        <v>2231</v>
      </c>
      <c r="I769" s="5">
        <v>68169</v>
      </c>
      <c r="J769" s="4" t="s">
        <v>2010</v>
      </c>
      <c r="K769" s="4" t="s">
        <v>2232</v>
      </c>
      <c r="L769" s="4">
        <v>2005</v>
      </c>
      <c r="M769" s="4" t="s">
        <v>27</v>
      </c>
      <c r="N769" s="4">
        <v>11.1</v>
      </c>
      <c r="O769" s="4">
        <v>11.1</v>
      </c>
      <c r="P769" s="4" t="s">
        <v>173</v>
      </c>
      <c r="Q769" s="4">
        <v>11.1</v>
      </c>
      <c r="R769" s="4" t="s">
        <v>173</v>
      </c>
    </row>
    <row r="770" spans="1:18" hidden="1" x14ac:dyDescent="0.35">
      <c r="A770" s="4" t="s">
        <v>3534</v>
      </c>
      <c r="B770" s="4" t="s">
        <v>4081</v>
      </c>
      <c r="C770" s="4" t="s">
        <v>3529</v>
      </c>
      <c r="D770" s="4" t="s">
        <v>3535</v>
      </c>
      <c r="E770" s="4" t="s">
        <v>2600</v>
      </c>
      <c r="F770" s="4" t="s">
        <v>2255</v>
      </c>
      <c r="G770" s="4" t="s">
        <v>2256</v>
      </c>
      <c r="H770" s="4" t="s">
        <v>2249</v>
      </c>
      <c r="I770" s="5" t="s">
        <v>2647</v>
      </c>
      <c r="J770" s="4" t="s">
        <v>2648</v>
      </c>
      <c r="K770" s="4" t="s">
        <v>2227</v>
      </c>
      <c r="L770" s="4">
        <v>1969</v>
      </c>
      <c r="M770" s="4" t="s">
        <v>27</v>
      </c>
      <c r="N770" s="4">
        <v>4</v>
      </c>
      <c r="O770" s="4">
        <v>4</v>
      </c>
      <c r="P770" s="4" t="s">
        <v>2255</v>
      </c>
      <c r="Q770" s="4">
        <v>4</v>
      </c>
      <c r="R770" s="4" t="s">
        <v>2255</v>
      </c>
    </row>
    <row r="771" spans="1:18" hidden="1" x14ac:dyDescent="0.35">
      <c r="A771" s="4" t="s">
        <v>3536</v>
      </c>
      <c r="B771" s="4" t="s">
        <v>4081</v>
      </c>
      <c r="C771" s="4" t="s">
        <v>3529</v>
      </c>
      <c r="D771" s="4" t="s">
        <v>3535</v>
      </c>
      <c r="E771" s="4" t="s">
        <v>2602</v>
      </c>
      <c r="F771" s="4" t="s">
        <v>2255</v>
      </c>
      <c r="G771" s="4" t="s">
        <v>2256</v>
      </c>
      <c r="H771" s="4" t="s">
        <v>2249</v>
      </c>
      <c r="I771" s="5" t="s">
        <v>2647</v>
      </c>
      <c r="J771" s="4" t="s">
        <v>2648</v>
      </c>
      <c r="K771" s="4" t="s">
        <v>2227</v>
      </c>
      <c r="L771" s="4">
        <v>1969</v>
      </c>
      <c r="M771" s="4" t="s">
        <v>27</v>
      </c>
      <c r="N771" s="4">
        <v>4</v>
      </c>
      <c r="O771" s="4">
        <v>4</v>
      </c>
      <c r="P771" s="4" t="s">
        <v>2255</v>
      </c>
      <c r="Q771" s="4">
        <v>4</v>
      </c>
      <c r="R771" s="4" t="s">
        <v>2255</v>
      </c>
    </row>
    <row r="772" spans="1:18" hidden="1" x14ac:dyDescent="0.35">
      <c r="A772" s="4" t="s">
        <v>3537</v>
      </c>
      <c r="B772" s="4" t="s">
        <v>4081</v>
      </c>
      <c r="C772" s="4" t="s">
        <v>2757</v>
      </c>
      <c r="D772" s="4" t="s">
        <v>2758</v>
      </c>
      <c r="E772" s="4" t="s">
        <v>3538</v>
      </c>
      <c r="F772" s="4" t="s">
        <v>173</v>
      </c>
      <c r="G772" s="4" t="s">
        <v>409</v>
      </c>
      <c r="H772" s="4" t="s">
        <v>2231</v>
      </c>
      <c r="I772" s="5">
        <v>68169</v>
      </c>
      <c r="J772" s="4" t="s">
        <v>2010</v>
      </c>
      <c r="K772" s="4" t="s">
        <v>2232</v>
      </c>
      <c r="L772" s="4">
        <v>2020</v>
      </c>
      <c r="M772" s="4" t="s">
        <v>27</v>
      </c>
      <c r="N772" s="4">
        <v>4.0999999999999996</v>
      </c>
      <c r="O772" s="4">
        <v>4.0999999999999996</v>
      </c>
      <c r="P772" s="4" t="s">
        <v>173</v>
      </c>
      <c r="Q772" s="4">
        <v>4.0999999999999996</v>
      </c>
      <c r="R772" s="4" t="s">
        <v>173</v>
      </c>
    </row>
    <row r="773" spans="1:18" hidden="1" x14ac:dyDescent="0.35">
      <c r="A773" s="4" t="s">
        <v>3539</v>
      </c>
      <c r="B773" s="4" t="s">
        <v>4081</v>
      </c>
      <c r="C773" s="4" t="s">
        <v>2757</v>
      </c>
      <c r="D773" s="4" t="s">
        <v>2758</v>
      </c>
      <c r="E773" s="4" t="s">
        <v>3540</v>
      </c>
      <c r="F773" s="4" t="s">
        <v>173</v>
      </c>
      <c r="G773" s="4" t="s">
        <v>409</v>
      </c>
      <c r="H773" s="4" t="s">
        <v>2231</v>
      </c>
      <c r="I773" s="5">
        <v>68169</v>
      </c>
      <c r="J773" s="4" t="s">
        <v>2010</v>
      </c>
      <c r="K773" s="4" t="s">
        <v>2232</v>
      </c>
      <c r="L773" s="4">
        <v>2012</v>
      </c>
      <c r="M773" s="4" t="s">
        <v>27</v>
      </c>
      <c r="N773" s="4">
        <v>4.26</v>
      </c>
      <c r="O773" s="4">
        <v>4.26</v>
      </c>
      <c r="P773" s="4" t="s">
        <v>173</v>
      </c>
      <c r="Q773" s="4">
        <v>4.26</v>
      </c>
      <c r="R773" s="4" t="s">
        <v>173</v>
      </c>
    </row>
    <row r="774" spans="1:18" hidden="1" x14ac:dyDescent="0.35">
      <c r="A774" s="4" t="s">
        <v>3541</v>
      </c>
      <c r="B774" s="4" t="s">
        <v>4081</v>
      </c>
      <c r="C774" s="4" t="s">
        <v>3542</v>
      </c>
      <c r="D774" s="4" t="s">
        <v>3543</v>
      </c>
      <c r="E774" s="4" t="s">
        <v>3544</v>
      </c>
      <c r="F774" s="4" t="s">
        <v>33</v>
      </c>
      <c r="G774" s="4" t="s">
        <v>36</v>
      </c>
      <c r="H774" s="4" t="s">
        <v>2231</v>
      </c>
      <c r="I774" s="5">
        <v>89584</v>
      </c>
      <c r="J774" s="4" t="s">
        <v>3545</v>
      </c>
      <c r="K774" s="4" t="s">
        <v>2232</v>
      </c>
      <c r="L774" s="4">
        <v>1976</v>
      </c>
      <c r="M774" s="4" t="s">
        <v>27</v>
      </c>
      <c r="N774" s="4">
        <v>3.4</v>
      </c>
      <c r="O774" s="4">
        <v>3.4</v>
      </c>
      <c r="P774" s="4" t="s">
        <v>2234</v>
      </c>
      <c r="Q774" s="4">
        <v>3.4</v>
      </c>
      <c r="R774" s="4" t="s">
        <v>2235</v>
      </c>
    </row>
    <row r="775" spans="1:18" hidden="1" x14ac:dyDescent="0.35">
      <c r="A775" s="4" t="s">
        <v>3546</v>
      </c>
      <c r="B775" s="4" t="s">
        <v>4081</v>
      </c>
      <c r="C775" s="4" t="s">
        <v>2757</v>
      </c>
      <c r="D775" s="4" t="s">
        <v>2758</v>
      </c>
      <c r="E775" s="4" t="s">
        <v>3547</v>
      </c>
      <c r="F775" s="4" t="s">
        <v>173</v>
      </c>
      <c r="G775" s="4" t="s">
        <v>409</v>
      </c>
      <c r="H775" s="4" t="s">
        <v>2231</v>
      </c>
      <c r="I775" s="5">
        <v>68169</v>
      </c>
      <c r="J775" s="4" t="s">
        <v>2010</v>
      </c>
      <c r="K775" s="4" t="s">
        <v>2232</v>
      </c>
      <c r="L775" s="4">
        <v>2012</v>
      </c>
      <c r="M775" s="4" t="s">
        <v>27</v>
      </c>
      <c r="N775" s="4">
        <v>4.26</v>
      </c>
      <c r="O775" s="4">
        <v>4.26</v>
      </c>
      <c r="P775" s="4" t="s">
        <v>173</v>
      </c>
      <c r="Q775" s="4">
        <v>4.26</v>
      </c>
      <c r="R775" s="4" t="s">
        <v>173</v>
      </c>
    </row>
    <row r="776" spans="1:18" hidden="1" x14ac:dyDescent="0.35">
      <c r="A776" s="4" t="s">
        <v>3548</v>
      </c>
      <c r="B776" s="4" t="s">
        <v>4081</v>
      </c>
      <c r="C776" s="4" t="s">
        <v>3325</v>
      </c>
      <c r="D776" s="4" t="s">
        <v>3498</v>
      </c>
      <c r="E776" s="4" t="s">
        <v>1094</v>
      </c>
      <c r="F776" s="4" t="s">
        <v>33</v>
      </c>
      <c r="G776" s="4" t="s">
        <v>409</v>
      </c>
      <c r="H776" s="4" t="s">
        <v>2231</v>
      </c>
      <c r="I776" s="5">
        <v>53879</v>
      </c>
      <c r="J776" s="4" t="s">
        <v>3499</v>
      </c>
      <c r="K776" s="4" t="s">
        <v>693</v>
      </c>
      <c r="L776" s="4">
        <v>2023</v>
      </c>
      <c r="M776" s="4" t="s">
        <v>27</v>
      </c>
      <c r="N776" s="4">
        <v>6.2</v>
      </c>
      <c r="O776" s="4">
        <v>6.2</v>
      </c>
      <c r="P776" s="4" t="s">
        <v>2234</v>
      </c>
      <c r="Q776" s="4">
        <v>6.2</v>
      </c>
      <c r="R776" s="4" t="s">
        <v>2235</v>
      </c>
    </row>
    <row r="777" spans="1:18" hidden="1" x14ac:dyDescent="0.35">
      <c r="A777" s="4" t="s">
        <v>1153</v>
      </c>
      <c r="B777" s="4" t="s">
        <v>4081</v>
      </c>
      <c r="C777" s="4" t="s">
        <v>3549</v>
      </c>
      <c r="D777" s="4" t="s">
        <v>3550</v>
      </c>
      <c r="E777" s="4" t="s">
        <v>3551</v>
      </c>
      <c r="F777" s="4" t="s">
        <v>33</v>
      </c>
      <c r="G777" s="4" t="s">
        <v>409</v>
      </c>
      <c r="H777" s="4" t="s">
        <v>2231</v>
      </c>
      <c r="I777" s="5">
        <v>53909</v>
      </c>
      <c r="J777" s="4" t="s">
        <v>3552</v>
      </c>
      <c r="K777" s="4" t="s">
        <v>693</v>
      </c>
      <c r="L777" s="4">
        <v>2022</v>
      </c>
      <c r="M777" s="4" t="s">
        <v>27</v>
      </c>
      <c r="N777" s="4">
        <v>14.4</v>
      </c>
      <c r="O777" s="4">
        <v>14.4</v>
      </c>
      <c r="P777" s="4" t="s">
        <v>2234</v>
      </c>
      <c r="Q777" s="4">
        <v>14.4</v>
      </c>
      <c r="R777" s="4" t="s">
        <v>2235</v>
      </c>
    </row>
    <row r="778" spans="1:18" hidden="1" x14ac:dyDescent="0.35">
      <c r="A778" s="4" t="s">
        <v>3553</v>
      </c>
      <c r="B778" s="4" t="s">
        <v>4081</v>
      </c>
      <c r="C778" s="4" t="s">
        <v>3549</v>
      </c>
      <c r="D778" s="4" t="s">
        <v>2333</v>
      </c>
      <c r="E778" s="4" t="s">
        <v>54</v>
      </c>
      <c r="F778" s="4" t="s">
        <v>33</v>
      </c>
      <c r="G778" s="4" t="s">
        <v>36</v>
      </c>
      <c r="H778" s="4" t="s">
        <v>2231</v>
      </c>
      <c r="I778" s="5">
        <v>53910</v>
      </c>
      <c r="J778" s="4" t="s">
        <v>3552</v>
      </c>
      <c r="K778" s="4" t="s">
        <v>693</v>
      </c>
      <c r="L778" s="4">
        <v>1996</v>
      </c>
      <c r="M778" s="4" t="s">
        <v>27</v>
      </c>
      <c r="N778" s="4">
        <v>4.95</v>
      </c>
      <c r="O778" s="4">
        <v>4.95</v>
      </c>
      <c r="P778" s="4" t="s">
        <v>2234</v>
      </c>
      <c r="Q778" s="4">
        <v>4.95</v>
      </c>
      <c r="R778" s="4" t="s">
        <v>2235</v>
      </c>
    </row>
    <row r="779" spans="1:18" hidden="1" x14ac:dyDescent="0.35">
      <c r="A779" s="4" t="s">
        <v>3554</v>
      </c>
      <c r="B779" s="4" t="s">
        <v>4081</v>
      </c>
      <c r="C779" s="4" t="s">
        <v>3549</v>
      </c>
      <c r="D779" s="4" t="s">
        <v>2333</v>
      </c>
      <c r="E779" s="4" t="s">
        <v>52</v>
      </c>
      <c r="F779" s="4" t="s">
        <v>33</v>
      </c>
      <c r="G779" s="4" t="s">
        <v>36</v>
      </c>
      <c r="H779" s="4" t="s">
        <v>2231</v>
      </c>
      <c r="I779" s="5">
        <v>53910</v>
      </c>
      <c r="J779" s="4" t="s">
        <v>3552</v>
      </c>
      <c r="K779" s="4" t="s">
        <v>693</v>
      </c>
      <c r="L779" s="4">
        <v>1996</v>
      </c>
      <c r="M779" s="4" t="s">
        <v>27</v>
      </c>
      <c r="N779" s="4">
        <v>4.95</v>
      </c>
      <c r="O779" s="4">
        <v>4.95</v>
      </c>
      <c r="P779" s="4" t="s">
        <v>2234</v>
      </c>
      <c r="Q779" s="4">
        <v>4.95</v>
      </c>
      <c r="R779" s="4" t="s">
        <v>2235</v>
      </c>
    </row>
    <row r="780" spans="1:18" hidden="1" x14ac:dyDescent="0.35">
      <c r="A780" s="4" t="s">
        <v>3555</v>
      </c>
      <c r="B780" s="4" t="s">
        <v>4081</v>
      </c>
      <c r="C780" s="4" t="s">
        <v>3549</v>
      </c>
      <c r="D780" s="4" t="s">
        <v>2333</v>
      </c>
      <c r="E780" s="4" t="s">
        <v>157</v>
      </c>
      <c r="F780" s="4" t="s">
        <v>33</v>
      </c>
      <c r="G780" s="4" t="s">
        <v>36</v>
      </c>
      <c r="H780" s="4" t="s">
        <v>2231</v>
      </c>
      <c r="I780" s="5">
        <v>53910</v>
      </c>
      <c r="J780" s="4" t="s">
        <v>3552</v>
      </c>
      <c r="K780" s="4" t="s">
        <v>693</v>
      </c>
      <c r="L780" s="4">
        <v>1996</v>
      </c>
      <c r="M780" s="4" t="s">
        <v>27</v>
      </c>
      <c r="N780" s="4">
        <v>4.95</v>
      </c>
      <c r="O780" s="4">
        <v>4.95</v>
      </c>
      <c r="P780" s="4" t="s">
        <v>2234</v>
      </c>
      <c r="Q780" s="4">
        <v>4.95</v>
      </c>
      <c r="R780" s="4" t="s">
        <v>2235</v>
      </c>
    </row>
    <row r="781" spans="1:18" hidden="1" x14ac:dyDescent="0.35">
      <c r="A781" s="4" t="s">
        <v>707</v>
      </c>
      <c r="B781" s="4" t="s">
        <v>4081</v>
      </c>
      <c r="C781" s="4" t="s">
        <v>708</v>
      </c>
      <c r="D781" s="4" t="s">
        <v>709</v>
      </c>
      <c r="E781" s="4" t="s">
        <v>709</v>
      </c>
      <c r="F781" s="4" t="s">
        <v>33</v>
      </c>
      <c r="G781" s="4" t="s">
        <v>409</v>
      </c>
      <c r="H781" s="4" t="s">
        <v>2231</v>
      </c>
      <c r="I781" s="5">
        <v>54597</v>
      </c>
      <c r="J781" s="4" t="s">
        <v>710</v>
      </c>
      <c r="K781" s="4" t="s">
        <v>712</v>
      </c>
      <c r="L781" s="4">
        <v>2021</v>
      </c>
      <c r="M781" s="4" t="s">
        <v>27</v>
      </c>
      <c r="N781" s="4">
        <v>12.3</v>
      </c>
      <c r="O781" s="4">
        <v>12.3</v>
      </c>
      <c r="P781" s="4" t="s">
        <v>2234</v>
      </c>
      <c r="Q781" s="4">
        <v>12.3</v>
      </c>
      <c r="R781" s="4" t="s">
        <v>2235</v>
      </c>
    </row>
    <row r="782" spans="1:18" hidden="1" x14ac:dyDescent="0.35">
      <c r="A782" s="4" t="s">
        <v>3556</v>
      </c>
      <c r="B782" s="4" t="s">
        <v>4081</v>
      </c>
      <c r="C782" s="4" t="s">
        <v>1014</v>
      </c>
      <c r="D782" s="4" t="s">
        <v>3557</v>
      </c>
      <c r="E782" s="4">
        <v>51</v>
      </c>
      <c r="F782" s="4" t="s">
        <v>33</v>
      </c>
      <c r="G782" s="4" t="s">
        <v>137</v>
      </c>
      <c r="H782" s="4" t="s">
        <v>2231</v>
      </c>
      <c r="I782" s="5">
        <v>55120</v>
      </c>
      <c r="J782" s="4" t="s">
        <v>880</v>
      </c>
      <c r="K782" s="4" t="s">
        <v>712</v>
      </c>
      <c r="L782" s="4">
        <v>2020</v>
      </c>
      <c r="M782" s="4" t="s">
        <v>27</v>
      </c>
      <c r="N782" s="4">
        <v>9.93</v>
      </c>
      <c r="O782" s="4">
        <v>9.93</v>
      </c>
      <c r="P782" s="4" t="s">
        <v>2234</v>
      </c>
      <c r="Q782" s="4">
        <v>9.93</v>
      </c>
      <c r="R782" s="4" t="s">
        <v>2235</v>
      </c>
    </row>
    <row r="783" spans="1:18" hidden="1" x14ac:dyDescent="0.35">
      <c r="A783" s="4" t="s">
        <v>3558</v>
      </c>
      <c r="B783" s="4" t="s">
        <v>4081</v>
      </c>
      <c r="C783" s="4" t="s">
        <v>1014</v>
      </c>
      <c r="D783" s="4" t="s">
        <v>3557</v>
      </c>
      <c r="E783" s="4">
        <v>52</v>
      </c>
      <c r="F783" s="4" t="s">
        <v>33</v>
      </c>
      <c r="G783" s="4" t="s">
        <v>137</v>
      </c>
      <c r="H783" s="4" t="s">
        <v>2231</v>
      </c>
      <c r="I783" s="5">
        <v>55120</v>
      </c>
      <c r="J783" s="4" t="s">
        <v>880</v>
      </c>
      <c r="K783" s="4" t="s">
        <v>712</v>
      </c>
      <c r="L783" s="4">
        <v>2020</v>
      </c>
      <c r="M783" s="4" t="s">
        <v>27</v>
      </c>
      <c r="N783" s="4">
        <v>9.93</v>
      </c>
      <c r="O783" s="4">
        <v>9.93</v>
      </c>
      <c r="P783" s="4" t="s">
        <v>2234</v>
      </c>
      <c r="Q783" s="4">
        <v>9.93</v>
      </c>
      <c r="R783" s="4" t="s">
        <v>2235</v>
      </c>
    </row>
    <row r="784" spans="1:18" hidden="1" x14ac:dyDescent="0.35">
      <c r="A784" s="4" t="s">
        <v>3559</v>
      </c>
      <c r="B784" s="4" t="s">
        <v>4081</v>
      </c>
      <c r="C784" s="4" t="s">
        <v>1014</v>
      </c>
      <c r="D784" s="4" t="s">
        <v>3557</v>
      </c>
      <c r="E784" s="4">
        <v>53</v>
      </c>
      <c r="F784" s="4" t="s">
        <v>33</v>
      </c>
      <c r="G784" s="4" t="s">
        <v>137</v>
      </c>
      <c r="H784" s="4" t="s">
        <v>2231</v>
      </c>
      <c r="I784" s="5">
        <v>55120</v>
      </c>
      <c r="J784" s="4" t="s">
        <v>880</v>
      </c>
      <c r="K784" s="4" t="s">
        <v>712</v>
      </c>
      <c r="L784" s="4">
        <v>2020</v>
      </c>
      <c r="M784" s="4" t="s">
        <v>27</v>
      </c>
      <c r="N784" s="4">
        <v>9.93</v>
      </c>
      <c r="O784" s="4">
        <v>9.93</v>
      </c>
      <c r="P784" s="4" t="s">
        <v>2234</v>
      </c>
      <c r="Q784" s="4">
        <v>9.93</v>
      </c>
      <c r="R784" s="4" t="s">
        <v>2235</v>
      </c>
    </row>
    <row r="785" spans="1:18" hidden="1" x14ac:dyDescent="0.35">
      <c r="A785" s="4" t="s">
        <v>3560</v>
      </c>
      <c r="B785" s="4" t="s">
        <v>4081</v>
      </c>
      <c r="C785" s="4" t="s">
        <v>1014</v>
      </c>
      <c r="D785" s="4" t="s">
        <v>3557</v>
      </c>
      <c r="E785" s="4">
        <v>54</v>
      </c>
      <c r="F785" s="4" t="s">
        <v>33</v>
      </c>
      <c r="G785" s="4" t="s">
        <v>137</v>
      </c>
      <c r="H785" s="4" t="s">
        <v>2231</v>
      </c>
      <c r="I785" s="5">
        <v>55120</v>
      </c>
      <c r="J785" s="4" t="s">
        <v>880</v>
      </c>
      <c r="K785" s="4" t="s">
        <v>712</v>
      </c>
      <c r="L785" s="4">
        <v>2020</v>
      </c>
      <c r="M785" s="4" t="s">
        <v>27</v>
      </c>
      <c r="N785" s="4">
        <v>9.93</v>
      </c>
      <c r="O785" s="4">
        <v>9.93</v>
      </c>
      <c r="P785" s="4" t="s">
        <v>2234</v>
      </c>
      <c r="Q785" s="4">
        <v>9.93</v>
      </c>
      <c r="R785" s="4" t="s">
        <v>2235</v>
      </c>
    </row>
    <row r="786" spans="1:18" hidden="1" x14ac:dyDescent="0.35">
      <c r="A786" s="4" t="s">
        <v>3561</v>
      </c>
      <c r="B786" s="4" t="s">
        <v>4081</v>
      </c>
      <c r="C786" s="4" t="s">
        <v>1014</v>
      </c>
      <c r="D786" s="4" t="s">
        <v>3557</v>
      </c>
      <c r="E786" s="4">
        <v>55</v>
      </c>
      <c r="F786" s="4" t="s">
        <v>33</v>
      </c>
      <c r="G786" s="4" t="s">
        <v>137</v>
      </c>
      <c r="H786" s="4" t="s">
        <v>2231</v>
      </c>
      <c r="I786" s="5">
        <v>55120</v>
      </c>
      <c r="J786" s="4" t="s">
        <v>880</v>
      </c>
      <c r="K786" s="4" t="s">
        <v>712</v>
      </c>
      <c r="L786" s="4">
        <v>2020</v>
      </c>
      <c r="M786" s="4" t="s">
        <v>27</v>
      </c>
      <c r="N786" s="4">
        <v>9.93</v>
      </c>
      <c r="O786" s="4">
        <v>9.93</v>
      </c>
      <c r="P786" s="4" t="s">
        <v>2234</v>
      </c>
      <c r="Q786" s="4">
        <v>9.93</v>
      </c>
      <c r="R786" s="4" t="s">
        <v>2235</v>
      </c>
    </row>
    <row r="787" spans="1:18" hidden="1" x14ac:dyDescent="0.35">
      <c r="A787" s="4" t="s">
        <v>3562</v>
      </c>
      <c r="B787" s="4" t="s">
        <v>4081</v>
      </c>
      <c r="C787" s="4" t="s">
        <v>1014</v>
      </c>
      <c r="D787" s="4" t="s">
        <v>3557</v>
      </c>
      <c r="E787" s="4">
        <v>56</v>
      </c>
      <c r="F787" s="4" t="s">
        <v>33</v>
      </c>
      <c r="G787" s="4" t="s">
        <v>137</v>
      </c>
      <c r="H787" s="4" t="s">
        <v>2231</v>
      </c>
      <c r="I787" s="5">
        <v>55120</v>
      </c>
      <c r="J787" s="4" t="s">
        <v>880</v>
      </c>
      <c r="K787" s="4" t="s">
        <v>712</v>
      </c>
      <c r="L787" s="4">
        <v>2020</v>
      </c>
      <c r="M787" s="4" t="s">
        <v>27</v>
      </c>
      <c r="N787" s="4">
        <v>9.93</v>
      </c>
      <c r="O787" s="4">
        <v>9.93</v>
      </c>
      <c r="P787" s="4" t="s">
        <v>2234</v>
      </c>
      <c r="Q787" s="4">
        <v>9.93</v>
      </c>
      <c r="R787" s="4" t="s">
        <v>2235</v>
      </c>
    </row>
    <row r="788" spans="1:18" x14ac:dyDescent="0.35">
      <c r="A788" s="4" t="s">
        <v>1745</v>
      </c>
      <c r="B788" s="4" t="s">
        <v>4080</v>
      </c>
      <c r="C788" s="4" t="s">
        <v>2267</v>
      </c>
      <c r="D788" s="4" t="s">
        <v>1746</v>
      </c>
      <c r="E788" s="4" t="s">
        <v>1746</v>
      </c>
      <c r="F788" s="4" t="s">
        <v>33</v>
      </c>
      <c r="G788" s="4" t="s">
        <v>409</v>
      </c>
      <c r="H788" s="4" t="s">
        <v>2231</v>
      </c>
      <c r="I788" s="5">
        <v>24939</v>
      </c>
      <c r="J788" s="4" t="s">
        <v>1742</v>
      </c>
      <c r="K788" s="4" t="s">
        <v>276</v>
      </c>
      <c r="L788" s="4">
        <v>2023</v>
      </c>
      <c r="M788" s="4" t="s">
        <v>27</v>
      </c>
      <c r="N788" s="4">
        <v>38.200000000000003</v>
      </c>
      <c r="O788" s="4">
        <v>38.200000000000003</v>
      </c>
      <c r="P788" s="4" t="s">
        <v>2234</v>
      </c>
      <c r="Q788" s="4">
        <v>38.200000000000003</v>
      </c>
      <c r="R788" s="4" t="s">
        <v>2235</v>
      </c>
    </row>
    <row r="789" spans="1:18" hidden="1" x14ac:dyDescent="0.35">
      <c r="A789" s="4" t="s">
        <v>3563</v>
      </c>
      <c r="B789" s="4" t="s">
        <v>4081</v>
      </c>
      <c r="C789" s="4" t="s">
        <v>1014</v>
      </c>
      <c r="D789" s="4" t="s">
        <v>3557</v>
      </c>
      <c r="E789" s="4">
        <v>57</v>
      </c>
      <c r="F789" s="4" t="s">
        <v>33</v>
      </c>
      <c r="G789" s="4" t="s">
        <v>137</v>
      </c>
      <c r="H789" s="4" t="s">
        <v>2231</v>
      </c>
      <c r="I789" s="5">
        <v>55120</v>
      </c>
      <c r="J789" s="4" t="s">
        <v>880</v>
      </c>
      <c r="K789" s="4" t="s">
        <v>712</v>
      </c>
      <c r="L789" s="4">
        <v>2020</v>
      </c>
      <c r="M789" s="4" t="s">
        <v>27</v>
      </c>
      <c r="N789" s="4">
        <v>9.93</v>
      </c>
      <c r="O789" s="4">
        <v>9.93</v>
      </c>
      <c r="P789" s="4" t="s">
        <v>2234</v>
      </c>
      <c r="Q789" s="4">
        <v>9.93</v>
      </c>
      <c r="R789" s="4" t="s">
        <v>2235</v>
      </c>
    </row>
    <row r="790" spans="1:18" hidden="1" x14ac:dyDescent="0.35">
      <c r="A790" s="4" t="s">
        <v>3564</v>
      </c>
      <c r="B790" s="4" t="s">
        <v>4081</v>
      </c>
      <c r="C790" s="4" t="s">
        <v>1014</v>
      </c>
      <c r="D790" s="4" t="s">
        <v>3557</v>
      </c>
      <c r="E790" s="4">
        <v>58</v>
      </c>
      <c r="F790" s="4" t="s">
        <v>33</v>
      </c>
      <c r="G790" s="4" t="s">
        <v>137</v>
      </c>
      <c r="H790" s="4" t="s">
        <v>2231</v>
      </c>
      <c r="I790" s="5">
        <v>55120</v>
      </c>
      <c r="J790" s="4" t="s">
        <v>880</v>
      </c>
      <c r="K790" s="4" t="s">
        <v>712</v>
      </c>
      <c r="L790" s="4">
        <v>2020</v>
      </c>
      <c r="M790" s="4" t="s">
        <v>27</v>
      </c>
      <c r="N790" s="4">
        <v>9.93</v>
      </c>
      <c r="O790" s="4">
        <v>9.93</v>
      </c>
      <c r="P790" s="4" t="s">
        <v>2234</v>
      </c>
      <c r="Q790" s="4">
        <v>9.93</v>
      </c>
      <c r="R790" s="4" t="s">
        <v>2235</v>
      </c>
    </row>
    <row r="791" spans="1:18" hidden="1" x14ac:dyDescent="0.35">
      <c r="A791" s="4" t="s">
        <v>3565</v>
      </c>
      <c r="B791" s="4" t="s">
        <v>4081</v>
      </c>
      <c r="C791" s="4" t="s">
        <v>1014</v>
      </c>
      <c r="D791" s="4" t="s">
        <v>3557</v>
      </c>
      <c r="E791" s="4">
        <v>59</v>
      </c>
      <c r="F791" s="4" t="s">
        <v>33</v>
      </c>
      <c r="G791" s="4" t="s">
        <v>137</v>
      </c>
      <c r="H791" s="4" t="s">
        <v>2231</v>
      </c>
      <c r="I791" s="5">
        <v>55120</v>
      </c>
      <c r="J791" s="4" t="s">
        <v>880</v>
      </c>
      <c r="K791" s="4" t="s">
        <v>712</v>
      </c>
      <c r="L791" s="4">
        <v>2020</v>
      </c>
      <c r="M791" s="4" t="s">
        <v>27</v>
      </c>
      <c r="N791" s="4">
        <v>9.93</v>
      </c>
      <c r="O791" s="4">
        <v>9.93</v>
      </c>
      <c r="P791" s="4" t="s">
        <v>2234</v>
      </c>
      <c r="Q791" s="4">
        <v>9.93</v>
      </c>
      <c r="R791" s="4" t="s">
        <v>2235</v>
      </c>
    </row>
    <row r="792" spans="1:18" hidden="1" x14ac:dyDescent="0.35">
      <c r="A792" s="4" t="s">
        <v>3566</v>
      </c>
      <c r="B792" s="4" t="s">
        <v>4081</v>
      </c>
      <c r="C792" s="4" t="s">
        <v>1014</v>
      </c>
      <c r="D792" s="4" t="s">
        <v>3557</v>
      </c>
      <c r="E792" s="4" t="s">
        <v>3567</v>
      </c>
      <c r="F792" s="4" t="s">
        <v>33</v>
      </c>
      <c r="G792" s="4" t="s">
        <v>137</v>
      </c>
      <c r="H792" s="4" t="s">
        <v>2231</v>
      </c>
      <c r="I792" s="5">
        <v>55120</v>
      </c>
      <c r="J792" s="4" t="s">
        <v>880</v>
      </c>
      <c r="K792" s="4" t="s">
        <v>712</v>
      </c>
      <c r="L792" s="4">
        <v>2020</v>
      </c>
      <c r="M792" s="4" t="s">
        <v>27</v>
      </c>
      <c r="N792" s="4">
        <v>9.93</v>
      </c>
      <c r="O792" s="4">
        <v>9.93</v>
      </c>
      <c r="P792" s="4" t="s">
        <v>2234</v>
      </c>
      <c r="Q792" s="4">
        <v>9.93</v>
      </c>
      <c r="R792" s="4" t="s">
        <v>2235</v>
      </c>
    </row>
    <row r="793" spans="1:18" hidden="1" x14ac:dyDescent="0.35">
      <c r="A793" s="4" t="s">
        <v>3568</v>
      </c>
      <c r="B793" s="4" t="s">
        <v>4081</v>
      </c>
      <c r="C793" s="4" t="s">
        <v>878</v>
      </c>
      <c r="D793" s="4" t="s">
        <v>3569</v>
      </c>
      <c r="E793" s="4" t="s">
        <v>3570</v>
      </c>
      <c r="F793" s="4" t="s">
        <v>173</v>
      </c>
      <c r="G793" s="4" t="s">
        <v>409</v>
      </c>
      <c r="H793" s="4" t="s">
        <v>2231</v>
      </c>
      <c r="I793" s="5">
        <v>55120</v>
      </c>
      <c r="J793" s="4" t="s">
        <v>880</v>
      </c>
      <c r="K793" s="4" t="s">
        <v>712</v>
      </c>
      <c r="L793" s="4">
        <v>2009</v>
      </c>
      <c r="M793" s="4" t="s">
        <v>27</v>
      </c>
      <c r="N793" s="4">
        <v>5</v>
      </c>
      <c r="O793" s="4">
        <v>5</v>
      </c>
      <c r="P793" s="4" t="s">
        <v>173</v>
      </c>
      <c r="Q793" s="4">
        <v>5</v>
      </c>
      <c r="R793" s="4" t="s">
        <v>173</v>
      </c>
    </row>
    <row r="794" spans="1:18" hidden="1" x14ac:dyDescent="0.35">
      <c r="A794" s="4" t="s">
        <v>877</v>
      </c>
      <c r="B794" s="4" t="s">
        <v>4081</v>
      </c>
      <c r="C794" s="4" t="s">
        <v>878</v>
      </c>
      <c r="D794" s="4" t="s">
        <v>3569</v>
      </c>
      <c r="E794" s="4" t="s">
        <v>3571</v>
      </c>
      <c r="F794" s="4" t="s">
        <v>173</v>
      </c>
      <c r="G794" s="4" t="s">
        <v>409</v>
      </c>
      <c r="H794" s="4" t="s">
        <v>2231</v>
      </c>
      <c r="I794" s="5">
        <v>55120</v>
      </c>
      <c r="J794" s="4" t="s">
        <v>880</v>
      </c>
      <c r="K794" s="4" t="s">
        <v>712</v>
      </c>
      <c r="L794" s="4">
        <v>2009</v>
      </c>
      <c r="M794" s="4" t="s">
        <v>27</v>
      </c>
      <c r="N794" s="4">
        <v>15</v>
      </c>
      <c r="O794" s="4">
        <v>15</v>
      </c>
      <c r="P794" s="4" t="s">
        <v>173</v>
      </c>
      <c r="Q794" s="4">
        <v>15</v>
      </c>
      <c r="R794" s="4" t="s">
        <v>173</v>
      </c>
    </row>
    <row r="795" spans="1:18" hidden="1" x14ac:dyDescent="0.35">
      <c r="A795" s="4" t="s">
        <v>1021</v>
      </c>
      <c r="B795" s="4" t="s">
        <v>4081</v>
      </c>
      <c r="C795" s="4" t="s">
        <v>1014</v>
      </c>
      <c r="D795" s="4" t="s">
        <v>3572</v>
      </c>
      <c r="E795" s="4" t="s">
        <v>3573</v>
      </c>
      <c r="F795" s="4" t="s">
        <v>33</v>
      </c>
      <c r="G795" s="4" t="s">
        <v>46</v>
      </c>
      <c r="H795" s="4" t="s">
        <v>2231</v>
      </c>
      <c r="I795" s="5">
        <v>55120</v>
      </c>
      <c r="J795" s="4" t="s">
        <v>880</v>
      </c>
      <c r="K795" s="4" t="s">
        <v>712</v>
      </c>
      <c r="L795" s="4">
        <v>2001</v>
      </c>
      <c r="M795" s="4" t="s">
        <v>27</v>
      </c>
      <c r="N795" s="4">
        <v>291.3</v>
      </c>
      <c r="O795" s="4">
        <v>291.3</v>
      </c>
      <c r="P795" s="4" t="s">
        <v>2234</v>
      </c>
      <c r="Q795" s="4">
        <v>291.3</v>
      </c>
      <c r="R795" s="4" t="s">
        <v>2235</v>
      </c>
    </row>
    <row r="796" spans="1:18" hidden="1" x14ac:dyDescent="0.35">
      <c r="A796" s="4" t="s">
        <v>3574</v>
      </c>
      <c r="B796" s="4" t="s">
        <v>4081</v>
      </c>
      <c r="C796" s="4" t="s">
        <v>3575</v>
      </c>
      <c r="D796" s="4" t="s">
        <v>3576</v>
      </c>
      <c r="E796" s="4" t="s">
        <v>2227</v>
      </c>
      <c r="F796" s="4" t="s">
        <v>33</v>
      </c>
      <c r="G796" s="4" t="s">
        <v>137</v>
      </c>
      <c r="H796" s="4" t="s">
        <v>2249</v>
      </c>
      <c r="I796" s="5">
        <v>79114</v>
      </c>
      <c r="J796" s="4" t="s">
        <v>2015</v>
      </c>
      <c r="K796" s="4" t="s">
        <v>2232</v>
      </c>
      <c r="L796" s="4">
        <v>2025</v>
      </c>
      <c r="M796" s="4" t="s">
        <v>2459</v>
      </c>
      <c r="N796" s="4">
        <v>9.8000000000000007</v>
      </c>
      <c r="O796" s="4">
        <v>9.8000000000000007</v>
      </c>
      <c r="P796" s="4" t="s">
        <v>2234</v>
      </c>
      <c r="Q796" s="4">
        <v>9.8000000000000007</v>
      </c>
      <c r="R796" s="4" t="s">
        <v>2235</v>
      </c>
    </row>
    <row r="797" spans="1:18" x14ac:dyDescent="0.35">
      <c r="A797" s="4" t="s">
        <v>3577</v>
      </c>
      <c r="B797" s="4" t="s">
        <v>4080</v>
      </c>
      <c r="C797" s="4" t="s">
        <v>3578</v>
      </c>
      <c r="D797" s="4" t="s">
        <v>2831</v>
      </c>
      <c r="E797" s="4" t="s">
        <v>3579</v>
      </c>
      <c r="F797" s="4" t="s">
        <v>33</v>
      </c>
      <c r="G797" s="4" t="s">
        <v>137</v>
      </c>
      <c r="H797" s="4" t="s">
        <v>2249</v>
      </c>
      <c r="I797" s="5">
        <v>63457</v>
      </c>
      <c r="J797" s="4" t="s">
        <v>3580</v>
      </c>
      <c r="K797" s="4" t="s">
        <v>865</v>
      </c>
      <c r="L797" s="4">
        <v>2025</v>
      </c>
      <c r="M797" s="4" t="s">
        <v>2459</v>
      </c>
      <c r="N797" s="4">
        <v>11.7</v>
      </c>
      <c r="O797" s="4">
        <v>11.7</v>
      </c>
      <c r="P797" s="4" t="s">
        <v>2234</v>
      </c>
      <c r="Q797" s="4">
        <v>11.7</v>
      </c>
      <c r="R797" s="4" t="s">
        <v>2235</v>
      </c>
    </row>
    <row r="798" spans="1:18" x14ac:dyDescent="0.35">
      <c r="A798" s="4" t="s">
        <v>3581</v>
      </c>
      <c r="B798" s="4" t="s">
        <v>4080</v>
      </c>
      <c r="C798" s="4" t="s">
        <v>3578</v>
      </c>
      <c r="D798" s="4" t="s">
        <v>2831</v>
      </c>
      <c r="E798" s="4" t="s">
        <v>3582</v>
      </c>
      <c r="F798" s="4" t="s">
        <v>33</v>
      </c>
      <c r="G798" s="4" t="s">
        <v>137</v>
      </c>
      <c r="H798" s="4" t="s">
        <v>2249</v>
      </c>
      <c r="I798" s="5">
        <v>63457</v>
      </c>
      <c r="J798" s="4" t="s">
        <v>3580</v>
      </c>
      <c r="K798" s="4" t="s">
        <v>865</v>
      </c>
      <c r="L798" s="4">
        <v>2025</v>
      </c>
      <c r="M798" s="4" t="s">
        <v>2459</v>
      </c>
      <c r="N798" s="4">
        <v>11.7</v>
      </c>
      <c r="O798" s="4">
        <v>11.7</v>
      </c>
      <c r="P798" s="4" t="s">
        <v>2234</v>
      </c>
      <c r="Q798" s="4">
        <v>11.7</v>
      </c>
      <c r="R798" s="4" t="s">
        <v>2235</v>
      </c>
    </row>
    <row r="799" spans="1:18" x14ac:dyDescent="0.35">
      <c r="A799" s="4" t="s">
        <v>3583</v>
      </c>
      <c r="B799" s="4" t="s">
        <v>4080</v>
      </c>
      <c r="C799" s="4" t="s">
        <v>3578</v>
      </c>
      <c r="D799" s="4" t="s">
        <v>2831</v>
      </c>
      <c r="E799" s="4" t="s">
        <v>3584</v>
      </c>
      <c r="F799" s="4" t="s">
        <v>33</v>
      </c>
      <c r="G799" s="4" t="s">
        <v>137</v>
      </c>
      <c r="H799" s="4" t="s">
        <v>2249</v>
      </c>
      <c r="I799" s="5">
        <v>63457</v>
      </c>
      <c r="J799" s="4" t="s">
        <v>3580</v>
      </c>
      <c r="K799" s="4" t="s">
        <v>865</v>
      </c>
      <c r="L799" s="4">
        <v>2025</v>
      </c>
      <c r="M799" s="4" t="s">
        <v>2459</v>
      </c>
      <c r="N799" s="4">
        <v>11.7</v>
      </c>
      <c r="O799" s="4">
        <v>11.7</v>
      </c>
      <c r="P799" s="4" t="s">
        <v>2234</v>
      </c>
      <c r="Q799" s="4">
        <v>11.7</v>
      </c>
      <c r="R799" s="4" t="s">
        <v>2235</v>
      </c>
    </row>
    <row r="800" spans="1:18" hidden="1" x14ac:dyDescent="0.35">
      <c r="A800" s="4" t="s">
        <v>3585</v>
      </c>
      <c r="B800" s="4" t="s">
        <v>4081</v>
      </c>
      <c r="C800" s="4" t="s">
        <v>1816</v>
      </c>
      <c r="D800" s="4" t="s">
        <v>3586</v>
      </c>
      <c r="E800" s="4" t="s">
        <v>872</v>
      </c>
      <c r="F800" s="4" t="s">
        <v>33</v>
      </c>
      <c r="G800" s="4" t="s">
        <v>46</v>
      </c>
      <c r="H800" s="4" t="s">
        <v>2249</v>
      </c>
      <c r="I800" s="5">
        <v>81371</v>
      </c>
      <c r="J800" s="4" t="s">
        <v>1824</v>
      </c>
      <c r="K800" s="4" t="s">
        <v>701</v>
      </c>
      <c r="L800" s="4">
        <v>2024</v>
      </c>
      <c r="M800" s="4" t="s">
        <v>2233</v>
      </c>
      <c r="N800" s="4">
        <v>157.19999999999999</v>
      </c>
      <c r="O800" s="4">
        <v>157.19999999999999</v>
      </c>
      <c r="P800" s="4" t="s">
        <v>2234</v>
      </c>
      <c r="Q800" s="4">
        <v>157.19999999999999</v>
      </c>
      <c r="R800" s="4" t="s">
        <v>2235</v>
      </c>
    </row>
    <row r="801" spans="1:18" hidden="1" x14ac:dyDescent="0.35">
      <c r="A801" s="4" t="s">
        <v>3587</v>
      </c>
      <c r="B801" s="4" t="s">
        <v>4081</v>
      </c>
      <c r="C801" s="4" t="s">
        <v>1816</v>
      </c>
      <c r="D801" s="4" t="s">
        <v>3586</v>
      </c>
      <c r="E801" s="4" t="s">
        <v>3588</v>
      </c>
      <c r="F801" s="4" t="s">
        <v>33</v>
      </c>
      <c r="G801" s="4" t="s">
        <v>46</v>
      </c>
      <c r="H801" s="4" t="s">
        <v>2249</v>
      </c>
      <c r="I801" s="5">
        <v>81371</v>
      </c>
      <c r="J801" s="4" t="s">
        <v>1824</v>
      </c>
      <c r="K801" s="4" t="s">
        <v>701</v>
      </c>
      <c r="L801" s="4">
        <v>2024</v>
      </c>
      <c r="M801" s="4" t="s">
        <v>2233</v>
      </c>
      <c r="N801" s="4">
        <v>74</v>
      </c>
      <c r="O801" s="4">
        <v>74</v>
      </c>
      <c r="P801" s="4" t="s">
        <v>2234</v>
      </c>
      <c r="Q801" s="4">
        <v>74</v>
      </c>
      <c r="R801" s="4" t="s">
        <v>2235</v>
      </c>
    </row>
    <row r="802" spans="1:18" hidden="1" x14ac:dyDescent="0.35">
      <c r="A802" s="4" t="s">
        <v>1016</v>
      </c>
      <c r="B802" s="4" t="s">
        <v>4081</v>
      </c>
      <c r="C802" s="4" t="s">
        <v>1014</v>
      </c>
      <c r="D802" s="4" t="s">
        <v>3572</v>
      </c>
      <c r="E802" s="4" t="s">
        <v>3573</v>
      </c>
      <c r="F802" s="4" t="s">
        <v>33</v>
      </c>
      <c r="G802" s="4" t="s">
        <v>46</v>
      </c>
      <c r="H802" s="4" t="s">
        <v>2231</v>
      </c>
      <c r="I802" s="5">
        <v>55120</v>
      </c>
      <c r="J802" s="4" t="s">
        <v>880</v>
      </c>
      <c r="K802" s="4" t="s">
        <v>712</v>
      </c>
      <c r="L802" s="4">
        <v>2001</v>
      </c>
      <c r="M802" s="4" t="s">
        <v>27</v>
      </c>
      <c r="N802" s="4">
        <v>139.69999999999999</v>
      </c>
      <c r="O802" s="4">
        <v>139.69999999999999</v>
      </c>
      <c r="P802" s="4" t="s">
        <v>2234</v>
      </c>
      <c r="Q802" s="4">
        <v>139.69999999999999</v>
      </c>
      <c r="R802" s="4" t="s">
        <v>2235</v>
      </c>
    </row>
    <row r="803" spans="1:18" hidden="1" x14ac:dyDescent="0.35">
      <c r="A803" s="4" t="s">
        <v>755</v>
      </c>
      <c r="B803" s="4" t="s">
        <v>4081</v>
      </c>
      <c r="C803" s="4" t="s">
        <v>756</v>
      </c>
      <c r="D803" s="4" t="s">
        <v>757</v>
      </c>
      <c r="E803" s="4" t="s">
        <v>2227</v>
      </c>
      <c r="F803" s="4" t="s">
        <v>173</v>
      </c>
      <c r="G803" s="4" t="s">
        <v>409</v>
      </c>
      <c r="H803" s="4" t="s">
        <v>2231</v>
      </c>
      <c r="I803" s="5">
        <v>55218</v>
      </c>
      <c r="J803" s="4" t="s">
        <v>758</v>
      </c>
      <c r="K803" s="4" t="s">
        <v>712</v>
      </c>
      <c r="L803" s="4">
        <v>2025</v>
      </c>
      <c r="M803" s="4" t="s">
        <v>2233</v>
      </c>
      <c r="N803" s="4">
        <v>12</v>
      </c>
      <c r="O803" s="4">
        <v>12</v>
      </c>
      <c r="P803" s="4" t="s">
        <v>173</v>
      </c>
      <c r="Q803" s="4">
        <v>12</v>
      </c>
      <c r="R803" s="4" t="s">
        <v>173</v>
      </c>
    </row>
    <row r="804" spans="1:18" hidden="1" x14ac:dyDescent="0.35">
      <c r="A804" s="4" t="s">
        <v>3589</v>
      </c>
      <c r="B804" s="4" t="s">
        <v>4081</v>
      </c>
      <c r="C804" s="4" t="s">
        <v>3590</v>
      </c>
      <c r="D804" s="4" t="s">
        <v>1506</v>
      </c>
      <c r="E804" s="4" t="s">
        <v>1506</v>
      </c>
      <c r="F804" s="4" t="s">
        <v>33</v>
      </c>
      <c r="G804" s="4" t="s">
        <v>409</v>
      </c>
      <c r="H804" s="4" t="s">
        <v>2231</v>
      </c>
      <c r="I804" s="5">
        <v>55246</v>
      </c>
      <c r="J804" s="4" t="s">
        <v>3591</v>
      </c>
      <c r="K804" s="4" t="s">
        <v>865</v>
      </c>
      <c r="L804" s="4">
        <v>2013</v>
      </c>
      <c r="M804" s="4" t="s">
        <v>27</v>
      </c>
      <c r="N804" s="4">
        <v>5.6</v>
      </c>
      <c r="O804" s="4">
        <v>5.6</v>
      </c>
      <c r="P804" s="4" t="s">
        <v>2234</v>
      </c>
      <c r="Q804" s="4">
        <v>5.6</v>
      </c>
      <c r="R804" s="4" t="s">
        <v>2235</v>
      </c>
    </row>
    <row r="805" spans="1:18" hidden="1" x14ac:dyDescent="0.35">
      <c r="A805" s="4" t="s">
        <v>3592</v>
      </c>
      <c r="B805" s="4" t="s">
        <v>4081</v>
      </c>
      <c r="C805" s="4" t="s">
        <v>3590</v>
      </c>
      <c r="D805" s="4" t="s">
        <v>1591</v>
      </c>
      <c r="E805" s="4" t="s">
        <v>1591</v>
      </c>
      <c r="F805" s="4" t="s">
        <v>33</v>
      </c>
      <c r="G805" s="4" t="s">
        <v>409</v>
      </c>
      <c r="H805" s="4" t="s">
        <v>2231</v>
      </c>
      <c r="I805" s="5">
        <v>55246</v>
      </c>
      <c r="J805" s="4" t="s">
        <v>3591</v>
      </c>
      <c r="K805" s="4" t="s">
        <v>865</v>
      </c>
      <c r="L805" s="4">
        <v>1983</v>
      </c>
      <c r="M805" s="4" t="s">
        <v>27</v>
      </c>
      <c r="N805" s="4">
        <v>6.7</v>
      </c>
      <c r="O805" s="4">
        <v>6.7</v>
      </c>
      <c r="P805" s="4" t="s">
        <v>2234</v>
      </c>
      <c r="Q805" s="4">
        <v>6.7</v>
      </c>
      <c r="R805" s="4" t="s">
        <v>2235</v>
      </c>
    </row>
    <row r="806" spans="1:18" x14ac:dyDescent="0.35">
      <c r="A806" s="4" t="s">
        <v>3593</v>
      </c>
      <c r="B806" s="4" t="s">
        <v>4080</v>
      </c>
      <c r="C806" s="4" t="s">
        <v>3594</v>
      </c>
      <c r="D806" s="4" t="s">
        <v>3595</v>
      </c>
      <c r="E806" s="4" t="s">
        <v>2199</v>
      </c>
      <c r="F806" s="4" t="s">
        <v>33</v>
      </c>
      <c r="G806" s="4" t="s">
        <v>409</v>
      </c>
      <c r="H806" s="4" t="s">
        <v>2231</v>
      </c>
      <c r="I806" s="5">
        <v>37412</v>
      </c>
      <c r="J806" s="4" t="s">
        <v>1722</v>
      </c>
      <c r="K806" s="4" t="s">
        <v>765</v>
      </c>
      <c r="L806" s="4">
        <v>1978</v>
      </c>
      <c r="M806" s="4" t="s">
        <v>27</v>
      </c>
      <c r="N806" s="4">
        <v>2.6</v>
      </c>
      <c r="O806" s="4">
        <v>2.6</v>
      </c>
      <c r="P806" s="4" t="s">
        <v>2234</v>
      </c>
      <c r="Q806" s="4">
        <v>2.6</v>
      </c>
      <c r="R806" s="4" t="s">
        <v>2235</v>
      </c>
    </row>
    <row r="807" spans="1:18" x14ac:dyDescent="0.35">
      <c r="A807" s="4" t="s">
        <v>3596</v>
      </c>
      <c r="B807" s="4" t="s">
        <v>4080</v>
      </c>
      <c r="C807" s="4" t="s">
        <v>3594</v>
      </c>
      <c r="D807" s="4" t="s">
        <v>3595</v>
      </c>
      <c r="E807" s="4" t="s">
        <v>1043</v>
      </c>
      <c r="F807" s="4" t="s">
        <v>33</v>
      </c>
      <c r="G807" s="4" t="s">
        <v>409</v>
      </c>
      <c r="H807" s="4" t="s">
        <v>2231</v>
      </c>
      <c r="I807" s="5">
        <v>37412</v>
      </c>
      <c r="J807" s="4" t="s">
        <v>1722</v>
      </c>
      <c r="K807" s="4" t="s">
        <v>765</v>
      </c>
      <c r="L807" s="4">
        <v>1978</v>
      </c>
      <c r="M807" s="4" t="s">
        <v>27</v>
      </c>
      <c r="N807" s="4">
        <v>6</v>
      </c>
      <c r="O807" s="4">
        <v>6</v>
      </c>
      <c r="P807" s="4" t="s">
        <v>2234</v>
      </c>
      <c r="Q807" s="4">
        <v>6</v>
      </c>
      <c r="R807" s="4" t="s">
        <v>2235</v>
      </c>
    </row>
    <row r="808" spans="1:18" x14ac:dyDescent="0.35">
      <c r="A808" s="4" t="s">
        <v>1719</v>
      </c>
      <c r="B808" s="4" t="s">
        <v>4080</v>
      </c>
      <c r="C808" s="4" t="s">
        <v>3594</v>
      </c>
      <c r="D808" s="4" t="s">
        <v>3595</v>
      </c>
      <c r="E808" s="4" t="s">
        <v>1721</v>
      </c>
      <c r="F808" s="4" t="s">
        <v>33</v>
      </c>
      <c r="G808" s="4" t="s">
        <v>409</v>
      </c>
      <c r="H808" s="4" t="s">
        <v>2231</v>
      </c>
      <c r="I808" s="5">
        <v>37412</v>
      </c>
      <c r="J808" s="4" t="s">
        <v>1722</v>
      </c>
      <c r="K808" s="4" t="s">
        <v>765</v>
      </c>
      <c r="L808" s="4">
        <v>1978</v>
      </c>
      <c r="M808" s="4" t="s">
        <v>27</v>
      </c>
      <c r="N808" s="4">
        <v>13.49</v>
      </c>
      <c r="O808" s="4">
        <v>13.49</v>
      </c>
      <c r="P808" s="4" t="s">
        <v>2234</v>
      </c>
      <c r="Q808" s="4">
        <v>13.49</v>
      </c>
      <c r="R808" s="4" t="s">
        <v>2235</v>
      </c>
    </row>
    <row r="809" spans="1:18" hidden="1" x14ac:dyDescent="0.35">
      <c r="A809" s="4" t="s">
        <v>936</v>
      </c>
      <c r="B809" s="4" t="s">
        <v>4081</v>
      </c>
      <c r="C809" s="4" t="s">
        <v>937</v>
      </c>
      <c r="D809" s="4" t="s">
        <v>3597</v>
      </c>
      <c r="E809" s="4" t="s">
        <v>2227</v>
      </c>
      <c r="F809" s="4" t="s">
        <v>173</v>
      </c>
      <c r="G809" s="4" t="s">
        <v>409</v>
      </c>
      <c r="H809" s="4" t="s">
        <v>2231</v>
      </c>
      <c r="I809" s="5">
        <v>56626</v>
      </c>
      <c r="J809" s="4" t="s">
        <v>938</v>
      </c>
      <c r="K809" s="4" t="s">
        <v>712</v>
      </c>
      <c r="L809" s="4">
        <v>2009</v>
      </c>
      <c r="M809" s="4" t="s">
        <v>27</v>
      </c>
      <c r="N809" s="4">
        <v>12.5</v>
      </c>
      <c r="O809" s="4">
        <v>12.5</v>
      </c>
      <c r="P809" s="4" t="s">
        <v>173</v>
      </c>
      <c r="Q809" s="4">
        <v>12.5</v>
      </c>
      <c r="R809" s="4" t="s">
        <v>173</v>
      </c>
    </row>
    <row r="810" spans="1:18" hidden="1" x14ac:dyDescent="0.35">
      <c r="A810" s="4" t="s">
        <v>3598</v>
      </c>
      <c r="B810" s="4" t="s">
        <v>4081</v>
      </c>
      <c r="C810" s="4" t="s">
        <v>3599</v>
      </c>
      <c r="D810" s="4" t="s">
        <v>3600</v>
      </c>
      <c r="E810" s="4" t="s">
        <v>2747</v>
      </c>
      <c r="F810" s="4" t="s">
        <v>33</v>
      </c>
      <c r="G810" s="4" t="s">
        <v>46</v>
      </c>
      <c r="H810" s="4" t="s">
        <v>2231</v>
      </c>
      <c r="I810" s="5">
        <v>56727</v>
      </c>
      <c r="J810" s="4" t="s">
        <v>1040</v>
      </c>
      <c r="K810" s="4" t="s">
        <v>712</v>
      </c>
      <c r="L810" s="4">
        <v>2015</v>
      </c>
      <c r="M810" s="4" t="s">
        <v>27</v>
      </c>
      <c r="N810" s="4">
        <v>3.5</v>
      </c>
      <c r="O810" s="4">
        <v>3.5</v>
      </c>
      <c r="P810" s="4" t="s">
        <v>2234</v>
      </c>
      <c r="Q810" s="4">
        <v>3.5</v>
      </c>
      <c r="R810" s="4" t="s">
        <v>2235</v>
      </c>
    </row>
    <row r="811" spans="1:18" hidden="1" x14ac:dyDescent="0.35">
      <c r="A811" s="4" t="s">
        <v>1037</v>
      </c>
      <c r="B811" s="4" t="s">
        <v>4081</v>
      </c>
      <c r="C811" s="4" t="s">
        <v>3599</v>
      </c>
      <c r="D811" s="4" t="s">
        <v>3600</v>
      </c>
      <c r="E811" s="4" t="s">
        <v>1039</v>
      </c>
      <c r="F811" s="4" t="s">
        <v>33</v>
      </c>
      <c r="G811" s="4" t="s">
        <v>46</v>
      </c>
      <c r="H811" s="4" t="s">
        <v>2231</v>
      </c>
      <c r="I811" s="5">
        <v>56727</v>
      </c>
      <c r="J811" s="4" t="s">
        <v>1040</v>
      </c>
      <c r="K811" s="4" t="s">
        <v>712</v>
      </c>
      <c r="L811" s="4">
        <v>2015</v>
      </c>
      <c r="M811" s="4" t="s">
        <v>27</v>
      </c>
      <c r="N811" s="4">
        <v>14.5</v>
      </c>
      <c r="O811" s="4">
        <v>14.5</v>
      </c>
      <c r="P811" s="4" t="s">
        <v>2234</v>
      </c>
      <c r="Q811" s="4">
        <v>14.5</v>
      </c>
      <c r="R811" s="4" t="s">
        <v>2235</v>
      </c>
    </row>
    <row r="812" spans="1:18" hidden="1" x14ac:dyDescent="0.35">
      <c r="A812" s="4" t="s">
        <v>1042</v>
      </c>
      <c r="B812" s="4" t="s">
        <v>4081</v>
      </c>
      <c r="C812" s="4" t="s">
        <v>3599</v>
      </c>
      <c r="D812" s="4" t="s">
        <v>3600</v>
      </c>
      <c r="E812" s="4" t="s">
        <v>1043</v>
      </c>
      <c r="F812" s="4" t="s">
        <v>33</v>
      </c>
      <c r="G812" s="4" t="s">
        <v>46</v>
      </c>
      <c r="H812" s="4" t="s">
        <v>2231</v>
      </c>
      <c r="I812" s="5">
        <v>56727</v>
      </c>
      <c r="J812" s="4" t="s">
        <v>1040</v>
      </c>
      <c r="K812" s="4" t="s">
        <v>712</v>
      </c>
      <c r="L812" s="4">
        <v>2015</v>
      </c>
      <c r="M812" s="4" t="s">
        <v>27</v>
      </c>
      <c r="N812" s="4">
        <v>17.399999999999999</v>
      </c>
      <c r="O812" s="4">
        <v>17.399999999999999</v>
      </c>
      <c r="P812" s="4" t="s">
        <v>2234</v>
      </c>
      <c r="Q812" s="4">
        <v>17.399999999999999</v>
      </c>
      <c r="R812" s="4" t="s">
        <v>2235</v>
      </c>
    </row>
    <row r="813" spans="1:18" hidden="1" x14ac:dyDescent="0.35">
      <c r="A813" s="4" t="s">
        <v>3601</v>
      </c>
      <c r="B813" s="4" t="s">
        <v>4081</v>
      </c>
      <c r="C813" s="4" t="s">
        <v>3599</v>
      </c>
      <c r="D813" s="4" t="s">
        <v>3600</v>
      </c>
      <c r="E813" s="4" t="s">
        <v>1721</v>
      </c>
      <c r="F813" s="4" t="s">
        <v>33</v>
      </c>
      <c r="G813" s="4" t="s">
        <v>46</v>
      </c>
      <c r="H813" s="4" t="s">
        <v>2231</v>
      </c>
      <c r="I813" s="5">
        <v>56727</v>
      </c>
      <c r="J813" s="4" t="s">
        <v>1040</v>
      </c>
      <c r="K813" s="4" t="s">
        <v>712</v>
      </c>
      <c r="L813" s="4">
        <v>2015</v>
      </c>
      <c r="M813" s="4" t="s">
        <v>27</v>
      </c>
      <c r="N813" s="4">
        <v>27.5</v>
      </c>
      <c r="O813" s="4">
        <v>27.5</v>
      </c>
      <c r="P813" s="4" t="s">
        <v>2234</v>
      </c>
      <c r="Q813" s="4">
        <v>27.5</v>
      </c>
      <c r="R813" s="4" t="s">
        <v>2235</v>
      </c>
    </row>
    <row r="814" spans="1:18" hidden="1" x14ac:dyDescent="0.35">
      <c r="A814" s="4" t="s">
        <v>3602</v>
      </c>
      <c r="B814" s="4" t="s">
        <v>4081</v>
      </c>
      <c r="C814" s="4" t="s">
        <v>3603</v>
      </c>
      <c r="D814" s="4" t="s">
        <v>3604</v>
      </c>
      <c r="E814" s="4" t="s">
        <v>3605</v>
      </c>
      <c r="F814" s="4" t="s">
        <v>2255</v>
      </c>
      <c r="G814" s="4" t="s">
        <v>2256</v>
      </c>
      <c r="H814" s="4" t="s">
        <v>2249</v>
      </c>
      <c r="I814" s="5">
        <v>57413</v>
      </c>
      <c r="J814" s="4" t="s">
        <v>3606</v>
      </c>
      <c r="K814" s="4" t="s">
        <v>693</v>
      </c>
      <c r="L814" s="4">
        <v>2013</v>
      </c>
      <c r="M814" s="4" t="s">
        <v>27</v>
      </c>
      <c r="N814" s="4">
        <v>69</v>
      </c>
      <c r="O814" s="4">
        <v>69</v>
      </c>
      <c r="P814" s="4" t="s">
        <v>2255</v>
      </c>
      <c r="Q814" s="4">
        <v>69</v>
      </c>
      <c r="R814" s="4" t="s">
        <v>2255</v>
      </c>
    </row>
    <row r="815" spans="1:18" hidden="1" x14ac:dyDescent="0.35">
      <c r="A815" s="4" t="s">
        <v>3607</v>
      </c>
      <c r="B815" s="4" t="s">
        <v>4081</v>
      </c>
      <c r="C815" s="4" t="s">
        <v>2559</v>
      </c>
      <c r="D815" s="4" t="s">
        <v>3608</v>
      </c>
      <c r="E815" s="4" t="s">
        <v>3609</v>
      </c>
      <c r="F815" s="4" t="s">
        <v>33</v>
      </c>
      <c r="G815" s="4" t="s">
        <v>137</v>
      </c>
      <c r="H815" s="4" t="s">
        <v>2231</v>
      </c>
      <c r="I815" s="5">
        <v>80788</v>
      </c>
      <c r="J815" s="4" t="s">
        <v>1824</v>
      </c>
      <c r="K815" s="4" t="s">
        <v>701</v>
      </c>
      <c r="L815" s="4">
        <v>2019</v>
      </c>
      <c r="M815" s="4" t="s">
        <v>27</v>
      </c>
      <c r="N815" s="4">
        <v>3.36</v>
      </c>
      <c r="O815" s="4">
        <v>3.36</v>
      </c>
      <c r="P815" s="4" t="s">
        <v>2234</v>
      </c>
      <c r="Q815" s="4">
        <v>3.36</v>
      </c>
      <c r="R815" s="4" t="s">
        <v>2235</v>
      </c>
    </row>
    <row r="816" spans="1:18" hidden="1" x14ac:dyDescent="0.35">
      <c r="A816" s="4" t="s">
        <v>3610</v>
      </c>
      <c r="B816" s="4" t="s">
        <v>4081</v>
      </c>
      <c r="C816" s="4" t="s">
        <v>2559</v>
      </c>
      <c r="D816" s="4" t="s">
        <v>3608</v>
      </c>
      <c r="E816" s="4" t="s">
        <v>3611</v>
      </c>
      <c r="F816" s="4" t="s">
        <v>33</v>
      </c>
      <c r="G816" s="4" t="s">
        <v>137</v>
      </c>
      <c r="H816" s="4" t="s">
        <v>2231</v>
      </c>
      <c r="I816" s="5">
        <v>80788</v>
      </c>
      <c r="J816" s="4" t="s">
        <v>1824</v>
      </c>
      <c r="K816" s="4" t="s">
        <v>701</v>
      </c>
      <c r="L816" s="4">
        <v>2019</v>
      </c>
      <c r="M816" s="4" t="s">
        <v>27</v>
      </c>
      <c r="N816" s="4">
        <v>3.36</v>
      </c>
      <c r="O816" s="4">
        <v>3.36</v>
      </c>
      <c r="P816" s="4" t="s">
        <v>2234</v>
      </c>
      <c r="Q816" s="4">
        <v>3.36</v>
      </c>
      <c r="R816" s="4" t="s">
        <v>2235</v>
      </c>
    </row>
    <row r="817" spans="1:18" hidden="1" x14ac:dyDescent="0.35">
      <c r="A817" s="4" t="s">
        <v>3612</v>
      </c>
      <c r="B817" s="4" t="s">
        <v>4081</v>
      </c>
      <c r="C817" s="4" t="s">
        <v>2559</v>
      </c>
      <c r="D817" s="4" t="s">
        <v>3608</v>
      </c>
      <c r="E817" s="4" t="s">
        <v>3613</v>
      </c>
      <c r="F817" s="4" t="s">
        <v>33</v>
      </c>
      <c r="G817" s="4" t="s">
        <v>137</v>
      </c>
      <c r="H817" s="4" t="s">
        <v>2231</v>
      </c>
      <c r="I817" s="5">
        <v>80788</v>
      </c>
      <c r="J817" s="4" t="s">
        <v>1824</v>
      </c>
      <c r="K817" s="4" t="s">
        <v>701</v>
      </c>
      <c r="L817" s="4">
        <v>2019</v>
      </c>
      <c r="M817" s="4" t="s">
        <v>27</v>
      </c>
      <c r="N817" s="4">
        <v>3.36</v>
      </c>
      <c r="O817" s="4">
        <v>3.36</v>
      </c>
      <c r="P817" s="4" t="s">
        <v>2234</v>
      </c>
      <c r="Q817" s="4">
        <v>3.36</v>
      </c>
      <c r="R817" s="4" t="s">
        <v>2235</v>
      </c>
    </row>
    <row r="818" spans="1:18" hidden="1" x14ac:dyDescent="0.35">
      <c r="A818" s="4" t="s">
        <v>3614</v>
      </c>
      <c r="B818" s="4" t="s">
        <v>4081</v>
      </c>
      <c r="C818" s="4" t="s">
        <v>2559</v>
      </c>
      <c r="D818" s="4" t="s">
        <v>3608</v>
      </c>
      <c r="E818" s="4" t="s">
        <v>3615</v>
      </c>
      <c r="F818" s="4" t="s">
        <v>33</v>
      </c>
      <c r="G818" s="4" t="s">
        <v>137</v>
      </c>
      <c r="H818" s="4" t="s">
        <v>2231</v>
      </c>
      <c r="I818" s="5">
        <v>80788</v>
      </c>
      <c r="J818" s="4" t="s">
        <v>1824</v>
      </c>
      <c r="K818" s="4" t="s">
        <v>701</v>
      </c>
      <c r="L818" s="4">
        <v>2019</v>
      </c>
      <c r="M818" s="4" t="s">
        <v>27</v>
      </c>
      <c r="N818" s="4">
        <v>3.36</v>
      </c>
      <c r="O818" s="4">
        <v>3.36</v>
      </c>
      <c r="P818" s="4" t="s">
        <v>2234</v>
      </c>
      <c r="Q818" s="4">
        <v>3.36</v>
      </c>
      <c r="R818" s="4" t="s">
        <v>2235</v>
      </c>
    </row>
    <row r="819" spans="1:18" hidden="1" x14ac:dyDescent="0.35">
      <c r="A819" s="4" t="s">
        <v>3616</v>
      </c>
      <c r="B819" s="4" t="s">
        <v>4081</v>
      </c>
      <c r="C819" s="4" t="s">
        <v>3603</v>
      </c>
      <c r="D819" s="4" t="s">
        <v>3604</v>
      </c>
      <c r="E819" s="4" t="s">
        <v>3617</v>
      </c>
      <c r="F819" s="4" t="s">
        <v>2255</v>
      </c>
      <c r="G819" s="4" t="s">
        <v>2256</v>
      </c>
      <c r="H819" s="4" t="s">
        <v>2249</v>
      </c>
      <c r="I819" s="5">
        <v>57413</v>
      </c>
      <c r="J819" s="4" t="s">
        <v>3606</v>
      </c>
      <c r="K819" s="4" t="s">
        <v>693</v>
      </c>
      <c r="L819" s="4">
        <v>2019</v>
      </c>
      <c r="M819" s="4" t="s">
        <v>27</v>
      </c>
      <c r="N819" s="4">
        <v>69</v>
      </c>
      <c r="O819" s="4">
        <v>69</v>
      </c>
      <c r="P819" s="4" t="s">
        <v>2255</v>
      </c>
      <c r="Q819" s="4">
        <v>69</v>
      </c>
      <c r="R819" s="4" t="s">
        <v>2255</v>
      </c>
    </row>
    <row r="820" spans="1:18" hidden="1" x14ac:dyDescent="0.35">
      <c r="A820" s="4" t="s">
        <v>3618</v>
      </c>
      <c r="B820" s="4" t="s">
        <v>4081</v>
      </c>
      <c r="C820" s="4" t="s">
        <v>3619</v>
      </c>
      <c r="D820" s="4" t="s">
        <v>3620</v>
      </c>
      <c r="E820" s="4" t="s">
        <v>2227</v>
      </c>
      <c r="F820" s="4" t="s">
        <v>2255</v>
      </c>
      <c r="G820" s="4" t="s">
        <v>2535</v>
      </c>
      <c r="H820" s="4" t="s">
        <v>2249</v>
      </c>
      <c r="I820" s="5">
        <v>57439</v>
      </c>
      <c r="J820" s="4" t="s">
        <v>3621</v>
      </c>
      <c r="K820" s="4" t="s">
        <v>693</v>
      </c>
      <c r="L820" s="4">
        <v>1965</v>
      </c>
      <c r="M820" s="4" t="s">
        <v>27</v>
      </c>
      <c r="N820" s="4">
        <v>4.8</v>
      </c>
      <c r="O820" s="4">
        <v>4.8</v>
      </c>
      <c r="P820" s="4" t="s">
        <v>2255</v>
      </c>
      <c r="Q820" s="4">
        <v>4.8</v>
      </c>
      <c r="R820" s="4" t="s">
        <v>2255</v>
      </c>
    </row>
    <row r="821" spans="1:18" hidden="1" x14ac:dyDescent="0.35">
      <c r="A821" s="4" t="s">
        <v>3622</v>
      </c>
      <c r="B821" s="4" t="s">
        <v>4081</v>
      </c>
      <c r="C821" s="4" t="s">
        <v>3619</v>
      </c>
      <c r="D821" s="4" t="s">
        <v>3620</v>
      </c>
      <c r="E821" s="4" t="s">
        <v>2227</v>
      </c>
      <c r="F821" s="4" t="s">
        <v>2255</v>
      </c>
      <c r="G821" s="4" t="s">
        <v>2535</v>
      </c>
      <c r="H821" s="4" t="s">
        <v>2249</v>
      </c>
      <c r="I821" s="5">
        <v>57439</v>
      </c>
      <c r="J821" s="4" t="s">
        <v>3621</v>
      </c>
      <c r="K821" s="4" t="s">
        <v>693</v>
      </c>
      <c r="L821" s="4">
        <v>1965</v>
      </c>
      <c r="M821" s="4" t="s">
        <v>27</v>
      </c>
      <c r="N821" s="4">
        <v>4.8</v>
      </c>
      <c r="O821" s="4">
        <v>4.8</v>
      </c>
      <c r="P821" s="4" t="s">
        <v>2255</v>
      </c>
      <c r="Q821" s="4">
        <v>4.8</v>
      </c>
      <c r="R821" s="4" t="s">
        <v>2255</v>
      </c>
    </row>
    <row r="822" spans="1:18" hidden="1" x14ac:dyDescent="0.35">
      <c r="A822" s="4" t="s">
        <v>3623</v>
      </c>
      <c r="B822" s="4" t="s">
        <v>4081</v>
      </c>
      <c r="C822" s="4" t="s">
        <v>3619</v>
      </c>
      <c r="D822" s="4" t="s">
        <v>3620</v>
      </c>
      <c r="E822" s="4" t="s">
        <v>2227</v>
      </c>
      <c r="F822" s="4" t="s">
        <v>2255</v>
      </c>
      <c r="G822" s="4" t="s">
        <v>2535</v>
      </c>
      <c r="H822" s="4" t="s">
        <v>2249</v>
      </c>
      <c r="I822" s="5">
        <v>57439</v>
      </c>
      <c r="J822" s="4" t="s">
        <v>3621</v>
      </c>
      <c r="K822" s="4" t="s">
        <v>693</v>
      </c>
      <c r="L822" s="4">
        <v>1965</v>
      </c>
      <c r="M822" s="4" t="s">
        <v>27</v>
      </c>
      <c r="N822" s="4">
        <v>4.8</v>
      </c>
      <c r="O822" s="4">
        <v>4.8</v>
      </c>
      <c r="P822" s="4" t="s">
        <v>2255</v>
      </c>
      <c r="Q822" s="4">
        <v>4.8</v>
      </c>
      <c r="R822" s="4" t="s">
        <v>2255</v>
      </c>
    </row>
    <row r="823" spans="1:18" hidden="1" x14ac:dyDescent="0.35">
      <c r="A823" s="4" t="s">
        <v>1032</v>
      </c>
      <c r="B823" s="4" t="s">
        <v>4081</v>
      </c>
      <c r="C823" s="4" t="s">
        <v>3624</v>
      </c>
      <c r="D823" s="4" t="s">
        <v>3625</v>
      </c>
      <c r="E823" s="4" t="s">
        <v>3626</v>
      </c>
      <c r="F823" s="4" t="s">
        <v>33</v>
      </c>
      <c r="G823" s="4" t="s">
        <v>46</v>
      </c>
      <c r="H823" s="4" t="s">
        <v>2249</v>
      </c>
      <c r="I823" s="5">
        <v>58313</v>
      </c>
      <c r="J823" s="4" t="s">
        <v>1035</v>
      </c>
      <c r="K823" s="4" t="s">
        <v>693</v>
      </c>
      <c r="L823" s="4">
        <v>2007</v>
      </c>
      <c r="M823" s="4" t="s">
        <v>27</v>
      </c>
      <c r="N823" s="4">
        <v>417</v>
      </c>
      <c r="O823" s="4">
        <v>417</v>
      </c>
      <c r="P823" s="4" t="s">
        <v>2234</v>
      </c>
      <c r="Q823" s="4">
        <v>417</v>
      </c>
      <c r="R823" s="4" t="s">
        <v>2235</v>
      </c>
    </row>
    <row r="824" spans="1:18" hidden="1" x14ac:dyDescent="0.35">
      <c r="A824" s="4" t="s">
        <v>3627</v>
      </c>
      <c r="B824" s="4" t="s">
        <v>4081</v>
      </c>
      <c r="C824" s="4" t="s">
        <v>1138</v>
      </c>
      <c r="D824" s="4" t="s">
        <v>3628</v>
      </c>
      <c r="E824" s="4" t="s">
        <v>3628</v>
      </c>
      <c r="F824" s="4" t="s">
        <v>2255</v>
      </c>
      <c r="G824" s="4" t="s">
        <v>2256</v>
      </c>
      <c r="H824" s="4" t="s">
        <v>2249</v>
      </c>
      <c r="I824" s="5">
        <v>58313</v>
      </c>
      <c r="J824" s="4" t="s">
        <v>1035</v>
      </c>
      <c r="K824" s="4" t="s">
        <v>693</v>
      </c>
      <c r="L824" s="4">
        <v>1989</v>
      </c>
      <c r="M824" s="4" t="s">
        <v>27</v>
      </c>
      <c r="N824" s="4">
        <v>162</v>
      </c>
      <c r="O824" s="4">
        <v>162</v>
      </c>
      <c r="P824" s="4" t="s">
        <v>2255</v>
      </c>
      <c r="Q824" s="4">
        <v>162</v>
      </c>
      <c r="R824" s="4" t="s">
        <v>2255</v>
      </c>
    </row>
    <row r="825" spans="1:18" hidden="1" x14ac:dyDescent="0.35">
      <c r="A825" s="4" t="s">
        <v>3629</v>
      </c>
      <c r="B825" s="4" t="s">
        <v>4081</v>
      </c>
      <c r="C825" s="4" t="s">
        <v>1033</v>
      </c>
      <c r="D825" s="4" t="s">
        <v>3630</v>
      </c>
      <c r="E825" s="4" t="s">
        <v>2113</v>
      </c>
      <c r="F825" s="4" t="s">
        <v>33</v>
      </c>
      <c r="G825" s="4" t="s">
        <v>137</v>
      </c>
      <c r="H825" s="4" t="s">
        <v>2231</v>
      </c>
      <c r="I825" s="5">
        <v>58313</v>
      </c>
      <c r="J825" s="4" t="s">
        <v>1035</v>
      </c>
      <c r="K825" s="4" t="s">
        <v>693</v>
      </c>
      <c r="L825" s="4">
        <v>2004</v>
      </c>
      <c r="M825" s="4" t="s">
        <v>27</v>
      </c>
      <c r="N825" s="4">
        <v>2</v>
      </c>
      <c r="O825" s="4">
        <v>2</v>
      </c>
      <c r="P825" s="4" t="s">
        <v>2234</v>
      </c>
      <c r="Q825" s="4">
        <v>2</v>
      </c>
      <c r="R825" s="4" t="s">
        <v>2235</v>
      </c>
    </row>
    <row r="826" spans="1:18" hidden="1" x14ac:dyDescent="0.35">
      <c r="A826" s="4" t="s">
        <v>3631</v>
      </c>
      <c r="B826" s="4" t="s">
        <v>4081</v>
      </c>
      <c r="C826" s="4" t="s">
        <v>1033</v>
      </c>
      <c r="D826" s="4" t="s">
        <v>3630</v>
      </c>
      <c r="E826" s="4" t="s">
        <v>2951</v>
      </c>
      <c r="F826" s="4" t="s">
        <v>33</v>
      </c>
      <c r="G826" s="4" t="s">
        <v>137</v>
      </c>
      <c r="H826" s="4" t="s">
        <v>2231</v>
      </c>
      <c r="I826" s="5">
        <v>58313</v>
      </c>
      <c r="J826" s="4" t="s">
        <v>1035</v>
      </c>
      <c r="K826" s="4" t="s">
        <v>693</v>
      </c>
      <c r="L826" s="4">
        <v>2005</v>
      </c>
      <c r="M826" s="4" t="s">
        <v>27</v>
      </c>
      <c r="N826" s="4">
        <v>2</v>
      </c>
      <c r="O826" s="4">
        <v>2</v>
      </c>
      <c r="P826" s="4" t="s">
        <v>2234</v>
      </c>
      <c r="Q826" s="4">
        <v>2</v>
      </c>
      <c r="R826" s="4" t="s">
        <v>2235</v>
      </c>
    </row>
    <row r="827" spans="1:18" hidden="1" x14ac:dyDescent="0.35">
      <c r="A827" s="4" t="s">
        <v>3632</v>
      </c>
      <c r="B827" s="4" t="s">
        <v>4081</v>
      </c>
      <c r="C827" s="4" t="s">
        <v>1033</v>
      </c>
      <c r="D827" s="4" t="s">
        <v>3630</v>
      </c>
      <c r="E827" s="4" t="s">
        <v>3633</v>
      </c>
      <c r="F827" s="4" t="s">
        <v>33</v>
      </c>
      <c r="G827" s="4" t="s">
        <v>137</v>
      </c>
      <c r="H827" s="4" t="s">
        <v>2231</v>
      </c>
      <c r="I827" s="5">
        <v>58313</v>
      </c>
      <c r="J827" s="4" t="s">
        <v>1035</v>
      </c>
      <c r="K827" s="4" t="s">
        <v>693</v>
      </c>
      <c r="L827" s="4">
        <v>2014</v>
      </c>
      <c r="M827" s="4" t="s">
        <v>27</v>
      </c>
      <c r="N827" s="4">
        <v>2.1</v>
      </c>
      <c r="O827" s="4">
        <v>2.1</v>
      </c>
      <c r="P827" s="4" t="s">
        <v>2234</v>
      </c>
      <c r="Q827" s="4">
        <v>2.1</v>
      </c>
      <c r="R827" s="4" t="s">
        <v>2235</v>
      </c>
    </row>
    <row r="828" spans="1:18" hidden="1" x14ac:dyDescent="0.35">
      <c r="A828" s="4" t="s">
        <v>702</v>
      </c>
      <c r="B828" s="4" t="s">
        <v>4081</v>
      </c>
      <c r="C828" s="4" t="s">
        <v>3634</v>
      </c>
      <c r="D828" s="4" t="s">
        <v>3635</v>
      </c>
      <c r="E828" s="4" t="s">
        <v>704</v>
      </c>
      <c r="F828" s="4" t="s">
        <v>173</v>
      </c>
      <c r="G828" s="4" t="s">
        <v>409</v>
      </c>
      <c r="H828" s="4" t="s">
        <v>2231</v>
      </c>
      <c r="I828" s="5">
        <v>58636</v>
      </c>
      <c r="J828" s="4" t="s">
        <v>705</v>
      </c>
      <c r="K828" s="4" t="s">
        <v>693</v>
      </c>
      <c r="L828" s="4">
        <v>1981</v>
      </c>
      <c r="M828" s="4" t="s">
        <v>27</v>
      </c>
      <c r="N828" s="4">
        <v>10.7</v>
      </c>
      <c r="O828" s="4">
        <v>10.7</v>
      </c>
      <c r="P828" s="4" t="s">
        <v>173</v>
      </c>
      <c r="Q828" s="4">
        <v>10.7</v>
      </c>
      <c r="R828" s="4" t="s">
        <v>173</v>
      </c>
    </row>
    <row r="829" spans="1:18" hidden="1" x14ac:dyDescent="0.35">
      <c r="A829" s="4" t="s">
        <v>3636</v>
      </c>
      <c r="B829" s="4" t="s">
        <v>4081</v>
      </c>
      <c r="C829" s="4" t="s">
        <v>3634</v>
      </c>
      <c r="D829" s="4" t="s">
        <v>3635</v>
      </c>
      <c r="E829" s="4" t="s">
        <v>1510</v>
      </c>
      <c r="F829" s="4" t="s">
        <v>173</v>
      </c>
      <c r="G829" s="4" t="s">
        <v>409</v>
      </c>
      <c r="H829" s="4" t="s">
        <v>2231</v>
      </c>
      <c r="I829" s="5">
        <v>58636</v>
      </c>
      <c r="J829" s="4" t="s">
        <v>705</v>
      </c>
      <c r="K829" s="4" t="s">
        <v>693</v>
      </c>
      <c r="L829" s="4">
        <v>1981</v>
      </c>
      <c r="M829" s="4" t="s">
        <v>27</v>
      </c>
      <c r="N829" s="4">
        <v>3.4</v>
      </c>
      <c r="O829" s="4">
        <v>3.4</v>
      </c>
      <c r="P829" s="4" t="s">
        <v>173</v>
      </c>
      <c r="Q829" s="4">
        <v>3.4</v>
      </c>
      <c r="R829" s="4" t="s">
        <v>173</v>
      </c>
    </row>
    <row r="830" spans="1:18" hidden="1" x14ac:dyDescent="0.35">
      <c r="A830" s="4" t="s">
        <v>3637</v>
      </c>
      <c r="B830" s="4" t="s">
        <v>4081</v>
      </c>
      <c r="C830" s="4" t="s">
        <v>3638</v>
      </c>
      <c r="D830" s="4" t="s">
        <v>3639</v>
      </c>
      <c r="E830" s="4" t="s">
        <v>3034</v>
      </c>
      <c r="F830" s="4" t="s">
        <v>33</v>
      </c>
      <c r="G830" s="4" t="s">
        <v>137</v>
      </c>
      <c r="H830" s="4" t="s">
        <v>2231</v>
      </c>
      <c r="I830" s="5">
        <v>59067</v>
      </c>
      <c r="J830" s="4" t="s">
        <v>1241</v>
      </c>
      <c r="K830" s="4" t="s">
        <v>693</v>
      </c>
      <c r="L830" s="4">
        <v>2013</v>
      </c>
      <c r="M830" s="4" t="s">
        <v>27</v>
      </c>
      <c r="N830" s="4">
        <v>2.2000000000000002</v>
      </c>
      <c r="O830" s="4">
        <v>2.2000000000000002</v>
      </c>
      <c r="P830" s="4" t="s">
        <v>2234</v>
      </c>
      <c r="Q830" s="4">
        <v>2.2000000000000002</v>
      </c>
      <c r="R830" s="4" t="s">
        <v>2235</v>
      </c>
    </row>
    <row r="831" spans="1:18" hidden="1" x14ac:dyDescent="0.35">
      <c r="A831" s="4" t="s">
        <v>3640</v>
      </c>
      <c r="B831" s="4" t="s">
        <v>4081</v>
      </c>
      <c r="C831" s="4" t="s">
        <v>3638</v>
      </c>
      <c r="D831" s="4" t="s">
        <v>3639</v>
      </c>
      <c r="E831" s="4" t="s">
        <v>3641</v>
      </c>
      <c r="F831" s="4" t="s">
        <v>33</v>
      </c>
      <c r="G831" s="4" t="s">
        <v>137</v>
      </c>
      <c r="H831" s="4" t="s">
        <v>2231</v>
      </c>
      <c r="I831" s="5">
        <v>59067</v>
      </c>
      <c r="J831" s="4" t="s">
        <v>1241</v>
      </c>
      <c r="K831" s="4" t="s">
        <v>693</v>
      </c>
      <c r="L831" s="4">
        <v>2013</v>
      </c>
      <c r="M831" s="4" t="s">
        <v>27</v>
      </c>
      <c r="N831" s="4">
        <v>2.2000000000000002</v>
      </c>
      <c r="O831" s="4">
        <v>2.2000000000000002</v>
      </c>
      <c r="P831" s="4" t="s">
        <v>2234</v>
      </c>
      <c r="Q831" s="4">
        <v>2.2000000000000002</v>
      </c>
      <c r="R831" s="4" t="s">
        <v>2235</v>
      </c>
    </row>
    <row r="832" spans="1:18" hidden="1" x14ac:dyDescent="0.35">
      <c r="A832" s="4" t="s">
        <v>3642</v>
      </c>
      <c r="B832" s="4" t="s">
        <v>4081</v>
      </c>
      <c r="C832" s="4" t="s">
        <v>3638</v>
      </c>
      <c r="D832" s="4" t="s">
        <v>3639</v>
      </c>
      <c r="E832" s="4" t="s">
        <v>3180</v>
      </c>
      <c r="F832" s="4" t="s">
        <v>33</v>
      </c>
      <c r="G832" s="4" t="s">
        <v>137</v>
      </c>
      <c r="H832" s="4" t="s">
        <v>2231</v>
      </c>
      <c r="I832" s="5">
        <v>59067</v>
      </c>
      <c r="J832" s="4" t="s">
        <v>1241</v>
      </c>
      <c r="K832" s="4" t="s">
        <v>693</v>
      </c>
      <c r="L832" s="4">
        <v>2013</v>
      </c>
      <c r="M832" s="4" t="s">
        <v>27</v>
      </c>
      <c r="N832" s="4">
        <v>2.2000000000000002</v>
      </c>
      <c r="O832" s="4">
        <v>2.2000000000000002</v>
      </c>
      <c r="P832" s="4" t="s">
        <v>2234</v>
      </c>
      <c r="Q832" s="4">
        <v>2.2000000000000002</v>
      </c>
      <c r="R832" s="4" t="s">
        <v>2235</v>
      </c>
    </row>
    <row r="833" spans="1:18" hidden="1" x14ac:dyDescent="0.35">
      <c r="A833" s="4" t="s">
        <v>3643</v>
      </c>
      <c r="B833" s="4" t="s">
        <v>4081</v>
      </c>
      <c r="C833" s="4" t="s">
        <v>3638</v>
      </c>
      <c r="D833" s="4" t="s">
        <v>3639</v>
      </c>
      <c r="E833" s="4" t="s">
        <v>3036</v>
      </c>
      <c r="F833" s="4" t="s">
        <v>33</v>
      </c>
      <c r="G833" s="4" t="s">
        <v>137</v>
      </c>
      <c r="H833" s="4" t="s">
        <v>2231</v>
      </c>
      <c r="I833" s="5">
        <v>59067</v>
      </c>
      <c r="J833" s="4" t="s">
        <v>1241</v>
      </c>
      <c r="K833" s="4" t="s">
        <v>693</v>
      </c>
      <c r="L833" s="4">
        <v>2013</v>
      </c>
      <c r="M833" s="4" t="s">
        <v>27</v>
      </c>
      <c r="N833" s="4">
        <v>2.2000000000000002</v>
      </c>
      <c r="O833" s="4">
        <v>2.2000000000000002</v>
      </c>
      <c r="P833" s="4" t="s">
        <v>2234</v>
      </c>
      <c r="Q833" s="4">
        <v>2.2000000000000002</v>
      </c>
      <c r="R833" s="4" t="s">
        <v>2235</v>
      </c>
    </row>
    <row r="834" spans="1:18" hidden="1" x14ac:dyDescent="0.35">
      <c r="A834" s="4" t="s">
        <v>3644</v>
      </c>
      <c r="B834" s="4" t="s">
        <v>4081</v>
      </c>
      <c r="C834" s="4" t="s">
        <v>3638</v>
      </c>
      <c r="D834" s="4" t="s">
        <v>3639</v>
      </c>
      <c r="E834" s="4" t="s">
        <v>3645</v>
      </c>
      <c r="F834" s="4" t="s">
        <v>33</v>
      </c>
      <c r="G834" s="4" t="s">
        <v>137</v>
      </c>
      <c r="H834" s="4" t="s">
        <v>2231</v>
      </c>
      <c r="I834" s="5">
        <v>59067</v>
      </c>
      <c r="J834" s="4" t="s">
        <v>1241</v>
      </c>
      <c r="K834" s="4" t="s">
        <v>693</v>
      </c>
      <c r="L834" s="4">
        <v>2017</v>
      </c>
      <c r="M834" s="4" t="s">
        <v>27</v>
      </c>
      <c r="N834" s="4">
        <v>2.2000000000000002</v>
      </c>
      <c r="O834" s="4">
        <v>2.2000000000000002</v>
      </c>
      <c r="P834" s="4" t="s">
        <v>2234</v>
      </c>
      <c r="Q834" s="4">
        <v>2.2000000000000002</v>
      </c>
      <c r="R834" s="4" t="s">
        <v>2235</v>
      </c>
    </row>
    <row r="835" spans="1:18" hidden="1" x14ac:dyDescent="0.35">
      <c r="A835" s="4" t="s">
        <v>3646</v>
      </c>
      <c r="B835" s="4" t="s">
        <v>4081</v>
      </c>
      <c r="C835" s="4" t="s">
        <v>3638</v>
      </c>
      <c r="D835" s="4" t="s">
        <v>3639</v>
      </c>
      <c r="E835" s="4" t="s">
        <v>3647</v>
      </c>
      <c r="F835" s="4" t="s">
        <v>33</v>
      </c>
      <c r="G835" s="4" t="s">
        <v>137</v>
      </c>
      <c r="H835" s="4" t="s">
        <v>2231</v>
      </c>
      <c r="I835" s="5">
        <v>59067</v>
      </c>
      <c r="J835" s="4" t="s">
        <v>1241</v>
      </c>
      <c r="K835" s="4" t="s">
        <v>693</v>
      </c>
      <c r="L835" s="4">
        <v>2017</v>
      </c>
      <c r="M835" s="4" t="s">
        <v>27</v>
      </c>
      <c r="N835" s="4">
        <v>1.4</v>
      </c>
      <c r="O835" s="4">
        <v>1.4</v>
      </c>
      <c r="P835" s="4" t="s">
        <v>2234</v>
      </c>
      <c r="Q835" s="4">
        <v>1.4</v>
      </c>
      <c r="R835" s="4" t="s">
        <v>2235</v>
      </c>
    </row>
    <row r="836" spans="1:18" hidden="1" x14ac:dyDescent="0.35">
      <c r="A836" s="4" t="s">
        <v>3648</v>
      </c>
      <c r="B836" s="4" t="s">
        <v>4081</v>
      </c>
      <c r="C836" s="4" t="s">
        <v>3638</v>
      </c>
      <c r="D836" s="4" t="s">
        <v>3639</v>
      </c>
      <c r="E836" s="4" t="s">
        <v>3649</v>
      </c>
      <c r="F836" s="4" t="s">
        <v>33</v>
      </c>
      <c r="G836" s="4" t="s">
        <v>137</v>
      </c>
      <c r="H836" s="4" t="s">
        <v>2231</v>
      </c>
      <c r="I836" s="5">
        <v>59067</v>
      </c>
      <c r="J836" s="4" t="s">
        <v>1241</v>
      </c>
      <c r="K836" s="4" t="s">
        <v>693</v>
      </c>
      <c r="L836" s="4">
        <v>2013</v>
      </c>
      <c r="M836" s="4" t="s">
        <v>27</v>
      </c>
      <c r="N836" s="4">
        <v>2.2000000000000002</v>
      </c>
      <c r="O836" s="4">
        <v>2.2000000000000002</v>
      </c>
      <c r="P836" s="4" t="s">
        <v>2234</v>
      </c>
      <c r="Q836" s="4">
        <v>2.2000000000000002</v>
      </c>
      <c r="R836" s="4" t="s">
        <v>2235</v>
      </c>
    </row>
    <row r="837" spans="1:18" hidden="1" x14ac:dyDescent="0.35">
      <c r="A837" s="4" t="s">
        <v>1243</v>
      </c>
      <c r="B837" s="4" t="s">
        <v>4081</v>
      </c>
      <c r="C837" s="4" t="s">
        <v>3650</v>
      </c>
      <c r="D837" s="4" t="s">
        <v>3651</v>
      </c>
      <c r="E837" s="4" t="s">
        <v>3652</v>
      </c>
      <c r="F837" s="4" t="s">
        <v>33</v>
      </c>
      <c r="G837" s="4" t="s">
        <v>46</v>
      </c>
      <c r="H837" s="4" t="s">
        <v>2249</v>
      </c>
      <c r="I837" s="5">
        <v>59071</v>
      </c>
      <c r="J837" s="4" t="s">
        <v>1241</v>
      </c>
      <c r="K837" s="4" t="s">
        <v>693</v>
      </c>
      <c r="L837" s="4">
        <v>2008</v>
      </c>
      <c r="M837" s="4" t="s">
        <v>27</v>
      </c>
      <c r="N837" s="4">
        <v>445</v>
      </c>
      <c r="O837" s="4">
        <v>445</v>
      </c>
      <c r="P837" s="4" t="s">
        <v>2234</v>
      </c>
      <c r="Q837" s="4">
        <v>445</v>
      </c>
      <c r="R837" s="4" t="s">
        <v>2235</v>
      </c>
    </row>
    <row r="838" spans="1:18" hidden="1" x14ac:dyDescent="0.35">
      <c r="A838" s="4" t="s">
        <v>1238</v>
      </c>
      <c r="B838" s="4" t="s">
        <v>4081</v>
      </c>
      <c r="C838" s="4" t="s">
        <v>3650</v>
      </c>
      <c r="D838" s="4" t="s">
        <v>3651</v>
      </c>
      <c r="E838" s="4" t="s">
        <v>3653</v>
      </c>
      <c r="F838" s="4" t="s">
        <v>33</v>
      </c>
      <c r="G838" s="4" t="s">
        <v>46</v>
      </c>
      <c r="H838" s="4" t="s">
        <v>2249</v>
      </c>
      <c r="I838" s="5">
        <v>59071</v>
      </c>
      <c r="J838" s="4" t="s">
        <v>1241</v>
      </c>
      <c r="K838" s="4" t="s">
        <v>693</v>
      </c>
      <c r="L838" s="4">
        <v>2008</v>
      </c>
      <c r="M838" s="4" t="s">
        <v>27</v>
      </c>
      <c r="N838" s="4">
        <v>407</v>
      </c>
      <c r="O838" s="4">
        <v>407</v>
      </c>
      <c r="P838" s="4" t="s">
        <v>2234</v>
      </c>
      <c r="Q838" s="4">
        <v>407</v>
      </c>
      <c r="R838" s="4" t="s">
        <v>2235</v>
      </c>
    </row>
    <row r="839" spans="1:18" hidden="1" x14ac:dyDescent="0.35">
      <c r="A839" s="4" t="s">
        <v>2227</v>
      </c>
      <c r="B839" s="4" t="s">
        <v>4081</v>
      </c>
      <c r="C839" s="4" t="s">
        <v>2227</v>
      </c>
      <c r="D839" s="4" t="s">
        <v>2227</v>
      </c>
      <c r="E839" s="4" t="s">
        <v>2227</v>
      </c>
      <c r="F839" s="4" t="s">
        <v>2234</v>
      </c>
      <c r="G839" s="4" t="s">
        <v>46</v>
      </c>
      <c r="H839" s="4" t="s">
        <v>2231</v>
      </c>
      <c r="I839" s="5" t="s">
        <v>2227</v>
      </c>
      <c r="J839" s="5" t="s">
        <v>2227</v>
      </c>
      <c r="K839" s="4" t="s">
        <v>693</v>
      </c>
      <c r="L839" s="4">
        <v>2027</v>
      </c>
      <c r="M839" s="4" t="s">
        <v>2459</v>
      </c>
      <c r="N839" s="4">
        <v>330</v>
      </c>
      <c r="O839" s="4">
        <v>330</v>
      </c>
      <c r="P839" s="4" t="s">
        <v>2234</v>
      </c>
      <c r="Q839" s="4">
        <v>330</v>
      </c>
      <c r="R839" s="4" t="s">
        <v>2235</v>
      </c>
    </row>
    <row r="840" spans="1:18" hidden="1" x14ac:dyDescent="0.35">
      <c r="A840" s="4" t="s">
        <v>3654</v>
      </c>
      <c r="B840" s="4" t="s">
        <v>4081</v>
      </c>
      <c r="C840" s="4" t="s">
        <v>3655</v>
      </c>
      <c r="D840" s="4" t="s">
        <v>3656</v>
      </c>
      <c r="E840" s="4" t="s">
        <v>704</v>
      </c>
      <c r="F840" s="4" t="s">
        <v>173</v>
      </c>
      <c r="G840" s="4" t="s">
        <v>409</v>
      </c>
      <c r="H840" s="4" t="s">
        <v>2231</v>
      </c>
      <c r="I840" s="5">
        <v>59075</v>
      </c>
      <c r="J840" s="4" t="s">
        <v>1241</v>
      </c>
      <c r="K840" s="4" t="s">
        <v>693</v>
      </c>
      <c r="L840" s="4">
        <v>1985</v>
      </c>
      <c r="M840" s="4" t="s">
        <v>27</v>
      </c>
      <c r="N840" s="4">
        <v>6.6</v>
      </c>
      <c r="O840" s="4">
        <v>6.6</v>
      </c>
      <c r="P840" s="4" t="s">
        <v>173</v>
      </c>
      <c r="Q840" s="4">
        <v>6.6</v>
      </c>
      <c r="R840" s="4" t="s">
        <v>173</v>
      </c>
    </row>
    <row r="841" spans="1:18" hidden="1" x14ac:dyDescent="0.35">
      <c r="A841" s="4" t="s">
        <v>3657</v>
      </c>
      <c r="B841" s="4" t="s">
        <v>4081</v>
      </c>
      <c r="C841" s="4" t="s">
        <v>3655</v>
      </c>
      <c r="D841" s="4" t="s">
        <v>3656</v>
      </c>
      <c r="E841" s="4" t="s">
        <v>1510</v>
      </c>
      <c r="F841" s="4" t="s">
        <v>173</v>
      </c>
      <c r="G841" s="4" t="s">
        <v>409</v>
      </c>
      <c r="H841" s="4" t="s">
        <v>2231</v>
      </c>
      <c r="I841" s="5">
        <v>59075</v>
      </c>
      <c r="J841" s="4" t="s">
        <v>1241</v>
      </c>
      <c r="K841" s="4" t="s">
        <v>693</v>
      </c>
      <c r="L841" s="4">
        <v>1985</v>
      </c>
      <c r="M841" s="4" t="s">
        <v>27</v>
      </c>
      <c r="N841" s="4">
        <v>6.5</v>
      </c>
      <c r="O841" s="4">
        <v>6.5</v>
      </c>
      <c r="P841" s="4" t="s">
        <v>173</v>
      </c>
      <c r="Q841" s="4">
        <v>6.5</v>
      </c>
      <c r="R841" s="4" t="s">
        <v>173</v>
      </c>
    </row>
    <row r="842" spans="1:18" hidden="1" x14ac:dyDescent="0.35">
      <c r="A842" s="4" t="s">
        <v>3658</v>
      </c>
      <c r="B842" s="4" t="s">
        <v>4081</v>
      </c>
      <c r="C842" s="4" t="s">
        <v>3655</v>
      </c>
      <c r="D842" s="4" t="s">
        <v>3656</v>
      </c>
      <c r="E842" s="4" t="s">
        <v>715</v>
      </c>
      <c r="F842" s="4" t="s">
        <v>173</v>
      </c>
      <c r="G842" s="4" t="s">
        <v>409</v>
      </c>
      <c r="H842" s="4" t="s">
        <v>2231</v>
      </c>
      <c r="I842" s="5">
        <v>59075</v>
      </c>
      <c r="J842" s="4" t="s">
        <v>1241</v>
      </c>
      <c r="K842" s="4" t="s">
        <v>693</v>
      </c>
      <c r="L842" s="4">
        <v>2006</v>
      </c>
      <c r="M842" s="4" t="s">
        <v>27</v>
      </c>
      <c r="N842" s="4">
        <v>4.1500000000000004</v>
      </c>
      <c r="O842" s="4">
        <v>4.1500000000000004</v>
      </c>
      <c r="P842" s="4" t="s">
        <v>173</v>
      </c>
      <c r="Q842" s="4">
        <v>4.1500000000000004</v>
      </c>
      <c r="R842" s="4" t="s">
        <v>173</v>
      </c>
    </row>
    <row r="843" spans="1:18" hidden="1" x14ac:dyDescent="0.35">
      <c r="A843" s="4" t="s">
        <v>1117</v>
      </c>
      <c r="B843" s="4" t="s">
        <v>4081</v>
      </c>
      <c r="C843" s="4" t="s">
        <v>1098</v>
      </c>
      <c r="D843" s="4" t="s">
        <v>3659</v>
      </c>
      <c r="E843" s="4" t="s">
        <v>3660</v>
      </c>
      <c r="F843" s="4" t="s">
        <v>33</v>
      </c>
      <c r="G843" s="4" t="s">
        <v>36</v>
      </c>
      <c r="H843" s="4" t="s">
        <v>2249</v>
      </c>
      <c r="I843" s="5">
        <v>59368</v>
      </c>
      <c r="J843" s="4" t="s">
        <v>1104</v>
      </c>
      <c r="K843" s="4" t="s">
        <v>693</v>
      </c>
      <c r="L843" s="4">
        <v>1984</v>
      </c>
      <c r="M843" s="4" t="s">
        <v>27</v>
      </c>
      <c r="N843" s="4">
        <v>112</v>
      </c>
      <c r="O843" s="4">
        <v>112</v>
      </c>
      <c r="P843" s="4" t="s">
        <v>2234</v>
      </c>
      <c r="Q843" s="4">
        <v>112</v>
      </c>
      <c r="R843" s="4" t="s">
        <v>2235</v>
      </c>
    </row>
    <row r="844" spans="1:18" hidden="1" x14ac:dyDescent="0.35">
      <c r="A844" s="4" t="s">
        <v>1106</v>
      </c>
      <c r="B844" s="4" t="s">
        <v>4081</v>
      </c>
      <c r="C844" s="4" t="s">
        <v>1098</v>
      </c>
      <c r="D844" s="4" t="s">
        <v>3659</v>
      </c>
      <c r="E844" s="4" t="s">
        <v>3661</v>
      </c>
      <c r="F844" s="4" t="s">
        <v>33</v>
      </c>
      <c r="G844" s="4" t="s">
        <v>36</v>
      </c>
      <c r="H844" s="4" t="s">
        <v>2249</v>
      </c>
      <c r="I844" s="5">
        <v>59368</v>
      </c>
      <c r="J844" s="4" t="s">
        <v>1104</v>
      </c>
      <c r="K844" s="4" t="s">
        <v>693</v>
      </c>
      <c r="L844" s="4">
        <v>1973</v>
      </c>
      <c r="M844" s="4" t="s">
        <v>27</v>
      </c>
      <c r="N844" s="4">
        <v>55</v>
      </c>
      <c r="O844" s="4">
        <v>55</v>
      </c>
      <c r="P844" s="4" t="s">
        <v>2234</v>
      </c>
      <c r="Q844" s="4">
        <v>55</v>
      </c>
      <c r="R844" s="4" t="s">
        <v>2235</v>
      </c>
    </row>
    <row r="845" spans="1:18" hidden="1" x14ac:dyDescent="0.35">
      <c r="A845" s="4" t="s">
        <v>1102</v>
      </c>
      <c r="B845" s="4" t="s">
        <v>4081</v>
      </c>
      <c r="C845" s="4" t="s">
        <v>1098</v>
      </c>
      <c r="D845" s="4" t="s">
        <v>3659</v>
      </c>
      <c r="E845" s="4" t="s">
        <v>3662</v>
      </c>
      <c r="F845" s="4" t="s">
        <v>33</v>
      </c>
      <c r="G845" s="4" t="s">
        <v>36</v>
      </c>
      <c r="H845" s="4" t="s">
        <v>2249</v>
      </c>
      <c r="I845" s="5">
        <v>59368</v>
      </c>
      <c r="J845" s="4" t="s">
        <v>1104</v>
      </c>
      <c r="K845" s="4" t="s">
        <v>693</v>
      </c>
      <c r="L845" s="4">
        <v>2022</v>
      </c>
      <c r="M845" s="4" t="s">
        <v>27</v>
      </c>
      <c r="N845" s="4">
        <v>46</v>
      </c>
      <c r="O845" s="4">
        <v>46</v>
      </c>
      <c r="P845" s="4" t="s">
        <v>2234</v>
      </c>
      <c r="Q845" s="4">
        <v>46</v>
      </c>
      <c r="R845" s="4" t="s">
        <v>2235</v>
      </c>
    </row>
    <row r="846" spans="1:18" hidden="1" x14ac:dyDescent="0.35">
      <c r="A846" s="4" t="s">
        <v>2227</v>
      </c>
      <c r="B846" s="4" t="s">
        <v>4081</v>
      </c>
      <c r="C846" s="4" t="s">
        <v>2227</v>
      </c>
      <c r="D846" s="4" t="s">
        <v>2227</v>
      </c>
      <c r="E846" s="4" t="s">
        <v>2227</v>
      </c>
      <c r="F846" s="4" t="s">
        <v>2234</v>
      </c>
      <c r="G846" s="4" t="s">
        <v>46</v>
      </c>
      <c r="H846" s="4" t="s">
        <v>2231</v>
      </c>
      <c r="I846" s="5" t="s">
        <v>2227</v>
      </c>
      <c r="J846" s="5" t="s">
        <v>2227</v>
      </c>
      <c r="K846" s="4" t="s">
        <v>693</v>
      </c>
      <c r="L846" s="4">
        <v>2028</v>
      </c>
      <c r="M846" s="4" t="s">
        <v>2459</v>
      </c>
      <c r="N846" s="4">
        <v>1000</v>
      </c>
      <c r="O846" s="4">
        <v>1000</v>
      </c>
      <c r="P846" s="4" t="s">
        <v>2234</v>
      </c>
      <c r="Q846" s="4">
        <v>1000</v>
      </c>
      <c r="R846" s="4" t="s">
        <v>2235</v>
      </c>
    </row>
    <row r="847" spans="1:18" hidden="1" x14ac:dyDescent="0.35">
      <c r="A847" s="4" t="s">
        <v>2227</v>
      </c>
      <c r="B847" s="4" t="s">
        <v>4081</v>
      </c>
      <c r="C847" s="4" t="s">
        <v>2227</v>
      </c>
      <c r="D847" s="4" t="s">
        <v>2227</v>
      </c>
      <c r="E847" s="4" t="s">
        <v>2227</v>
      </c>
      <c r="F847" s="4" t="s">
        <v>2234</v>
      </c>
      <c r="G847" s="4" t="s">
        <v>46</v>
      </c>
      <c r="H847" s="4" t="s">
        <v>2231</v>
      </c>
      <c r="I847" s="5" t="s">
        <v>2227</v>
      </c>
      <c r="J847" s="5" t="s">
        <v>2227</v>
      </c>
      <c r="K847" s="4" t="s">
        <v>693</v>
      </c>
      <c r="L847" s="4">
        <v>2029</v>
      </c>
      <c r="M847" s="4" t="s">
        <v>2459</v>
      </c>
      <c r="N847" s="4">
        <v>978</v>
      </c>
      <c r="O847" s="4">
        <v>978</v>
      </c>
      <c r="P847" s="4" t="s">
        <v>2234</v>
      </c>
      <c r="Q847" s="4">
        <v>978</v>
      </c>
      <c r="R847" s="4" t="s">
        <v>2235</v>
      </c>
    </row>
    <row r="848" spans="1:18" hidden="1" x14ac:dyDescent="0.35">
      <c r="A848" s="4" t="s">
        <v>3663</v>
      </c>
      <c r="B848" s="4" t="s">
        <v>4081</v>
      </c>
      <c r="C848" s="4" t="s">
        <v>3664</v>
      </c>
      <c r="D848" s="4" t="s">
        <v>3665</v>
      </c>
      <c r="E848" s="4" t="s">
        <v>2886</v>
      </c>
      <c r="F848" s="4" t="s">
        <v>33</v>
      </c>
      <c r="G848" s="4" t="s">
        <v>36</v>
      </c>
      <c r="H848" s="4" t="s">
        <v>2231</v>
      </c>
      <c r="I848" s="5">
        <v>59929</v>
      </c>
      <c r="J848" s="4" t="s">
        <v>3666</v>
      </c>
      <c r="K848" s="4" t="s">
        <v>693</v>
      </c>
      <c r="L848" s="4">
        <v>1996</v>
      </c>
      <c r="M848" s="4" t="s">
        <v>27</v>
      </c>
      <c r="N848" s="4">
        <v>4.5</v>
      </c>
      <c r="O848" s="4">
        <v>4.5</v>
      </c>
      <c r="P848" s="4" t="s">
        <v>2234</v>
      </c>
      <c r="Q848" s="4">
        <v>4.5</v>
      </c>
      <c r="R848" s="4" t="s">
        <v>2235</v>
      </c>
    </row>
    <row r="849" spans="1:18" hidden="1" x14ac:dyDescent="0.35">
      <c r="A849" s="4" t="s">
        <v>3667</v>
      </c>
      <c r="B849" s="4" t="s">
        <v>4081</v>
      </c>
      <c r="C849" s="4" t="s">
        <v>3664</v>
      </c>
      <c r="D849" s="4" t="s">
        <v>3665</v>
      </c>
      <c r="E849" s="4" t="s">
        <v>3668</v>
      </c>
      <c r="F849" s="4" t="s">
        <v>33</v>
      </c>
      <c r="G849" s="4" t="s">
        <v>36</v>
      </c>
      <c r="H849" s="4" t="s">
        <v>2231</v>
      </c>
      <c r="I849" s="5">
        <v>59929</v>
      </c>
      <c r="J849" s="4" t="s">
        <v>3666</v>
      </c>
      <c r="K849" s="4" t="s">
        <v>693</v>
      </c>
      <c r="L849" s="4">
        <v>1996</v>
      </c>
      <c r="M849" s="4" t="s">
        <v>27</v>
      </c>
      <c r="N849" s="4">
        <v>4.5</v>
      </c>
      <c r="O849" s="4">
        <v>4.5</v>
      </c>
      <c r="P849" s="4" t="s">
        <v>2234</v>
      </c>
      <c r="Q849" s="4">
        <v>4.5</v>
      </c>
      <c r="R849" s="4" t="s">
        <v>2235</v>
      </c>
    </row>
    <row r="850" spans="1:18" hidden="1" x14ac:dyDescent="0.35">
      <c r="A850" s="4" t="s">
        <v>982</v>
      </c>
      <c r="B850" s="4" t="s">
        <v>4081</v>
      </c>
      <c r="C850" s="4" t="s">
        <v>961</v>
      </c>
      <c r="D850" s="4" t="s">
        <v>3669</v>
      </c>
      <c r="E850" s="4" t="s">
        <v>3670</v>
      </c>
      <c r="F850" s="4" t="s">
        <v>33</v>
      </c>
      <c r="G850" s="4" t="s">
        <v>36</v>
      </c>
      <c r="H850" s="4" t="s">
        <v>2231</v>
      </c>
      <c r="I850" s="5">
        <v>62929</v>
      </c>
      <c r="J850" s="4" t="s">
        <v>2356</v>
      </c>
      <c r="K850" s="4" t="s">
        <v>865</v>
      </c>
      <c r="L850" s="4">
        <v>2022</v>
      </c>
      <c r="M850" s="4" t="s">
        <v>27</v>
      </c>
      <c r="N850" s="4">
        <v>92</v>
      </c>
      <c r="O850" s="4">
        <v>92</v>
      </c>
      <c r="P850" s="4" t="s">
        <v>2234</v>
      </c>
      <c r="Q850" s="4">
        <v>92</v>
      </c>
      <c r="R850" s="4" t="s">
        <v>2235</v>
      </c>
    </row>
    <row r="851" spans="1:18" hidden="1" x14ac:dyDescent="0.35">
      <c r="A851" s="4" t="s">
        <v>980</v>
      </c>
      <c r="B851" s="4" t="s">
        <v>4081</v>
      </c>
      <c r="C851" s="4" t="s">
        <v>961</v>
      </c>
      <c r="D851" s="4" t="s">
        <v>3671</v>
      </c>
      <c r="E851" s="4" t="s">
        <v>3672</v>
      </c>
      <c r="F851" s="4" t="s">
        <v>33</v>
      </c>
      <c r="G851" s="4" t="s">
        <v>36</v>
      </c>
      <c r="H851" s="4" t="s">
        <v>2231</v>
      </c>
      <c r="I851" s="5">
        <v>62929</v>
      </c>
      <c r="J851" s="4" t="s">
        <v>2356</v>
      </c>
      <c r="K851" s="4" t="s">
        <v>865</v>
      </c>
      <c r="L851" s="4">
        <v>2022</v>
      </c>
      <c r="M851" s="4" t="s">
        <v>27</v>
      </c>
      <c r="N851" s="4">
        <v>92</v>
      </c>
      <c r="O851" s="4">
        <v>92</v>
      </c>
      <c r="P851" s="4" t="s">
        <v>2234</v>
      </c>
      <c r="Q851" s="4">
        <v>92</v>
      </c>
      <c r="R851" s="4" t="s">
        <v>2235</v>
      </c>
    </row>
    <row r="852" spans="1:18" hidden="1" x14ac:dyDescent="0.35">
      <c r="A852" s="4" t="s">
        <v>860</v>
      </c>
      <c r="B852" s="4" t="s">
        <v>4081</v>
      </c>
      <c r="C852" s="4" t="s">
        <v>861</v>
      </c>
      <c r="D852" s="4" t="s">
        <v>3673</v>
      </c>
      <c r="E852" s="4" t="s">
        <v>704</v>
      </c>
      <c r="F852" s="4" t="s">
        <v>173</v>
      </c>
      <c r="G852" s="4" t="s">
        <v>409</v>
      </c>
      <c r="H852" s="4" t="s">
        <v>2231</v>
      </c>
      <c r="I852" s="5">
        <v>63069</v>
      </c>
      <c r="J852" s="4" t="s">
        <v>863</v>
      </c>
      <c r="K852" s="4" t="s">
        <v>865</v>
      </c>
      <c r="L852" s="4">
        <v>2016</v>
      </c>
      <c r="M852" s="4" t="s">
        <v>27</v>
      </c>
      <c r="N852" s="4">
        <v>17.760000000000002</v>
      </c>
      <c r="O852" s="4">
        <v>17.760000000000002</v>
      </c>
      <c r="P852" s="4" t="s">
        <v>173</v>
      </c>
      <c r="Q852" s="4">
        <v>17.760000000000002</v>
      </c>
      <c r="R852" s="4" t="s">
        <v>173</v>
      </c>
    </row>
    <row r="853" spans="1:18" hidden="1" x14ac:dyDescent="0.35">
      <c r="A853" s="4" t="s">
        <v>3674</v>
      </c>
      <c r="B853" s="4" t="s">
        <v>4081</v>
      </c>
      <c r="C853" s="4" t="s">
        <v>861</v>
      </c>
      <c r="D853" s="4" t="s">
        <v>3673</v>
      </c>
      <c r="E853" s="4" t="s">
        <v>1510</v>
      </c>
      <c r="F853" s="4" t="s">
        <v>173</v>
      </c>
      <c r="G853" s="4" t="s">
        <v>409</v>
      </c>
      <c r="H853" s="4" t="s">
        <v>2231</v>
      </c>
      <c r="I853" s="5">
        <v>63069</v>
      </c>
      <c r="J853" s="4" t="s">
        <v>863</v>
      </c>
      <c r="K853" s="4" t="s">
        <v>865</v>
      </c>
      <c r="L853" s="4">
        <v>2006</v>
      </c>
      <c r="M853" s="4" t="s">
        <v>27</v>
      </c>
      <c r="N853" s="4">
        <v>2.12</v>
      </c>
      <c r="O853" s="4">
        <v>2.12</v>
      </c>
      <c r="P853" s="4" t="s">
        <v>173</v>
      </c>
      <c r="Q853" s="4">
        <v>2.12</v>
      </c>
      <c r="R853" s="4" t="s">
        <v>173</v>
      </c>
    </row>
    <row r="854" spans="1:18" hidden="1" x14ac:dyDescent="0.35">
      <c r="A854" s="4" t="s">
        <v>3675</v>
      </c>
      <c r="B854" s="4" t="s">
        <v>4081</v>
      </c>
      <c r="C854" s="4" t="s">
        <v>3542</v>
      </c>
      <c r="D854" s="4" t="s">
        <v>3543</v>
      </c>
      <c r="E854" s="4" t="s">
        <v>3676</v>
      </c>
      <c r="F854" s="4" t="s">
        <v>33</v>
      </c>
      <c r="G854" s="4" t="s">
        <v>36</v>
      </c>
      <c r="H854" s="4" t="s">
        <v>2231</v>
      </c>
      <c r="I854" s="5">
        <v>89584</v>
      </c>
      <c r="J854" s="4" t="s">
        <v>3545</v>
      </c>
      <c r="K854" s="4" t="s">
        <v>2232</v>
      </c>
      <c r="L854" s="4">
        <v>1961</v>
      </c>
      <c r="M854" s="4" t="s">
        <v>27</v>
      </c>
      <c r="N854" s="4">
        <v>5.17</v>
      </c>
      <c r="O854" s="4">
        <v>5.17</v>
      </c>
      <c r="P854" s="4" t="s">
        <v>2234</v>
      </c>
      <c r="Q854" s="4">
        <v>5.17</v>
      </c>
      <c r="R854" s="4" t="s">
        <v>2235</v>
      </c>
    </row>
    <row r="855" spans="1:18" hidden="1" x14ac:dyDescent="0.35">
      <c r="A855" s="4" t="s">
        <v>3677</v>
      </c>
      <c r="B855" s="4" t="s">
        <v>4081</v>
      </c>
      <c r="C855" s="4" t="s">
        <v>756</v>
      </c>
      <c r="D855" s="4" t="s">
        <v>3678</v>
      </c>
      <c r="E855" s="4" t="s">
        <v>3679</v>
      </c>
      <c r="F855" s="4" t="s">
        <v>33</v>
      </c>
      <c r="G855" s="4" t="s">
        <v>36</v>
      </c>
      <c r="H855" s="4" t="s">
        <v>2231</v>
      </c>
      <c r="I855" s="5" t="s">
        <v>3680</v>
      </c>
      <c r="J855" s="4" t="s">
        <v>3681</v>
      </c>
      <c r="K855" s="4" t="s">
        <v>2232</v>
      </c>
      <c r="L855" s="4">
        <v>2002</v>
      </c>
      <c r="M855" s="4" t="s">
        <v>27</v>
      </c>
      <c r="N855" s="4">
        <v>4.47</v>
      </c>
      <c r="O855" s="4">
        <v>4.47</v>
      </c>
      <c r="P855" s="4" t="s">
        <v>2234</v>
      </c>
      <c r="Q855" s="4">
        <v>4.47</v>
      </c>
      <c r="R855" s="4" t="s">
        <v>2235</v>
      </c>
    </row>
    <row r="856" spans="1:18" hidden="1" x14ac:dyDescent="0.35">
      <c r="A856" s="4" t="s">
        <v>3682</v>
      </c>
      <c r="B856" s="4" t="s">
        <v>4081</v>
      </c>
      <c r="C856" s="4" t="s">
        <v>756</v>
      </c>
      <c r="D856" s="4" t="s">
        <v>3678</v>
      </c>
      <c r="E856" s="4" t="s">
        <v>3683</v>
      </c>
      <c r="F856" s="4" t="s">
        <v>33</v>
      </c>
      <c r="G856" s="4" t="s">
        <v>36</v>
      </c>
      <c r="H856" s="4" t="s">
        <v>2231</v>
      </c>
      <c r="I856" s="5" t="s">
        <v>3680</v>
      </c>
      <c r="J856" s="4" t="s">
        <v>3681</v>
      </c>
      <c r="K856" s="4" t="s">
        <v>2232</v>
      </c>
      <c r="L856" s="4">
        <v>1989</v>
      </c>
      <c r="M856" s="4" t="s">
        <v>27</v>
      </c>
      <c r="N856" s="4">
        <v>4.22</v>
      </c>
      <c r="O856" s="4">
        <v>4.22</v>
      </c>
      <c r="P856" s="4" t="s">
        <v>2234</v>
      </c>
      <c r="Q856" s="4">
        <v>4.22</v>
      </c>
      <c r="R856" s="4" t="s">
        <v>2235</v>
      </c>
    </row>
    <row r="857" spans="1:18" hidden="1" x14ac:dyDescent="0.35">
      <c r="A857" s="4" t="s">
        <v>3684</v>
      </c>
      <c r="B857" s="4" t="s">
        <v>4081</v>
      </c>
      <c r="C857" s="4" t="s">
        <v>3685</v>
      </c>
      <c r="D857" s="4" t="s">
        <v>2951</v>
      </c>
      <c r="E857" s="4" t="s">
        <v>2951</v>
      </c>
      <c r="F857" s="4" t="s">
        <v>33</v>
      </c>
      <c r="G857" s="4" t="s">
        <v>137</v>
      </c>
      <c r="H857" s="4" t="s">
        <v>2231</v>
      </c>
      <c r="I857" s="5">
        <v>63225</v>
      </c>
      <c r="J857" s="4" t="s">
        <v>3686</v>
      </c>
      <c r="K857" s="4" t="s">
        <v>865</v>
      </c>
      <c r="L857" s="4">
        <v>2014</v>
      </c>
      <c r="M857" s="4" t="s">
        <v>27</v>
      </c>
      <c r="N857" s="4">
        <v>2</v>
      </c>
      <c r="O857" s="4">
        <v>2</v>
      </c>
      <c r="P857" s="4" t="s">
        <v>2234</v>
      </c>
      <c r="Q857" s="4">
        <v>2</v>
      </c>
      <c r="R857" s="4" t="s">
        <v>2235</v>
      </c>
    </row>
    <row r="858" spans="1:18" x14ac:dyDescent="0.35">
      <c r="A858" s="4" t="s">
        <v>3687</v>
      </c>
      <c r="B858" s="4" t="s">
        <v>4080</v>
      </c>
      <c r="C858" s="4" t="s">
        <v>3688</v>
      </c>
      <c r="D858" s="4" t="s">
        <v>986</v>
      </c>
      <c r="E858" s="4" t="s">
        <v>2227</v>
      </c>
      <c r="F858" s="4" t="s">
        <v>33</v>
      </c>
      <c r="G858" s="4" t="s">
        <v>409</v>
      </c>
      <c r="H858" s="4" t="s">
        <v>2231</v>
      </c>
      <c r="I858" s="5">
        <v>38315</v>
      </c>
      <c r="J858" s="4" t="s">
        <v>3689</v>
      </c>
      <c r="K858" s="4" t="s">
        <v>765</v>
      </c>
      <c r="L858" s="4">
        <v>1978</v>
      </c>
      <c r="M858" s="4" t="s">
        <v>27</v>
      </c>
      <c r="N858" s="4">
        <v>3</v>
      </c>
      <c r="O858" s="4">
        <v>3</v>
      </c>
      <c r="P858" s="4" t="s">
        <v>2234</v>
      </c>
      <c r="Q858" s="4">
        <v>3</v>
      </c>
      <c r="R858" s="4" t="s">
        <v>2235</v>
      </c>
    </row>
    <row r="859" spans="1:18" hidden="1" x14ac:dyDescent="0.35">
      <c r="A859" s="4" t="s">
        <v>3690</v>
      </c>
      <c r="B859" s="4" t="s">
        <v>4081</v>
      </c>
      <c r="C859" s="4" t="s">
        <v>3685</v>
      </c>
      <c r="D859" s="4" t="s">
        <v>54</v>
      </c>
      <c r="E859" s="4" t="s">
        <v>54</v>
      </c>
      <c r="F859" s="4" t="s">
        <v>33</v>
      </c>
      <c r="G859" s="4" t="s">
        <v>137</v>
      </c>
      <c r="H859" s="4" t="s">
        <v>2231</v>
      </c>
      <c r="I859" s="5">
        <v>63225</v>
      </c>
      <c r="J859" s="4" t="s">
        <v>3686</v>
      </c>
      <c r="K859" s="4" t="s">
        <v>865</v>
      </c>
      <c r="L859" s="4">
        <v>2014</v>
      </c>
      <c r="M859" s="4" t="s">
        <v>27</v>
      </c>
      <c r="N859" s="4">
        <v>4.5</v>
      </c>
      <c r="O859" s="4">
        <v>4.5</v>
      </c>
      <c r="P859" s="4" t="s">
        <v>2234</v>
      </c>
      <c r="Q859" s="4">
        <v>4.5</v>
      </c>
      <c r="R859" s="4" t="s">
        <v>2235</v>
      </c>
    </row>
    <row r="860" spans="1:18" hidden="1" x14ac:dyDescent="0.35">
      <c r="A860" s="4" t="s">
        <v>3691</v>
      </c>
      <c r="B860" s="4" t="s">
        <v>4081</v>
      </c>
      <c r="C860" s="4" t="s">
        <v>3685</v>
      </c>
      <c r="D860" s="4" t="s">
        <v>52</v>
      </c>
      <c r="E860" s="4" t="s">
        <v>52</v>
      </c>
      <c r="F860" s="4" t="s">
        <v>33</v>
      </c>
      <c r="G860" s="4" t="s">
        <v>137</v>
      </c>
      <c r="H860" s="4" t="s">
        <v>2231</v>
      </c>
      <c r="I860" s="5">
        <v>63225</v>
      </c>
      <c r="J860" s="4" t="s">
        <v>3686</v>
      </c>
      <c r="K860" s="4" t="s">
        <v>865</v>
      </c>
      <c r="L860" s="4">
        <v>2014</v>
      </c>
      <c r="M860" s="4" t="s">
        <v>27</v>
      </c>
      <c r="N860" s="4">
        <v>4.5</v>
      </c>
      <c r="O860" s="4">
        <v>4.5</v>
      </c>
      <c r="P860" s="4" t="s">
        <v>2234</v>
      </c>
      <c r="Q860" s="4">
        <v>4.5</v>
      </c>
      <c r="R860" s="4" t="s">
        <v>2235</v>
      </c>
    </row>
    <row r="861" spans="1:18" hidden="1" x14ac:dyDescent="0.35">
      <c r="A861" s="4" t="s">
        <v>3692</v>
      </c>
      <c r="B861" s="4" t="s">
        <v>4081</v>
      </c>
      <c r="C861" s="4" t="s">
        <v>3685</v>
      </c>
      <c r="D861" s="4" t="s">
        <v>2113</v>
      </c>
      <c r="E861" s="4" t="s">
        <v>2113</v>
      </c>
      <c r="F861" s="4" t="s">
        <v>33</v>
      </c>
      <c r="G861" s="4" t="s">
        <v>137</v>
      </c>
      <c r="H861" s="4" t="s">
        <v>2231</v>
      </c>
      <c r="I861" s="5">
        <v>63225</v>
      </c>
      <c r="J861" s="4" t="s">
        <v>3686</v>
      </c>
      <c r="K861" s="4" t="s">
        <v>865</v>
      </c>
      <c r="L861" s="4">
        <v>2014</v>
      </c>
      <c r="M861" s="4" t="s">
        <v>27</v>
      </c>
      <c r="N861" s="4">
        <v>2</v>
      </c>
      <c r="O861" s="4">
        <v>2</v>
      </c>
      <c r="P861" s="4" t="s">
        <v>2234</v>
      </c>
      <c r="Q861" s="4">
        <v>2</v>
      </c>
      <c r="R861" s="4" t="s">
        <v>2235</v>
      </c>
    </row>
    <row r="862" spans="1:18" hidden="1" x14ac:dyDescent="0.35">
      <c r="A862" s="4" t="s">
        <v>3693</v>
      </c>
      <c r="B862" s="4" t="s">
        <v>4081</v>
      </c>
      <c r="C862" s="4" t="s">
        <v>3694</v>
      </c>
      <c r="D862" s="4" t="s">
        <v>3056</v>
      </c>
      <c r="E862" s="4" t="s">
        <v>1010</v>
      </c>
      <c r="F862" s="4" t="s">
        <v>33</v>
      </c>
      <c r="G862" s="4" t="s">
        <v>36</v>
      </c>
      <c r="H862" s="4" t="s">
        <v>2231</v>
      </c>
      <c r="I862" s="5">
        <v>64293</v>
      </c>
      <c r="J862" s="4" t="s">
        <v>3695</v>
      </c>
      <c r="K862" s="4" t="s">
        <v>865</v>
      </c>
      <c r="L862" s="4">
        <v>1999</v>
      </c>
      <c r="M862" s="4" t="s">
        <v>27</v>
      </c>
      <c r="N862" s="4">
        <v>10</v>
      </c>
      <c r="O862" s="4">
        <v>10</v>
      </c>
      <c r="P862" s="4" t="s">
        <v>2234</v>
      </c>
      <c r="Q862" s="4">
        <v>10</v>
      </c>
      <c r="R862" s="4" t="s">
        <v>2235</v>
      </c>
    </row>
    <row r="863" spans="1:18" x14ac:dyDescent="0.35">
      <c r="A863" s="4" t="s">
        <v>3696</v>
      </c>
      <c r="B863" s="4" t="s">
        <v>4080</v>
      </c>
      <c r="C863" s="4" t="s">
        <v>2359</v>
      </c>
      <c r="D863" s="4" t="s">
        <v>3697</v>
      </c>
      <c r="E863" s="4" t="s">
        <v>3697</v>
      </c>
      <c r="F863" s="4" t="s">
        <v>33</v>
      </c>
      <c r="G863" s="4" t="s">
        <v>137</v>
      </c>
      <c r="H863" s="4" t="s">
        <v>2231</v>
      </c>
      <c r="I863" s="5">
        <v>32657</v>
      </c>
      <c r="J863" s="4" t="s">
        <v>3698</v>
      </c>
      <c r="K863" s="4" t="s">
        <v>693</v>
      </c>
      <c r="L863" s="4">
        <v>2014</v>
      </c>
      <c r="M863" s="4" t="s">
        <v>27</v>
      </c>
      <c r="N863" s="4">
        <v>2</v>
      </c>
      <c r="O863" s="4">
        <v>2</v>
      </c>
      <c r="P863" s="4" t="s">
        <v>2234</v>
      </c>
      <c r="Q863" s="4">
        <v>2</v>
      </c>
      <c r="R863" s="4" t="s">
        <v>2235</v>
      </c>
    </row>
    <row r="864" spans="1:18" hidden="1" x14ac:dyDescent="0.35">
      <c r="A864" s="4" t="s">
        <v>3699</v>
      </c>
      <c r="B864" s="4" t="s">
        <v>4081</v>
      </c>
      <c r="C864" s="4" t="s">
        <v>1272</v>
      </c>
      <c r="D864" s="4" t="s">
        <v>1510</v>
      </c>
      <c r="E864" s="4" t="s">
        <v>1510</v>
      </c>
      <c r="F864" s="4" t="s">
        <v>173</v>
      </c>
      <c r="G864" s="4" t="s">
        <v>409</v>
      </c>
      <c r="H864" s="4" t="s">
        <v>2231</v>
      </c>
      <c r="I864" s="5">
        <v>64293</v>
      </c>
      <c r="J864" s="4" t="s">
        <v>873</v>
      </c>
      <c r="K864" s="4" t="s">
        <v>865</v>
      </c>
      <c r="L864" s="4">
        <v>2020</v>
      </c>
      <c r="M864" s="4" t="s">
        <v>27</v>
      </c>
      <c r="N864" s="4">
        <v>1.3</v>
      </c>
      <c r="O864" s="4">
        <v>1.3</v>
      </c>
      <c r="P864" s="4" t="s">
        <v>173</v>
      </c>
      <c r="Q864" s="4">
        <v>1.3</v>
      </c>
      <c r="R864" s="4" t="s">
        <v>173</v>
      </c>
    </row>
    <row r="865" spans="1:18" hidden="1" x14ac:dyDescent="0.35">
      <c r="A865" s="4" t="s">
        <v>1271</v>
      </c>
      <c r="B865" s="4" t="s">
        <v>4081</v>
      </c>
      <c r="C865" s="4" t="s">
        <v>1272</v>
      </c>
      <c r="D865" s="4" t="s">
        <v>704</v>
      </c>
      <c r="E865" s="4" t="s">
        <v>704</v>
      </c>
      <c r="F865" s="4" t="s">
        <v>173</v>
      </c>
      <c r="G865" s="4" t="s">
        <v>409</v>
      </c>
      <c r="H865" s="4" t="s">
        <v>2231</v>
      </c>
      <c r="I865" s="5">
        <v>64293</v>
      </c>
      <c r="J865" s="4" t="s">
        <v>873</v>
      </c>
      <c r="K865" s="4" t="s">
        <v>865</v>
      </c>
      <c r="L865" s="4">
        <v>1991</v>
      </c>
      <c r="M865" s="4" t="s">
        <v>27</v>
      </c>
      <c r="N865" s="4">
        <v>10.199999999999999</v>
      </c>
      <c r="O865" s="4">
        <v>10.199999999999999</v>
      </c>
      <c r="P865" s="4" t="s">
        <v>173</v>
      </c>
      <c r="Q865" s="4">
        <v>10.199999999999999</v>
      </c>
      <c r="R865" s="4" t="s">
        <v>173</v>
      </c>
    </row>
    <row r="866" spans="1:18" hidden="1" x14ac:dyDescent="0.35">
      <c r="A866" s="4" t="s">
        <v>3700</v>
      </c>
      <c r="B866" s="4" t="s">
        <v>4081</v>
      </c>
      <c r="C866" s="4" t="s">
        <v>3694</v>
      </c>
      <c r="D866" s="4" t="s">
        <v>3701</v>
      </c>
      <c r="E866" s="4" t="s">
        <v>3701</v>
      </c>
      <c r="F866" s="4" t="s">
        <v>33</v>
      </c>
      <c r="G866" s="4" t="s">
        <v>137</v>
      </c>
      <c r="H866" s="4" t="s">
        <v>2231</v>
      </c>
      <c r="I866" s="5">
        <v>64293</v>
      </c>
      <c r="J866" s="4" t="s">
        <v>873</v>
      </c>
      <c r="K866" s="4" t="s">
        <v>865</v>
      </c>
      <c r="L866" s="4">
        <v>2014</v>
      </c>
      <c r="M866" s="4" t="s">
        <v>27</v>
      </c>
      <c r="N866" s="4">
        <v>3</v>
      </c>
      <c r="O866" s="4">
        <v>3</v>
      </c>
      <c r="P866" s="4" t="s">
        <v>2234</v>
      </c>
      <c r="Q866" s="4">
        <v>3</v>
      </c>
      <c r="R866" s="4" t="s">
        <v>2235</v>
      </c>
    </row>
    <row r="867" spans="1:18" hidden="1" x14ac:dyDescent="0.35">
      <c r="A867" s="4" t="s">
        <v>1068</v>
      </c>
      <c r="B867" s="4" t="s">
        <v>4081</v>
      </c>
      <c r="C867" s="4" t="s">
        <v>3702</v>
      </c>
      <c r="D867" s="4" t="s">
        <v>3703</v>
      </c>
      <c r="E867" s="4" t="s">
        <v>2227</v>
      </c>
      <c r="F867" s="4" t="s">
        <v>33</v>
      </c>
      <c r="G867" s="4" t="s">
        <v>46</v>
      </c>
      <c r="H867" s="4" t="s">
        <v>2231</v>
      </c>
      <c r="I867" s="5">
        <v>64747</v>
      </c>
      <c r="J867" s="4" t="s">
        <v>1071</v>
      </c>
      <c r="K867" s="4" t="s">
        <v>865</v>
      </c>
      <c r="L867" s="4">
        <v>1999</v>
      </c>
      <c r="M867" s="4" t="s">
        <v>27</v>
      </c>
      <c r="N867" s="4">
        <v>10.37</v>
      </c>
      <c r="O867" s="4">
        <v>10.37</v>
      </c>
      <c r="P867" s="4" t="s">
        <v>2234</v>
      </c>
      <c r="Q867" s="4">
        <v>10.37</v>
      </c>
      <c r="R867" s="4" t="s">
        <v>2235</v>
      </c>
    </row>
    <row r="868" spans="1:18" hidden="1" x14ac:dyDescent="0.35">
      <c r="A868" s="4" t="s">
        <v>991</v>
      </c>
      <c r="B868" s="4" t="s">
        <v>4081</v>
      </c>
      <c r="C868" s="4" t="s">
        <v>3704</v>
      </c>
      <c r="D868" s="4" t="s">
        <v>3705</v>
      </c>
      <c r="E868" s="4" t="s">
        <v>992</v>
      </c>
      <c r="F868" s="4" t="s">
        <v>33</v>
      </c>
      <c r="G868" s="4" t="s">
        <v>36</v>
      </c>
      <c r="H868" s="4" t="s">
        <v>2231</v>
      </c>
      <c r="I868" s="5">
        <v>65203</v>
      </c>
      <c r="J868" s="4" t="s">
        <v>987</v>
      </c>
      <c r="K868" s="4" t="s">
        <v>865</v>
      </c>
      <c r="L868" s="4">
        <v>2021</v>
      </c>
      <c r="M868" s="4" t="s">
        <v>27</v>
      </c>
      <c r="N868" s="4">
        <v>22.11</v>
      </c>
      <c r="O868" s="4">
        <v>22.11</v>
      </c>
      <c r="P868" s="4" t="s">
        <v>2234</v>
      </c>
      <c r="Q868" s="4">
        <v>22.11</v>
      </c>
      <c r="R868" s="4" t="s">
        <v>2235</v>
      </c>
    </row>
    <row r="869" spans="1:18" hidden="1" x14ac:dyDescent="0.35">
      <c r="A869" s="4" t="s">
        <v>993</v>
      </c>
      <c r="B869" s="4" t="s">
        <v>4081</v>
      </c>
      <c r="C869" s="4" t="s">
        <v>3704</v>
      </c>
      <c r="D869" s="4" t="s">
        <v>3705</v>
      </c>
      <c r="E869" s="4" t="s">
        <v>994</v>
      </c>
      <c r="F869" s="4" t="s">
        <v>33</v>
      </c>
      <c r="G869" s="4" t="s">
        <v>36</v>
      </c>
      <c r="H869" s="4" t="s">
        <v>2231</v>
      </c>
      <c r="I869" s="5">
        <v>65203</v>
      </c>
      <c r="J869" s="4" t="s">
        <v>987</v>
      </c>
      <c r="K869" s="4" t="s">
        <v>865</v>
      </c>
      <c r="L869" s="4">
        <v>2021</v>
      </c>
      <c r="M869" s="4" t="s">
        <v>27</v>
      </c>
      <c r="N869" s="4">
        <v>22.11</v>
      </c>
      <c r="O869" s="4">
        <v>22.11</v>
      </c>
      <c r="P869" s="4" t="s">
        <v>2234</v>
      </c>
      <c r="Q869" s="4">
        <v>22.11</v>
      </c>
      <c r="R869" s="4" t="s">
        <v>2235</v>
      </c>
    </row>
    <row r="870" spans="1:18" hidden="1" x14ac:dyDescent="0.35">
      <c r="A870" s="4" t="s">
        <v>3706</v>
      </c>
      <c r="B870" s="4" t="s">
        <v>4081</v>
      </c>
      <c r="C870" s="4" t="s">
        <v>3704</v>
      </c>
      <c r="D870" s="4" t="s">
        <v>3705</v>
      </c>
      <c r="E870" s="4" t="s">
        <v>1672</v>
      </c>
      <c r="F870" s="4" t="s">
        <v>33</v>
      </c>
      <c r="G870" s="4" t="s">
        <v>36</v>
      </c>
      <c r="H870" s="4" t="s">
        <v>2231</v>
      </c>
      <c r="I870" s="5">
        <v>65203</v>
      </c>
      <c r="J870" s="4" t="s">
        <v>987</v>
      </c>
      <c r="K870" s="4" t="s">
        <v>865</v>
      </c>
      <c r="L870" s="4">
        <v>1981</v>
      </c>
      <c r="M870" s="4" t="s">
        <v>27</v>
      </c>
      <c r="N870" s="4">
        <v>7.25</v>
      </c>
      <c r="O870" s="4">
        <v>7.25</v>
      </c>
      <c r="P870" s="4" t="s">
        <v>2234</v>
      </c>
      <c r="Q870" s="4">
        <v>7.25</v>
      </c>
      <c r="R870" s="4" t="s">
        <v>2235</v>
      </c>
    </row>
    <row r="871" spans="1:18" hidden="1" x14ac:dyDescent="0.35">
      <c r="A871" s="4" t="s">
        <v>989</v>
      </c>
      <c r="B871" s="4" t="s">
        <v>4081</v>
      </c>
      <c r="C871" s="4" t="s">
        <v>3704</v>
      </c>
      <c r="D871" s="4" t="s">
        <v>3705</v>
      </c>
      <c r="E871" s="4" t="s">
        <v>990</v>
      </c>
      <c r="F871" s="4" t="s">
        <v>33</v>
      </c>
      <c r="G871" s="4" t="s">
        <v>36</v>
      </c>
      <c r="H871" s="4" t="s">
        <v>2231</v>
      </c>
      <c r="I871" s="5">
        <v>65203</v>
      </c>
      <c r="J871" s="4" t="s">
        <v>987</v>
      </c>
      <c r="K871" s="4" t="s">
        <v>865</v>
      </c>
      <c r="L871" s="4">
        <v>1996</v>
      </c>
      <c r="M871" s="4" t="s">
        <v>27</v>
      </c>
      <c r="N871" s="4">
        <v>11.66</v>
      </c>
      <c r="O871" s="4">
        <v>11.66</v>
      </c>
      <c r="P871" s="4" t="s">
        <v>2234</v>
      </c>
      <c r="Q871" s="4">
        <v>11.66</v>
      </c>
      <c r="R871" s="4" t="s">
        <v>2235</v>
      </c>
    </row>
    <row r="872" spans="1:18" hidden="1" x14ac:dyDescent="0.35">
      <c r="A872" s="4" t="s">
        <v>3707</v>
      </c>
      <c r="B872" s="4" t="s">
        <v>4081</v>
      </c>
      <c r="C872" s="4" t="s">
        <v>3704</v>
      </c>
      <c r="D872" s="4" t="s">
        <v>3705</v>
      </c>
      <c r="E872" s="4" t="s">
        <v>1094</v>
      </c>
      <c r="F872" s="4" t="s">
        <v>33</v>
      </c>
      <c r="G872" s="4" t="s">
        <v>36</v>
      </c>
      <c r="H872" s="4" t="s">
        <v>2231</v>
      </c>
      <c r="I872" s="5">
        <v>65203</v>
      </c>
      <c r="J872" s="4" t="s">
        <v>987</v>
      </c>
      <c r="K872" s="4" t="s">
        <v>865</v>
      </c>
      <c r="L872" s="4">
        <v>1978</v>
      </c>
      <c r="M872" s="4" t="s">
        <v>27</v>
      </c>
      <c r="N872" s="4">
        <v>4.3499999999999996</v>
      </c>
      <c r="O872" s="4">
        <v>4.3499999999999996</v>
      </c>
      <c r="P872" s="4" t="s">
        <v>2234</v>
      </c>
      <c r="Q872" s="4">
        <v>4.3499999999999996</v>
      </c>
      <c r="R872" s="4" t="s">
        <v>2235</v>
      </c>
    </row>
    <row r="873" spans="1:18" hidden="1" x14ac:dyDescent="0.35">
      <c r="A873" s="4" t="s">
        <v>984</v>
      </c>
      <c r="B873" s="4" t="s">
        <v>4081</v>
      </c>
      <c r="C873" s="4" t="s">
        <v>3704</v>
      </c>
      <c r="D873" s="4" t="s">
        <v>3705</v>
      </c>
      <c r="E873" s="4" t="s">
        <v>986</v>
      </c>
      <c r="F873" s="4" t="s">
        <v>33</v>
      </c>
      <c r="G873" s="4" t="s">
        <v>36</v>
      </c>
      <c r="H873" s="4" t="s">
        <v>2231</v>
      </c>
      <c r="I873" s="5">
        <v>65203</v>
      </c>
      <c r="J873" s="4" t="s">
        <v>987</v>
      </c>
      <c r="K873" s="4" t="s">
        <v>865</v>
      </c>
      <c r="L873" s="4">
        <v>1977</v>
      </c>
      <c r="M873" s="4" t="s">
        <v>27</v>
      </c>
      <c r="N873" s="4">
        <v>10.57</v>
      </c>
      <c r="O873" s="4">
        <v>10.57</v>
      </c>
      <c r="P873" s="4" t="s">
        <v>2234</v>
      </c>
      <c r="Q873" s="4">
        <v>10.57</v>
      </c>
      <c r="R873" s="4" t="s">
        <v>2235</v>
      </c>
    </row>
    <row r="874" spans="1:18" hidden="1" x14ac:dyDescent="0.35">
      <c r="A874" s="4" t="s">
        <v>3708</v>
      </c>
      <c r="B874" s="4" t="s">
        <v>4081</v>
      </c>
      <c r="C874" s="4" t="s">
        <v>3709</v>
      </c>
      <c r="D874" s="4" t="s">
        <v>3710</v>
      </c>
      <c r="E874" s="4">
        <v>1</v>
      </c>
      <c r="F874" s="4" t="s">
        <v>173</v>
      </c>
      <c r="G874" s="4" t="s">
        <v>409</v>
      </c>
      <c r="H874" s="4" t="s">
        <v>2231</v>
      </c>
      <c r="I874" s="5">
        <v>65205</v>
      </c>
      <c r="J874" s="4" t="s">
        <v>987</v>
      </c>
      <c r="K874" s="4" t="s">
        <v>865</v>
      </c>
      <c r="L874" s="4">
        <v>2026</v>
      </c>
      <c r="M874" s="4" t="s">
        <v>2233</v>
      </c>
      <c r="N874" s="4">
        <v>19.5</v>
      </c>
      <c r="O874" s="4">
        <v>19.5</v>
      </c>
      <c r="P874" s="4" t="s">
        <v>173</v>
      </c>
      <c r="Q874" s="4">
        <v>19.5</v>
      </c>
      <c r="R874" s="4" t="s">
        <v>173</v>
      </c>
    </row>
    <row r="875" spans="1:18" x14ac:dyDescent="0.35">
      <c r="A875" s="4" t="s">
        <v>3711</v>
      </c>
      <c r="B875" s="4" t="s">
        <v>4080</v>
      </c>
      <c r="C875" s="4" t="s">
        <v>2359</v>
      </c>
      <c r="D875" s="4" t="s">
        <v>3712</v>
      </c>
      <c r="E875" s="4" t="s">
        <v>3712</v>
      </c>
      <c r="F875" s="4" t="s">
        <v>33</v>
      </c>
      <c r="G875" s="4" t="s">
        <v>137</v>
      </c>
      <c r="H875" s="4" t="s">
        <v>2231</v>
      </c>
      <c r="I875" s="5">
        <v>32657</v>
      </c>
      <c r="J875" s="4" t="s">
        <v>3698</v>
      </c>
      <c r="K875" s="4" t="s">
        <v>693</v>
      </c>
      <c r="L875" s="4">
        <v>2013</v>
      </c>
      <c r="M875" s="4" t="s">
        <v>27</v>
      </c>
      <c r="N875" s="4">
        <v>2</v>
      </c>
      <c r="O875" s="4">
        <v>2</v>
      </c>
      <c r="P875" s="4" t="s">
        <v>2234</v>
      </c>
      <c r="Q875" s="4">
        <v>2</v>
      </c>
      <c r="R875" s="4" t="s">
        <v>2235</v>
      </c>
    </row>
    <row r="876" spans="1:18" x14ac:dyDescent="0.35">
      <c r="A876" s="4" t="s">
        <v>3713</v>
      </c>
      <c r="B876" s="4" t="s">
        <v>4080</v>
      </c>
      <c r="C876" s="4" t="s">
        <v>2359</v>
      </c>
      <c r="D876" s="4" t="s">
        <v>3714</v>
      </c>
      <c r="E876" s="4" t="s">
        <v>3714</v>
      </c>
      <c r="F876" s="4" t="s">
        <v>33</v>
      </c>
      <c r="G876" s="4" t="s">
        <v>137</v>
      </c>
      <c r="H876" s="4" t="s">
        <v>2231</v>
      </c>
      <c r="I876" s="5">
        <v>32657</v>
      </c>
      <c r="J876" s="4" t="s">
        <v>3698</v>
      </c>
      <c r="K876" s="4" t="s">
        <v>693</v>
      </c>
      <c r="L876" s="4">
        <v>2011</v>
      </c>
      <c r="M876" s="4" t="s">
        <v>27</v>
      </c>
      <c r="N876" s="4">
        <v>2</v>
      </c>
      <c r="O876" s="4">
        <v>2</v>
      </c>
      <c r="P876" s="4" t="s">
        <v>2234</v>
      </c>
      <c r="Q876" s="4">
        <v>2</v>
      </c>
      <c r="R876" s="4" t="s">
        <v>2235</v>
      </c>
    </row>
    <row r="877" spans="1:18" x14ac:dyDescent="0.35">
      <c r="A877" s="4" t="s">
        <v>3715</v>
      </c>
      <c r="B877" s="4" t="s">
        <v>4080</v>
      </c>
      <c r="C877" s="4" t="s">
        <v>2359</v>
      </c>
      <c r="D877" s="4" t="s">
        <v>3716</v>
      </c>
      <c r="E877" s="4" t="s">
        <v>3716</v>
      </c>
      <c r="F877" s="4" t="s">
        <v>33</v>
      </c>
      <c r="G877" s="4" t="s">
        <v>137</v>
      </c>
      <c r="H877" s="4" t="s">
        <v>2231</v>
      </c>
      <c r="I877" s="5">
        <v>32657</v>
      </c>
      <c r="J877" s="4" t="s">
        <v>3698</v>
      </c>
      <c r="K877" s="4" t="s">
        <v>693</v>
      </c>
      <c r="L877" s="4">
        <v>2013</v>
      </c>
      <c r="M877" s="4" t="s">
        <v>27</v>
      </c>
      <c r="N877" s="4">
        <v>1</v>
      </c>
      <c r="O877" s="4">
        <v>1</v>
      </c>
      <c r="P877" s="4" t="s">
        <v>2234</v>
      </c>
      <c r="Q877" s="4">
        <v>1</v>
      </c>
      <c r="R877" s="4" t="s">
        <v>2235</v>
      </c>
    </row>
    <row r="878" spans="1:18" hidden="1" x14ac:dyDescent="0.35">
      <c r="A878" s="4" t="s">
        <v>1003</v>
      </c>
      <c r="B878" s="4" t="s">
        <v>4081</v>
      </c>
      <c r="C878" s="4" t="s">
        <v>3717</v>
      </c>
      <c r="D878" s="4" t="s">
        <v>3718</v>
      </c>
      <c r="E878" s="4" t="s">
        <v>3719</v>
      </c>
      <c r="F878" s="4" t="s">
        <v>33</v>
      </c>
      <c r="G878" s="4" t="s">
        <v>46</v>
      </c>
      <c r="H878" s="4" t="s">
        <v>2231</v>
      </c>
      <c r="I878" s="5">
        <v>65429</v>
      </c>
      <c r="J878" s="4" t="s">
        <v>3720</v>
      </c>
      <c r="K878" s="4" t="s">
        <v>865</v>
      </c>
      <c r="L878" s="4">
        <v>1999</v>
      </c>
      <c r="M878" s="4" t="s">
        <v>27</v>
      </c>
      <c r="N878" s="4">
        <v>112.1</v>
      </c>
      <c r="O878" s="4">
        <v>112.1</v>
      </c>
      <c r="P878" s="4" t="s">
        <v>2234</v>
      </c>
      <c r="Q878" s="4">
        <v>112.1</v>
      </c>
      <c r="R878" s="4" t="s">
        <v>2235</v>
      </c>
    </row>
    <row r="879" spans="1:18" hidden="1" x14ac:dyDescent="0.35">
      <c r="A879" s="4" t="s">
        <v>972</v>
      </c>
      <c r="B879" s="4" t="s">
        <v>4081</v>
      </c>
      <c r="C879" s="4" t="s">
        <v>961</v>
      </c>
      <c r="D879" s="4" t="s">
        <v>3721</v>
      </c>
      <c r="E879" s="4" t="s">
        <v>3722</v>
      </c>
      <c r="F879" s="4" t="s">
        <v>33</v>
      </c>
      <c r="G879" s="4" t="s">
        <v>36</v>
      </c>
      <c r="H879" s="4" t="s">
        <v>2231</v>
      </c>
      <c r="I879" s="5">
        <v>65926</v>
      </c>
      <c r="J879" s="4" t="s">
        <v>2356</v>
      </c>
      <c r="K879" s="4" t="s">
        <v>865</v>
      </c>
      <c r="L879" s="4">
        <v>2012</v>
      </c>
      <c r="M879" s="4" t="s">
        <v>27</v>
      </c>
      <c r="N879" s="4">
        <v>50</v>
      </c>
      <c r="O879" s="4">
        <v>50</v>
      </c>
      <c r="P879" s="4" t="s">
        <v>2234</v>
      </c>
      <c r="Q879" s="4">
        <v>50</v>
      </c>
      <c r="R879" s="4" t="s">
        <v>2235</v>
      </c>
    </row>
    <row r="880" spans="1:18" x14ac:dyDescent="0.35">
      <c r="A880" s="4" t="s">
        <v>3723</v>
      </c>
      <c r="B880" s="4" t="s">
        <v>4080</v>
      </c>
      <c r="C880" s="4" t="s">
        <v>2359</v>
      </c>
      <c r="D880" s="4" t="s">
        <v>3724</v>
      </c>
      <c r="E880" s="4" t="s">
        <v>3724</v>
      </c>
      <c r="F880" s="4" t="s">
        <v>33</v>
      </c>
      <c r="G880" s="4" t="s">
        <v>137</v>
      </c>
      <c r="H880" s="4" t="s">
        <v>2231</v>
      </c>
      <c r="I880" s="5">
        <v>32657</v>
      </c>
      <c r="J880" s="4" t="s">
        <v>3698</v>
      </c>
      <c r="K880" s="4" t="s">
        <v>693</v>
      </c>
      <c r="L880" s="4">
        <v>2014</v>
      </c>
      <c r="M880" s="4" t="s">
        <v>27</v>
      </c>
      <c r="N880" s="4">
        <v>2</v>
      </c>
      <c r="O880" s="4">
        <v>2</v>
      </c>
      <c r="P880" s="4" t="s">
        <v>2234</v>
      </c>
      <c r="Q880" s="4">
        <v>2</v>
      </c>
      <c r="R880" s="4" t="s">
        <v>2235</v>
      </c>
    </row>
    <row r="881" spans="1:18" x14ac:dyDescent="0.35">
      <c r="A881" s="4" t="s">
        <v>3725</v>
      </c>
      <c r="B881" s="4" t="s">
        <v>4080</v>
      </c>
      <c r="C881" s="4" t="s">
        <v>2359</v>
      </c>
      <c r="D881" s="4" t="s">
        <v>3726</v>
      </c>
      <c r="E881" s="4" t="s">
        <v>3726</v>
      </c>
      <c r="F881" s="4" t="s">
        <v>33</v>
      </c>
      <c r="G881" s="4" t="s">
        <v>137</v>
      </c>
      <c r="H881" s="4" t="s">
        <v>2231</v>
      </c>
      <c r="I881" s="5">
        <v>32657</v>
      </c>
      <c r="J881" s="4" t="s">
        <v>3698</v>
      </c>
      <c r="K881" s="4" t="s">
        <v>693</v>
      </c>
      <c r="L881" s="4">
        <v>2012</v>
      </c>
      <c r="M881" s="4" t="s">
        <v>27</v>
      </c>
      <c r="N881" s="4">
        <v>2</v>
      </c>
      <c r="O881" s="4">
        <v>2</v>
      </c>
      <c r="P881" s="4" t="s">
        <v>2234</v>
      </c>
      <c r="Q881" s="4">
        <v>2</v>
      </c>
      <c r="R881" s="4" t="s">
        <v>2235</v>
      </c>
    </row>
    <row r="882" spans="1:18" hidden="1" x14ac:dyDescent="0.35">
      <c r="A882" s="4" t="s">
        <v>974</v>
      </c>
      <c r="B882" s="4" t="s">
        <v>4081</v>
      </c>
      <c r="C882" s="4" t="s">
        <v>961</v>
      </c>
      <c r="D882" s="4" t="s">
        <v>3721</v>
      </c>
      <c r="E882" s="4" t="s">
        <v>3727</v>
      </c>
      <c r="F882" s="4" t="s">
        <v>33</v>
      </c>
      <c r="G882" s="4" t="s">
        <v>36</v>
      </c>
      <c r="H882" s="4" t="s">
        <v>2231</v>
      </c>
      <c r="I882" s="5">
        <v>65926</v>
      </c>
      <c r="J882" s="4" t="s">
        <v>2356</v>
      </c>
      <c r="K882" s="4" t="s">
        <v>865</v>
      </c>
      <c r="L882" s="4">
        <v>2011</v>
      </c>
      <c r="M882" s="4" t="s">
        <v>27</v>
      </c>
      <c r="N882" s="4">
        <v>49.8</v>
      </c>
      <c r="O882" s="4">
        <v>49.8</v>
      </c>
      <c r="P882" s="4" t="s">
        <v>2234</v>
      </c>
      <c r="Q882" s="4">
        <v>49.8</v>
      </c>
      <c r="R882" s="4" t="s">
        <v>2235</v>
      </c>
    </row>
    <row r="883" spans="1:18" hidden="1" x14ac:dyDescent="0.35">
      <c r="A883" s="4" t="s">
        <v>976</v>
      </c>
      <c r="B883" s="4" t="s">
        <v>4081</v>
      </c>
      <c r="C883" s="4" t="s">
        <v>961</v>
      </c>
      <c r="D883" s="4" t="s">
        <v>3721</v>
      </c>
      <c r="E883" s="4" t="s">
        <v>3728</v>
      </c>
      <c r="F883" s="4" t="s">
        <v>33</v>
      </c>
      <c r="G883" s="4" t="s">
        <v>36</v>
      </c>
      <c r="H883" s="4" t="s">
        <v>2231</v>
      </c>
      <c r="I883" s="5">
        <v>65926</v>
      </c>
      <c r="J883" s="4" t="s">
        <v>2356</v>
      </c>
      <c r="K883" s="4" t="s">
        <v>865</v>
      </c>
      <c r="L883" s="4">
        <v>2003</v>
      </c>
      <c r="M883" s="4" t="s">
        <v>27</v>
      </c>
      <c r="N883" s="4">
        <v>53.6</v>
      </c>
      <c r="O883" s="4">
        <v>53.6</v>
      </c>
      <c r="P883" s="4" t="s">
        <v>2234</v>
      </c>
      <c r="Q883" s="4">
        <v>53.6</v>
      </c>
      <c r="R883" s="4" t="s">
        <v>2235</v>
      </c>
    </row>
    <row r="884" spans="1:18" x14ac:dyDescent="0.35">
      <c r="A884" s="4" t="s">
        <v>3729</v>
      </c>
      <c r="B884" s="4" t="s">
        <v>4080</v>
      </c>
      <c r="C884" s="4" t="s">
        <v>3688</v>
      </c>
      <c r="D884" s="4" t="s">
        <v>990</v>
      </c>
      <c r="E884" s="4" t="s">
        <v>2227</v>
      </c>
      <c r="F884" s="4" t="s">
        <v>33</v>
      </c>
      <c r="G884" s="4" t="s">
        <v>409</v>
      </c>
      <c r="H884" s="4" t="s">
        <v>2231</v>
      </c>
      <c r="I884" s="5">
        <v>38315</v>
      </c>
      <c r="J884" s="4" t="s">
        <v>3689</v>
      </c>
      <c r="K884" s="4" t="s">
        <v>765</v>
      </c>
      <c r="L884" s="4">
        <v>1978</v>
      </c>
      <c r="M884" s="4" t="s">
        <v>27</v>
      </c>
      <c r="N884" s="4">
        <v>8.5</v>
      </c>
      <c r="O884" s="4">
        <v>8.5</v>
      </c>
      <c r="P884" s="4" t="s">
        <v>2234</v>
      </c>
      <c r="Q884" s="4">
        <v>8.5</v>
      </c>
      <c r="R884" s="4" t="s">
        <v>2235</v>
      </c>
    </row>
    <row r="885" spans="1:18" hidden="1" x14ac:dyDescent="0.35">
      <c r="A885" s="4" t="s">
        <v>978</v>
      </c>
      <c r="B885" s="4" t="s">
        <v>4081</v>
      </c>
      <c r="C885" s="4" t="s">
        <v>961</v>
      </c>
      <c r="D885" s="4" t="s">
        <v>3730</v>
      </c>
      <c r="E885" s="4" t="s">
        <v>3731</v>
      </c>
      <c r="F885" s="4" t="s">
        <v>173</v>
      </c>
      <c r="G885" s="4" t="s">
        <v>409</v>
      </c>
      <c r="H885" s="4" t="s">
        <v>2231</v>
      </c>
      <c r="I885" s="5">
        <v>65926</v>
      </c>
      <c r="J885" s="4" t="s">
        <v>2356</v>
      </c>
      <c r="K885" s="4" t="s">
        <v>865</v>
      </c>
      <c r="L885" s="4">
        <v>2014</v>
      </c>
      <c r="M885" s="4" t="s">
        <v>27</v>
      </c>
      <c r="N885" s="4">
        <v>71</v>
      </c>
      <c r="O885" s="4">
        <v>71</v>
      </c>
      <c r="P885" s="4" t="s">
        <v>173</v>
      </c>
      <c r="Q885" s="4">
        <v>71</v>
      </c>
      <c r="R885" s="4" t="s">
        <v>173</v>
      </c>
    </row>
    <row r="886" spans="1:18" hidden="1" x14ac:dyDescent="0.35">
      <c r="A886" s="4" t="s">
        <v>3732</v>
      </c>
      <c r="B886" s="4" t="s">
        <v>4081</v>
      </c>
      <c r="C886" s="4" t="s">
        <v>961</v>
      </c>
      <c r="D886" s="4" t="s">
        <v>3733</v>
      </c>
      <c r="E886" s="4" t="s">
        <v>311</v>
      </c>
      <c r="F886" s="4" t="s">
        <v>33</v>
      </c>
      <c r="G886" s="4" t="s">
        <v>36</v>
      </c>
      <c r="H886" s="4" t="s">
        <v>2231</v>
      </c>
      <c r="I886" s="5">
        <v>65927</v>
      </c>
      <c r="J886" s="4" t="s">
        <v>2356</v>
      </c>
      <c r="K886" s="4" t="s">
        <v>865</v>
      </c>
      <c r="L886" s="4">
        <v>1956</v>
      </c>
      <c r="M886" s="4" t="s">
        <v>27</v>
      </c>
      <c r="N886" s="4">
        <v>6.2</v>
      </c>
      <c r="O886" s="4">
        <v>6.2</v>
      </c>
      <c r="P886" s="4" t="s">
        <v>2234</v>
      </c>
      <c r="Q886" s="4">
        <v>6.2</v>
      </c>
      <c r="R886" s="4" t="s">
        <v>2235</v>
      </c>
    </row>
    <row r="887" spans="1:18" x14ac:dyDescent="0.35">
      <c r="A887" s="4" t="s">
        <v>3734</v>
      </c>
      <c r="B887" s="4" t="s">
        <v>4080</v>
      </c>
      <c r="C887" s="4" t="s">
        <v>3325</v>
      </c>
      <c r="D887" s="4" t="s">
        <v>3735</v>
      </c>
      <c r="E887" s="4" t="s">
        <v>3736</v>
      </c>
      <c r="F887" s="4" t="s">
        <v>33</v>
      </c>
      <c r="G887" s="4" t="s">
        <v>409</v>
      </c>
      <c r="H887" s="4" t="s">
        <v>2231</v>
      </c>
      <c r="I887" s="5">
        <v>32791</v>
      </c>
      <c r="J887" s="4" t="s">
        <v>3737</v>
      </c>
      <c r="K887" s="4" t="s">
        <v>693</v>
      </c>
      <c r="L887" s="4">
        <v>1980</v>
      </c>
      <c r="M887" s="4" t="s">
        <v>27</v>
      </c>
      <c r="N887" s="4">
        <v>8.8800000000000008</v>
      </c>
      <c r="O887" s="4">
        <v>8.8800000000000008</v>
      </c>
      <c r="P887" s="4" t="s">
        <v>2234</v>
      </c>
      <c r="Q887" s="4">
        <v>8.8800000000000008</v>
      </c>
      <c r="R887" s="4" t="s">
        <v>2235</v>
      </c>
    </row>
    <row r="888" spans="1:18" hidden="1" x14ac:dyDescent="0.35">
      <c r="A888" s="4" t="s">
        <v>3738</v>
      </c>
      <c r="B888" s="4" t="s">
        <v>4081</v>
      </c>
      <c r="C888" s="4" t="s">
        <v>961</v>
      </c>
      <c r="D888" s="4" t="s">
        <v>3739</v>
      </c>
      <c r="E888" s="4" t="s">
        <v>3740</v>
      </c>
      <c r="F888" s="4" t="s">
        <v>33</v>
      </c>
      <c r="G888" s="4" t="s">
        <v>36</v>
      </c>
      <c r="H888" s="4" t="s">
        <v>2231</v>
      </c>
      <c r="I888" s="5">
        <v>65927</v>
      </c>
      <c r="J888" s="4" t="s">
        <v>2356</v>
      </c>
      <c r="K888" s="4" t="s">
        <v>865</v>
      </c>
      <c r="L888" s="4">
        <v>2011</v>
      </c>
      <c r="M888" s="4" t="s">
        <v>27</v>
      </c>
      <c r="N888" s="4">
        <v>4.2</v>
      </c>
      <c r="O888" s="4">
        <v>4.2</v>
      </c>
      <c r="P888" s="4" t="s">
        <v>2234</v>
      </c>
      <c r="Q888" s="4">
        <v>4.2</v>
      </c>
      <c r="R888" s="4" t="s">
        <v>2235</v>
      </c>
    </row>
    <row r="889" spans="1:18" hidden="1" x14ac:dyDescent="0.35">
      <c r="A889" s="4" t="s">
        <v>3741</v>
      </c>
      <c r="B889" s="4" t="s">
        <v>4081</v>
      </c>
      <c r="C889" s="4" t="s">
        <v>2228</v>
      </c>
      <c r="D889" s="4" t="s">
        <v>2624</v>
      </c>
      <c r="E889" s="4" t="s">
        <v>3742</v>
      </c>
      <c r="F889" s="4" t="s">
        <v>33</v>
      </c>
      <c r="G889" s="4" t="s">
        <v>36</v>
      </c>
      <c r="H889" s="4" t="s">
        <v>2231</v>
      </c>
      <c r="I889" s="5">
        <v>74076</v>
      </c>
      <c r="J889" s="4" t="s">
        <v>2075</v>
      </c>
      <c r="K889" s="4" t="s">
        <v>2232</v>
      </c>
      <c r="L889" s="4">
        <v>2003</v>
      </c>
      <c r="M889" s="4" t="s">
        <v>27</v>
      </c>
      <c r="N889" s="4">
        <v>6.5</v>
      </c>
      <c r="O889" s="4">
        <v>6.5</v>
      </c>
      <c r="P889" s="4" t="s">
        <v>2234</v>
      </c>
      <c r="Q889" s="4">
        <v>6.5</v>
      </c>
      <c r="R889" s="4" t="s">
        <v>2235</v>
      </c>
    </row>
    <row r="890" spans="1:18" hidden="1" x14ac:dyDescent="0.35">
      <c r="A890" s="4" t="s">
        <v>3743</v>
      </c>
      <c r="B890" s="4" t="s">
        <v>4081</v>
      </c>
      <c r="C890" s="4" t="s">
        <v>3744</v>
      </c>
      <c r="D890" s="4" t="s">
        <v>3745</v>
      </c>
      <c r="E890" s="4" t="s">
        <v>3746</v>
      </c>
      <c r="F890" s="4" t="s">
        <v>33</v>
      </c>
      <c r="G890" s="4" t="s">
        <v>36</v>
      </c>
      <c r="H890" s="4" t="s">
        <v>2249</v>
      </c>
      <c r="I890" s="5">
        <v>68167</v>
      </c>
      <c r="J890" s="4" t="s">
        <v>2010</v>
      </c>
      <c r="K890" s="4" t="s">
        <v>2232</v>
      </c>
      <c r="L890" s="4">
        <v>1939</v>
      </c>
      <c r="M890" s="4" t="s">
        <v>27</v>
      </c>
      <c r="N890" s="4">
        <v>4.3</v>
      </c>
      <c r="O890" s="4">
        <v>4.3</v>
      </c>
      <c r="P890" s="4" t="s">
        <v>2234</v>
      </c>
      <c r="Q890" s="4">
        <v>4.3</v>
      </c>
      <c r="R890" s="4" t="s">
        <v>2235</v>
      </c>
    </row>
    <row r="891" spans="1:18" hidden="1" x14ac:dyDescent="0.35">
      <c r="A891" s="4" t="s">
        <v>3747</v>
      </c>
      <c r="B891" s="4" t="s">
        <v>4081</v>
      </c>
      <c r="C891" s="4" t="s">
        <v>3744</v>
      </c>
      <c r="D891" s="4" t="s">
        <v>3745</v>
      </c>
      <c r="E891" s="4" t="s">
        <v>3748</v>
      </c>
      <c r="F891" s="4" t="s">
        <v>33</v>
      </c>
      <c r="G891" s="4" t="s">
        <v>36</v>
      </c>
      <c r="H891" s="4" t="s">
        <v>2249</v>
      </c>
      <c r="I891" s="5">
        <v>68167</v>
      </c>
      <c r="J891" s="4" t="s">
        <v>2010</v>
      </c>
      <c r="K891" s="4" t="s">
        <v>2232</v>
      </c>
      <c r="L891" s="4">
        <v>1939</v>
      </c>
      <c r="M891" s="4" t="s">
        <v>27</v>
      </c>
      <c r="N891" s="4">
        <v>4.3</v>
      </c>
      <c r="O891" s="4">
        <v>4.3</v>
      </c>
      <c r="P891" s="4" t="s">
        <v>2234</v>
      </c>
      <c r="Q891" s="4">
        <v>4.3</v>
      </c>
      <c r="R891" s="4" t="s">
        <v>2235</v>
      </c>
    </row>
    <row r="892" spans="1:18" hidden="1" x14ac:dyDescent="0.35">
      <c r="A892" s="4" t="s">
        <v>3749</v>
      </c>
      <c r="B892" s="4" t="s">
        <v>4081</v>
      </c>
      <c r="C892" s="4" t="s">
        <v>3744</v>
      </c>
      <c r="D892" s="4" t="s">
        <v>3745</v>
      </c>
      <c r="E892" s="4" t="s">
        <v>3750</v>
      </c>
      <c r="F892" s="4" t="s">
        <v>33</v>
      </c>
      <c r="G892" s="4" t="s">
        <v>36</v>
      </c>
      <c r="H892" s="4" t="s">
        <v>2249</v>
      </c>
      <c r="I892" s="5">
        <v>68167</v>
      </c>
      <c r="J892" s="4" t="s">
        <v>2010</v>
      </c>
      <c r="K892" s="4" t="s">
        <v>2232</v>
      </c>
      <c r="L892" s="4">
        <v>1994</v>
      </c>
      <c r="M892" s="4" t="s">
        <v>27</v>
      </c>
      <c r="N892" s="4">
        <v>1.6</v>
      </c>
      <c r="O892" s="4">
        <v>1.6</v>
      </c>
      <c r="P892" s="4" t="s">
        <v>2234</v>
      </c>
      <c r="Q892" s="4">
        <v>1.6</v>
      </c>
      <c r="R892" s="4" t="s">
        <v>2235</v>
      </c>
    </row>
    <row r="893" spans="1:18" hidden="1" x14ac:dyDescent="0.35">
      <c r="A893" s="4" t="s">
        <v>3751</v>
      </c>
      <c r="B893" s="4" t="s">
        <v>4081</v>
      </c>
      <c r="C893" s="4" t="s">
        <v>3744</v>
      </c>
      <c r="D893" s="4" t="s">
        <v>3745</v>
      </c>
      <c r="E893" s="4" t="s">
        <v>3752</v>
      </c>
      <c r="F893" s="4" t="s">
        <v>33</v>
      </c>
      <c r="G893" s="4" t="s">
        <v>36</v>
      </c>
      <c r="H893" s="4" t="s">
        <v>2249</v>
      </c>
      <c r="I893" s="5">
        <v>68167</v>
      </c>
      <c r="J893" s="4" t="s">
        <v>2010</v>
      </c>
      <c r="K893" s="4" t="s">
        <v>2232</v>
      </c>
      <c r="L893" s="4">
        <v>2007</v>
      </c>
      <c r="M893" s="4" t="s">
        <v>27</v>
      </c>
      <c r="N893" s="4">
        <v>1.3</v>
      </c>
      <c r="O893" s="4">
        <v>1.3</v>
      </c>
      <c r="P893" s="4" t="s">
        <v>2234</v>
      </c>
      <c r="Q893" s="4">
        <v>1.3</v>
      </c>
      <c r="R893" s="4" t="s">
        <v>2235</v>
      </c>
    </row>
    <row r="894" spans="1:18" hidden="1" x14ac:dyDescent="0.35">
      <c r="A894" s="4" t="s">
        <v>3753</v>
      </c>
      <c r="B894" s="4" t="s">
        <v>4081</v>
      </c>
      <c r="C894" s="4" t="s">
        <v>3744</v>
      </c>
      <c r="D894" s="4" t="s">
        <v>3745</v>
      </c>
      <c r="E894" s="4" t="s">
        <v>3754</v>
      </c>
      <c r="F894" s="4" t="s">
        <v>33</v>
      </c>
      <c r="G894" s="4" t="s">
        <v>36</v>
      </c>
      <c r="H894" s="4" t="s">
        <v>2249</v>
      </c>
      <c r="I894" s="5">
        <v>68167</v>
      </c>
      <c r="J894" s="4" t="s">
        <v>2010</v>
      </c>
      <c r="K894" s="4" t="s">
        <v>2232</v>
      </c>
      <c r="L894" s="4">
        <v>2007</v>
      </c>
      <c r="M894" s="4" t="s">
        <v>27</v>
      </c>
      <c r="N894" s="4">
        <v>2.2000000000000002</v>
      </c>
      <c r="O894" s="4">
        <v>2.2000000000000002</v>
      </c>
      <c r="P894" s="4" t="s">
        <v>2234</v>
      </c>
      <c r="Q894" s="4">
        <v>2.2000000000000002</v>
      </c>
      <c r="R894" s="4" t="s">
        <v>2235</v>
      </c>
    </row>
    <row r="895" spans="1:18" hidden="1" x14ac:dyDescent="0.35">
      <c r="A895" s="4" t="s">
        <v>3755</v>
      </c>
      <c r="B895" s="4" t="s">
        <v>4081</v>
      </c>
      <c r="C895" s="4" t="s">
        <v>3744</v>
      </c>
      <c r="D895" s="4" t="s">
        <v>3745</v>
      </c>
      <c r="E895" s="4" t="s">
        <v>3756</v>
      </c>
      <c r="F895" s="4" t="s">
        <v>33</v>
      </c>
      <c r="G895" s="4" t="s">
        <v>36</v>
      </c>
      <c r="H895" s="4" t="s">
        <v>2249</v>
      </c>
      <c r="I895" s="5">
        <v>68167</v>
      </c>
      <c r="J895" s="4" t="s">
        <v>2010</v>
      </c>
      <c r="K895" s="4" t="s">
        <v>2232</v>
      </c>
      <c r="L895" s="4">
        <v>1994</v>
      </c>
      <c r="M895" s="4" t="s">
        <v>27</v>
      </c>
      <c r="N895" s="4">
        <v>3.3</v>
      </c>
      <c r="O895" s="4">
        <v>3.3</v>
      </c>
      <c r="P895" s="4" t="s">
        <v>2234</v>
      </c>
      <c r="Q895" s="4">
        <v>3.3</v>
      </c>
      <c r="R895" s="4" t="s">
        <v>2235</v>
      </c>
    </row>
    <row r="896" spans="1:18" hidden="1" x14ac:dyDescent="0.35">
      <c r="A896" s="4" t="s">
        <v>3757</v>
      </c>
      <c r="B896" s="4" t="s">
        <v>4081</v>
      </c>
      <c r="C896" s="4" t="s">
        <v>3744</v>
      </c>
      <c r="D896" s="4" t="s">
        <v>3745</v>
      </c>
      <c r="E896" s="4" t="s">
        <v>3758</v>
      </c>
      <c r="F896" s="4" t="s">
        <v>33</v>
      </c>
      <c r="G896" s="4" t="s">
        <v>36</v>
      </c>
      <c r="H896" s="4" t="s">
        <v>2249</v>
      </c>
      <c r="I896" s="5">
        <v>68167</v>
      </c>
      <c r="J896" s="4" t="s">
        <v>2010</v>
      </c>
      <c r="K896" s="4" t="s">
        <v>2232</v>
      </c>
      <c r="L896" s="4">
        <v>2004</v>
      </c>
      <c r="M896" s="4" t="s">
        <v>27</v>
      </c>
      <c r="N896" s="4">
        <v>1.8</v>
      </c>
      <c r="O896" s="4">
        <v>1.8</v>
      </c>
      <c r="P896" s="4" t="s">
        <v>2234</v>
      </c>
      <c r="Q896" s="4">
        <v>1.8</v>
      </c>
      <c r="R896" s="4" t="s">
        <v>2235</v>
      </c>
    </row>
    <row r="897" spans="1:18" hidden="1" x14ac:dyDescent="0.35">
      <c r="A897" s="4" t="s">
        <v>2104</v>
      </c>
      <c r="B897" s="4" t="s">
        <v>4081</v>
      </c>
      <c r="C897" s="4" t="s">
        <v>2101</v>
      </c>
      <c r="D897" s="4" t="s">
        <v>3571</v>
      </c>
      <c r="E897" s="4" t="s">
        <v>2105</v>
      </c>
      <c r="F897" s="4" t="s">
        <v>33</v>
      </c>
      <c r="G897" s="4" t="s">
        <v>36</v>
      </c>
      <c r="H897" s="4" t="s">
        <v>2231</v>
      </c>
      <c r="I897" s="5">
        <v>68305</v>
      </c>
      <c r="J897" s="4" t="s">
        <v>2010</v>
      </c>
      <c r="K897" s="4" t="s">
        <v>2232</v>
      </c>
      <c r="L897" s="4">
        <v>1969</v>
      </c>
      <c r="M897" s="4" t="s">
        <v>27</v>
      </c>
      <c r="N897" s="4">
        <v>28.4</v>
      </c>
      <c r="O897" s="4">
        <v>28.4</v>
      </c>
      <c r="P897" s="4" t="s">
        <v>2234</v>
      </c>
      <c r="Q897" s="4">
        <v>28.4</v>
      </c>
      <c r="R897" s="4" t="s">
        <v>2235</v>
      </c>
    </row>
    <row r="898" spans="1:18" hidden="1" x14ac:dyDescent="0.35">
      <c r="A898" s="4" t="s">
        <v>2100</v>
      </c>
      <c r="B898" s="4" t="s">
        <v>4081</v>
      </c>
      <c r="C898" s="4" t="s">
        <v>2101</v>
      </c>
      <c r="D898" s="4" t="s">
        <v>3571</v>
      </c>
      <c r="E898" s="4" t="s">
        <v>2102</v>
      </c>
      <c r="F898" s="4" t="s">
        <v>33</v>
      </c>
      <c r="G898" s="4" t="s">
        <v>36</v>
      </c>
      <c r="H898" s="4" t="s">
        <v>2231</v>
      </c>
      <c r="I898" s="5">
        <v>68305</v>
      </c>
      <c r="J898" s="4" t="s">
        <v>2010</v>
      </c>
      <c r="K898" s="4" t="s">
        <v>2232</v>
      </c>
      <c r="L898" s="4">
        <v>2012</v>
      </c>
      <c r="M898" s="4" t="s">
        <v>27</v>
      </c>
      <c r="N898" s="4">
        <v>17</v>
      </c>
      <c r="O898" s="4">
        <v>17</v>
      </c>
      <c r="P898" s="4" t="s">
        <v>2234</v>
      </c>
      <c r="Q898" s="4">
        <v>17</v>
      </c>
      <c r="R898" s="4" t="s">
        <v>2235</v>
      </c>
    </row>
    <row r="899" spans="1:18" hidden="1" x14ac:dyDescent="0.35">
      <c r="A899" s="4" t="s">
        <v>3759</v>
      </c>
      <c r="B899" s="4" t="s">
        <v>4081</v>
      </c>
      <c r="C899" s="4" t="s">
        <v>2228</v>
      </c>
      <c r="D899" s="4" t="s">
        <v>3760</v>
      </c>
      <c r="E899" s="4" t="s">
        <v>2938</v>
      </c>
      <c r="F899" s="4" t="s">
        <v>33</v>
      </c>
      <c r="G899" s="4" t="s">
        <v>137</v>
      </c>
      <c r="H899" s="4" t="s">
        <v>2231</v>
      </c>
      <c r="I899" s="5">
        <v>70327</v>
      </c>
      <c r="J899" s="4" t="s">
        <v>2044</v>
      </c>
      <c r="K899" s="4" t="s">
        <v>2232</v>
      </c>
      <c r="L899" s="4">
        <v>2018</v>
      </c>
      <c r="M899" s="4" t="s">
        <v>27</v>
      </c>
      <c r="N899" s="4">
        <v>9.6999999999999993</v>
      </c>
      <c r="O899" s="4">
        <v>9.6999999999999993</v>
      </c>
      <c r="P899" s="4" t="s">
        <v>2234</v>
      </c>
      <c r="Q899" s="4">
        <v>9.6999999999999993</v>
      </c>
      <c r="R899" s="4" t="s">
        <v>2235</v>
      </c>
    </row>
    <row r="900" spans="1:18" hidden="1" x14ac:dyDescent="0.35">
      <c r="A900" s="4" t="s">
        <v>3761</v>
      </c>
      <c r="B900" s="4" t="s">
        <v>4081</v>
      </c>
      <c r="C900" s="4" t="s">
        <v>2228</v>
      </c>
      <c r="D900" s="4" t="s">
        <v>3760</v>
      </c>
      <c r="E900" s="4" t="s">
        <v>2498</v>
      </c>
      <c r="F900" s="4" t="s">
        <v>33</v>
      </c>
      <c r="G900" s="4" t="s">
        <v>137</v>
      </c>
      <c r="H900" s="4" t="s">
        <v>2231</v>
      </c>
      <c r="I900" s="5">
        <v>70327</v>
      </c>
      <c r="J900" s="4" t="s">
        <v>2044</v>
      </c>
      <c r="K900" s="4" t="s">
        <v>2232</v>
      </c>
      <c r="L900" s="4">
        <v>2018</v>
      </c>
      <c r="M900" s="4" t="s">
        <v>27</v>
      </c>
      <c r="N900" s="4">
        <v>9.6999999999999993</v>
      </c>
      <c r="O900" s="4">
        <v>9.6999999999999993</v>
      </c>
      <c r="P900" s="4" t="s">
        <v>2234</v>
      </c>
      <c r="Q900" s="4">
        <v>9.6999999999999993</v>
      </c>
      <c r="R900" s="4" t="s">
        <v>2235</v>
      </c>
    </row>
    <row r="901" spans="1:18" hidden="1" x14ac:dyDescent="0.35">
      <c r="A901" s="4" t="s">
        <v>3762</v>
      </c>
      <c r="B901" s="4" t="s">
        <v>4081</v>
      </c>
      <c r="C901" s="4" t="s">
        <v>3475</v>
      </c>
      <c r="D901" s="4" t="s">
        <v>3763</v>
      </c>
      <c r="E901" s="4" t="s">
        <v>2747</v>
      </c>
      <c r="F901" s="4" t="s">
        <v>33</v>
      </c>
      <c r="G901" s="4" t="s">
        <v>36</v>
      </c>
      <c r="H901" s="4" t="s">
        <v>2231</v>
      </c>
      <c r="I901" s="5">
        <v>72074</v>
      </c>
      <c r="J901" s="4" t="s">
        <v>3477</v>
      </c>
      <c r="K901" s="4" t="s">
        <v>2232</v>
      </c>
      <c r="L901" s="4">
        <v>1996</v>
      </c>
      <c r="M901" s="4" t="s">
        <v>27</v>
      </c>
      <c r="N901" s="4">
        <v>4.5999999999999996</v>
      </c>
      <c r="O901" s="4">
        <v>4.5999999999999996</v>
      </c>
      <c r="P901" s="4" t="s">
        <v>2234</v>
      </c>
      <c r="Q901" s="4">
        <v>4.5999999999999996</v>
      </c>
      <c r="R901" s="4" t="s">
        <v>2235</v>
      </c>
    </row>
    <row r="902" spans="1:18" hidden="1" x14ac:dyDescent="0.35">
      <c r="A902" s="4" t="s">
        <v>3764</v>
      </c>
      <c r="B902" s="4" t="s">
        <v>4081</v>
      </c>
      <c r="C902" s="4" t="s">
        <v>3475</v>
      </c>
      <c r="D902" s="4" t="s">
        <v>3763</v>
      </c>
      <c r="E902" s="4" t="s">
        <v>1039</v>
      </c>
      <c r="F902" s="4" t="s">
        <v>33</v>
      </c>
      <c r="G902" s="4" t="s">
        <v>36</v>
      </c>
      <c r="H902" s="4" t="s">
        <v>2231</v>
      </c>
      <c r="I902" s="5">
        <v>72074</v>
      </c>
      <c r="J902" s="4" t="s">
        <v>3477</v>
      </c>
      <c r="K902" s="4" t="s">
        <v>2232</v>
      </c>
      <c r="L902" s="4">
        <v>1996</v>
      </c>
      <c r="M902" s="4" t="s">
        <v>27</v>
      </c>
      <c r="N902" s="4">
        <v>4.5999999999999996</v>
      </c>
      <c r="O902" s="4">
        <v>4.5999999999999996</v>
      </c>
      <c r="P902" s="4" t="s">
        <v>2234</v>
      </c>
      <c r="Q902" s="4">
        <v>4.5999999999999996</v>
      </c>
      <c r="R902" s="4" t="s">
        <v>2235</v>
      </c>
    </row>
    <row r="903" spans="1:18" hidden="1" x14ac:dyDescent="0.35">
      <c r="A903" s="4" t="s">
        <v>2119</v>
      </c>
      <c r="B903" s="4" t="s">
        <v>4081</v>
      </c>
      <c r="C903" s="4" t="s">
        <v>2732</v>
      </c>
      <c r="D903" s="4" t="s">
        <v>2847</v>
      </c>
      <c r="E903" s="4" t="s">
        <v>3765</v>
      </c>
      <c r="F903" s="4" t="s">
        <v>33</v>
      </c>
      <c r="G903" s="4" t="s">
        <v>409</v>
      </c>
      <c r="H903" s="4" t="s">
        <v>2231</v>
      </c>
      <c r="I903" s="5">
        <v>71059</v>
      </c>
      <c r="J903" s="4" t="s">
        <v>2117</v>
      </c>
      <c r="K903" s="4" t="s">
        <v>2232</v>
      </c>
      <c r="L903" s="4">
        <v>1981</v>
      </c>
      <c r="M903" s="4" t="s">
        <v>27</v>
      </c>
      <c r="N903" s="4">
        <v>19.8</v>
      </c>
      <c r="O903" s="4">
        <v>19.8</v>
      </c>
      <c r="P903" s="4" t="s">
        <v>2234</v>
      </c>
      <c r="Q903" s="4">
        <v>19.8</v>
      </c>
      <c r="R903" s="4" t="s">
        <v>2235</v>
      </c>
    </row>
    <row r="904" spans="1:18" hidden="1" x14ac:dyDescent="0.35">
      <c r="A904" s="4" t="s">
        <v>966</v>
      </c>
      <c r="B904" s="4" t="s">
        <v>4081</v>
      </c>
      <c r="C904" s="4" t="s">
        <v>961</v>
      </c>
      <c r="D904" s="4" t="s">
        <v>3766</v>
      </c>
      <c r="E904" s="4" t="s">
        <v>3767</v>
      </c>
      <c r="F904" s="4" t="s">
        <v>33</v>
      </c>
      <c r="G904" s="4" t="s">
        <v>409</v>
      </c>
      <c r="H904" s="4" t="s">
        <v>2231</v>
      </c>
      <c r="I904" s="5">
        <v>65927</v>
      </c>
      <c r="J904" s="4" t="s">
        <v>2356</v>
      </c>
      <c r="K904" s="4" t="s">
        <v>865</v>
      </c>
      <c r="L904" s="4">
        <v>1982</v>
      </c>
      <c r="M904" s="4" t="s">
        <v>27</v>
      </c>
      <c r="N904" s="4">
        <v>17.38</v>
      </c>
      <c r="O904" s="4">
        <v>17.38</v>
      </c>
      <c r="P904" s="4" t="s">
        <v>2234</v>
      </c>
      <c r="Q904" s="4">
        <v>17.38</v>
      </c>
      <c r="R904" s="4" t="s">
        <v>2235</v>
      </c>
    </row>
    <row r="905" spans="1:18" hidden="1" x14ac:dyDescent="0.35">
      <c r="A905" s="4" t="s">
        <v>968</v>
      </c>
      <c r="B905" s="4" t="s">
        <v>4081</v>
      </c>
      <c r="C905" s="4" t="s">
        <v>961</v>
      </c>
      <c r="D905" s="4" t="s">
        <v>3768</v>
      </c>
      <c r="E905" s="4" t="s">
        <v>3769</v>
      </c>
      <c r="F905" s="4" t="s">
        <v>33</v>
      </c>
      <c r="G905" s="4" t="s">
        <v>409</v>
      </c>
      <c r="H905" s="4" t="s">
        <v>2231</v>
      </c>
      <c r="I905" s="5">
        <v>65928</v>
      </c>
      <c r="J905" s="4" t="s">
        <v>2356</v>
      </c>
      <c r="K905" s="4" t="s">
        <v>865</v>
      </c>
      <c r="L905" s="4">
        <v>1983</v>
      </c>
      <c r="M905" s="4" t="s">
        <v>27</v>
      </c>
      <c r="N905" s="4">
        <v>17.38</v>
      </c>
      <c r="O905" s="4">
        <v>17.38</v>
      </c>
      <c r="P905" s="4" t="s">
        <v>2234</v>
      </c>
      <c r="Q905" s="4">
        <v>17.38</v>
      </c>
      <c r="R905" s="4" t="s">
        <v>2235</v>
      </c>
    </row>
    <row r="906" spans="1:18" hidden="1" x14ac:dyDescent="0.35">
      <c r="A906" s="4" t="s">
        <v>960</v>
      </c>
      <c r="B906" s="4" t="s">
        <v>4081</v>
      </c>
      <c r="C906" s="4" t="s">
        <v>961</v>
      </c>
      <c r="D906" s="4" t="s">
        <v>3770</v>
      </c>
      <c r="E906" s="4" t="s">
        <v>3771</v>
      </c>
      <c r="F906" s="4" t="s">
        <v>33</v>
      </c>
      <c r="G906" s="4" t="s">
        <v>409</v>
      </c>
      <c r="H906" s="4" t="s">
        <v>2231</v>
      </c>
      <c r="I906" s="5">
        <v>65929</v>
      </c>
      <c r="J906" s="4" t="s">
        <v>2356</v>
      </c>
      <c r="K906" s="4" t="s">
        <v>865</v>
      </c>
      <c r="L906" s="4">
        <v>2021</v>
      </c>
      <c r="M906" s="4" t="s">
        <v>27</v>
      </c>
      <c r="N906" s="4">
        <v>12.9</v>
      </c>
      <c r="O906" s="4">
        <v>12.9</v>
      </c>
      <c r="P906" s="4" t="s">
        <v>2234</v>
      </c>
      <c r="Q906" s="4">
        <v>12.9</v>
      </c>
      <c r="R906" s="4" t="s">
        <v>2235</v>
      </c>
    </row>
    <row r="907" spans="1:18" hidden="1" x14ac:dyDescent="0.35">
      <c r="A907" s="4" t="s">
        <v>970</v>
      </c>
      <c r="B907" s="4" t="s">
        <v>4081</v>
      </c>
      <c r="C907" s="4" t="s">
        <v>961</v>
      </c>
      <c r="D907" s="4" t="s">
        <v>3772</v>
      </c>
      <c r="E907" s="4" t="s">
        <v>3773</v>
      </c>
      <c r="F907" s="4" t="s">
        <v>33</v>
      </c>
      <c r="G907" s="4" t="s">
        <v>409</v>
      </c>
      <c r="H907" s="4" t="s">
        <v>2231</v>
      </c>
      <c r="I907" s="5">
        <v>65930</v>
      </c>
      <c r="J907" s="4" t="s">
        <v>2356</v>
      </c>
      <c r="K907" s="4" t="s">
        <v>865</v>
      </c>
      <c r="L907" s="4">
        <v>2021</v>
      </c>
      <c r="M907" s="4" t="s">
        <v>27</v>
      </c>
      <c r="N907" s="4">
        <v>26.8</v>
      </c>
      <c r="O907" s="4">
        <v>26.8</v>
      </c>
      <c r="P907" s="4" t="s">
        <v>2234</v>
      </c>
      <c r="Q907" s="4">
        <v>26.8</v>
      </c>
      <c r="R907" s="4" t="s">
        <v>2235</v>
      </c>
    </row>
    <row r="908" spans="1:18" hidden="1" x14ac:dyDescent="0.35">
      <c r="A908" s="4" t="s">
        <v>964</v>
      </c>
      <c r="B908" s="4" t="s">
        <v>4081</v>
      </c>
      <c r="C908" s="4" t="s">
        <v>961</v>
      </c>
      <c r="D908" s="4" t="s">
        <v>3774</v>
      </c>
      <c r="E908" s="4" t="s">
        <v>3775</v>
      </c>
      <c r="F908" s="4" t="s">
        <v>33</v>
      </c>
      <c r="G908" s="4" t="s">
        <v>409</v>
      </c>
      <c r="H908" s="4" t="s">
        <v>2231</v>
      </c>
      <c r="I908" s="5">
        <v>65931</v>
      </c>
      <c r="J908" s="4" t="s">
        <v>2356</v>
      </c>
      <c r="K908" s="4" t="s">
        <v>865</v>
      </c>
      <c r="L908" s="4">
        <v>1983</v>
      </c>
      <c r="M908" s="4" t="s">
        <v>27</v>
      </c>
      <c r="N908" s="4">
        <v>13.8</v>
      </c>
      <c r="O908" s="4">
        <v>13.8</v>
      </c>
      <c r="P908" s="4" t="s">
        <v>2234</v>
      </c>
      <c r="Q908" s="4">
        <v>13.8</v>
      </c>
      <c r="R908" s="4" t="s">
        <v>2235</v>
      </c>
    </row>
    <row r="909" spans="1:18" hidden="1" x14ac:dyDescent="0.35">
      <c r="A909" s="4" t="s">
        <v>838</v>
      </c>
      <c r="B909" s="4" t="s">
        <v>4081</v>
      </c>
      <c r="C909" s="4" t="s">
        <v>3776</v>
      </c>
      <c r="D909" s="4" t="s">
        <v>3777</v>
      </c>
      <c r="E909" s="4" t="s">
        <v>3778</v>
      </c>
      <c r="F909" s="4" t="s">
        <v>33</v>
      </c>
      <c r="G909" s="4" t="s">
        <v>137</v>
      </c>
      <c r="H909" s="4" t="s">
        <v>2231</v>
      </c>
      <c r="I909" s="5">
        <v>66111</v>
      </c>
      <c r="J909" s="4" t="s">
        <v>834</v>
      </c>
      <c r="K909" s="4" t="s">
        <v>823</v>
      </c>
      <c r="L909" s="4">
        <v>2022</v>
      </c>
      <c r="M909" s="4" t="s">
        <v>27</v>
      </c>
      <c r="N909" s="4">
        <v>52.3</v>
      </c>
      <c r="O909" s="4">
        <v>52.3</v>
      </c>
      <c r="P909" s="4" t="s">
        <v>2234</v>
      </c>
      <c r="Q909" s="4">
        <v>52.3</v>
      </c>
      <c r="R909" s="4" t="s">
        <v>2235</v>
      </c>
    </row>
    <row r="910" spans="1:18" hidden="1" x14ac:dyDescent="0.35">
      <c r="A910" s="4" t="s">
        <v>1209</v>
      </c>
      <c r="B910" s="4" t="s">
        <v>4081</v>
      </c>
      <c r="C910" s="4" t="s">
        <v>3779</v>
      </c>
      <c r="D910" s="4" t="s">
        <v>3780</v>
      </c>
      <c r="E910" s="4" t="s">
        <v>46</v>
      </c>
      <c r="F910" s="4" t="s">
        <v>33</v>
      </c>
      <c r="G910" s="4" t="s">
        <v>46</v>
      </c>
      <c r="H910" s="4" t="s">
        <v>2231</v>
      </c>
      <c r="I910" s="5">
        <v>66117</v>
      </c>
      <c r="J910" s="4" t="s">
        <v>3781</v>
      </c>
      <c r="K910" s="4" t="s">
        <v>823</v>
      </c>
      <c r="L910" s="4">
        <v>2012</v>
      </c>
      <c r="M910" s="4" t="s">
        <v>27</v>
      </c>
      <c r="N910" s="4">
        <v>38.61</v>
      </c>
      <c r="O910" s="4">
        <v>38.61</v>
      </c>
      <c r="P910" s="4" t="s">
        <v>2234</v>
      </c>
      <c r="Q910" s="4">
        <v>38.61</v>
      </c>
      <c r="R910" s="4" t="s">
        <v>2235</v>
      </c>
    </row>
    <row r="911" spans="1:18" hidden="1" x14ac:dyDescent="0.35">
      <c r="A911" s="4" t="s">
        <v>841</v>
      </c>
      <c r="B911" s="4" t="s">
        <v>4081</v>
      </c>
      <c r="C911" s="4" t="s">
        <v>832</v>
      </c>
      <c r="D911" s="4" t="s">
        <v>3782</v>
      </c>
      <c r="E911" s="4" t="s">
        <v>3783</v>
      </c>
      <c r="F911" s="4" t="s">
        <v>33</v>
      </c>
      <c r="G911" s="4" t="s">
        <v>409</v>
      </c>
      <c r="H911" s="4" t="s">
        <v>2231</v>
      </c>
      <c r="I911" s="5">
        <v>66121</v>
      </c>
      <c r="J911" s="4" t="s">
        <v>3781</v>
      </c>
      <c r="K911" s="4" t="s">
        <v>823</v>
      </c>
      <c r="L911" s="4">
        <v>1988</v>
      </c>
      <c r="M911" s="4" t="s">
        <v>27</v>
      </c>
      <c r="N911" s="4">
        <v>53</v>
      </c>
      <c r="O911" s="4">
        <v>53</v>
      </c>
      <c r="P911" s="4" t="s">
        <v>2234</v>
      </c>
      <c r="Q911" s="4">
        <v>53</v>
      </c>
      <c r="R911" s="4" t="s">
        <v>2235</v>
      </c>
    </row>
    <row r="912" spans="1:18" hidden="1" x14ac:dyDescent="0.35">
      <c r="A912" s="4" t="s">
        <v>831</v>
      </c>
      <c r="B912" s="4" t="s">
        <v>4081</v>
      </c>
      <c r="C912" s="4" t="s">
        <v>832</v>
      </c>
      <c r="D912" s="4" t="s">
        <v>3782</v>
      </c>
      <c r="E912" s="4" t="s">
        <v>159</v>
      </c>
      <c r="F912" s="4" t="s">
        <v>33</v>
      </c>
      <c r="G912" s="4" t="s">
        <v>46</v>
      </c>
      <c r="H912" s="4" t="s">
        <v>2231</v>
      </c>
      <c r="I912" s="5">
        <v>66121</v>
      </c>
      <c r="J912" s="4" t="s">
        <v>3781</v>
      </c>
      <c r="K912" s="4" t="s">
        <v>823</v>
      </c>
      <c r="L912" s="4">
        <v>2012</v>
      </c>
      <c r="M912" s="4" t="s">
        <v>27</v>
      </c>
      <c r="N912" s="4">
        <v>34</v>
      </c>
      <c r="O912" s="4">
        <v>34</v>
      </c>
      <c r="P912" s="4" t="s">
        <v>2234</v>
      </c>
      <c r="Q912" s="4">
        <v>34</v>
      </c>
      <c r="R912" s="4" t="s">
        <v>2235</v>
      </c>
    </row>
    <row r="913" spans="1:18" hidden="1" x14ac:dyDescent="0.35">
      <c r="A913" s="4" t="s">
        <v>836</v>
      </c>
      <c r="B913" s="4" t="s">
        <v>4081</v>
      </c>
      <c r="C913" s="4" t="s">
        <v>832</v>
      </c>
      <c r="D913" s="4" t="s">
        <v>3782</v>
      </c>
      <c r="E913" s="4" t="s">
        <v>1010</v>
      </c>
      <c r="F913" s="4" t="s">
        <v>33</v>
      </c>
      <c r="G913" s="4" t="s">
        <v>46</v>
      </c>
      <c r="H913" s="4" t="s">
        <v>2231</v>
      </c>
      <c r="I913" s="5">
        <v>66121</v>
      </c>
      <c r="J913" s="4" t="s">
        <v>3781</v>
      </c>
      <c r="K913" s="4" t="s">
        <v>823</v>
      </c>
      <c r="L913" s="4">
        <v>2012</v>
      </c>
      <c r="M913" s="4" t="s">
        <v>27</v>
      </c>
      <c r="N913" s="4">
        <v>40</v>
      </c>
      <c r="O913" s="4">
        <v>40</v>
      </c>
      <c r="P913" s="4" t="s">
        <v>2234</v>
      </c>
      <c r="Q913" s="4">
        <v>40</v>
      </c>
      <c r="R913" s="4" t="s">
        <v>2235</v>
      </c>
    </row>
    <row r="914" spans="1:18" x14ac:dyDescent="0.35">
      <c r="A914" s="4" t="s">
        <v>1576</v>
      </c>
      <c r="B914" s="4" t="s">
        <v>4080</v>
      </c>
      <c r="C914" s="4" t="s">
        <v>315</v>
      </c>
      <c r="D914" s="4" t="s">
        <v>2284</v>
      </c>
      <c r="E914" s="4" t="s">
        <v>1577</v>
      </c>
      <c r="F914" s="4" t="s">
        <v>33</v>
      </c>
      <c r="G914" s="4" t="s">
        <v>409</v>
      </c>
      <c r="H914" s="4" t="s">
        <v>2231</v>
      </c>
      <c r="I914" s="5">
        <v>36266</v>
      </c>
      <c r="J914" s="4" t="s">
        <v>1564</v>
      </c>
      <c r="K914" s="4" t="s">
        <v>865</v>
      </c>
      <c r="L914" s="4">
        <v>1982</v>
      </c>
      <c r="M914" s="4" t="s">
        <v>27</v>
      </c>
      <c r="N914" s="4">
        <v>28</v>
      </c>
      <c r="O914" s="4">
        <v>28</v>
      </c>
      <c r="P914" s="4" t="s">
        <v>2234</v>
      </c>
      <c r="Q914" s="4">
        <v>28</v>
      </c>
      <c r="R914" s="4" t="s">
        <v>2235</v>
      </c>
    </row>
    <row r="915" spans="1:18" hidden="1" x14ac:dyDescent="0.35">
      <c r="A915" s="4" t="s">
        <v>3784</v>
      </c>
      <c r="B915" s="4" t="s">
        <v>4081</v>
      </c>
      <c r="C915" s="4" t="s">
        <v>1279</v>
      </c>
      <c r="D915" s="4" t="s">
        <v>3785</v>
      </c>
      <c r="E915" s="4" t="s">
        <v>2227</v>
      </c>
      <c r="F915" s="4" t="s">
        <v>173</v>
      </c>
      <c r="G915" s="4" t="s">
        <v>409</v>
      </c>
      <c r="H915" s="4" t="s">
        <v>2231</v>
      </c>
      <c r="I915" s="5">
        <v>66127</v>
      </c>
      <c r="J915" s="4" t="s">
        <v>3786</v>
      </c>
      <c r="K915" s="4" t="s">
        <v>823</v>
      </c>
      <c r="L915" s="4">
        <v>1997</v>
      </c>
      <c r="M915" s="4" t="s">
        <v>27</v>
      </c>
      <c r="N915" s="4">
        <v>16</v>
      </c>
      <c r="O915" s="4">
        <v>16</v>
      </c>
      <c r="P915" s="4" t="s">
        <v>173</v>
      </c>
      <c r="Q915" s="4">
        <v>16</v>
      </c>
      <c r="R915" s="4" t="s">
        <v>173</v>
      </c>
    </row>
    <row r="916" spans="1:18" hidden="1" x14ac:dyDescent="0.35">
      <c r="A916" s="4" t="s">
        <v>3787</v>
      </c>
      <c r="B916" s="4" t="s">
        <v>4081</v>
      </c>
      <c r="C916" s="4" t="s">
        <v>3788</v>
      </c>
      <c r="D916" s="4" t="s">
        <v>3789</v>
      </c>
      <c r="E916" s="4" t="s">
        <v>3790</v>
      </c>
      <c r="F916" s="4" t="s">
        <v>33</v>
      </c>
      <c r="G916" s="4" t="s">
        <v>137</v>
      </c>
      <c r="H916" s="4" t="s">
        <v>2231</v>
      </c>
      <c r="I916" s="5">
        <v>66333</v>
      </c>
      <c r="J916" s="4" t="s">
        <v>3791</v>
      </c>
      <c r="K916" s="4" t="s">
        <v>823</v>
      </c>
      <c r="L916" s="4">
        <v>2021</v>
      </c>
      <c r="M916" s="4" t="s">
        <v>27</v>
      </c>
      <c r="N916" s="4">
        <v>3.3</v>
      </c>
      <c r="O916" s="4">
        <v>3.3</v>
      </c>
      <c r="P916" s="4" t="s">
        <v>2234</v>
      </c>
      <c r="Q916" s="4">
        <v>3.3</v>
      </c>
      <c r="R916" s="4" t="s">
        <v>2235</v>
      </c>
    </row>
    <row r="917" spans="1:18" hidden="1" x14ac:dyDescent="0.35">
      <c r="A917" s="4" t="s">
        <v>3792</v>
      </c>
      <c r="B917" s="4" t="s">
        <v>4081</v>
      </c>
      <c r="C917" s="4" t="s">
        <v>3788</v>
      </c>
      <c r="D917" s="4" t="s">
        <v>3789</v>
      </c>
      <c r="E917" s="4" t="s">
        <v>3793</v>
      </c>
      <c r="F917" s="4" t="s">
        <v>33</v>
      </c>
      <c r="G917" s="4" t="s">
        <v>137</v>
      </c>
      <c r="H917" s="4" t="s">
        <v>2231</v>
      </c>
      <c r="I917" s="5">
        <v>66333</v>
      </c>
      <c r="J917" s="4" t="s">
        <v>3791</v>
      </c>
      <c r="K917" s="4" t="s">
        <v>823</v>
      </c>
      <c r="L917" s="4">
        <v>2021</v>
      </c>
      <c r="M917" s="4" t="s">
        <v>27</v>
      </c>
      <c r="N917" s="4">
        <v>3.3</v>
      </c>
      <c r="O917" s="4">
        <v>3.3</v>
      </c>
      <c r="P917" s="4" t="s">
        <v>2234</v>
      </c>
      <c r="Q917" s="4">
        <v>3.3</v>
      </c>
      <c r="R917" s="4" t="s">
        <v>2235</v>
      </c>
    </row>
    <row r="918" spans="1:18" hidden="1" x14ac:dyDescent="0.35">
      <c r="A918" s="4" t="s">
        <v>3794</v>
      </c>
      <c r="B918" s="4" t="s">
        <v>4081</v>
      </c>
      <c r="C918" s="4" t="s">
        <v>3795</v>
      </c>
      <c r="D918" s="4" t="s">
        <v>3789</v>
      </c>
      <c r="E918" s="4" t="s">
        <v>3796</v>
      </c>
      <c r="F918" s="4" t="s">
        <v>33</v>
      </c>
      <c r="G918" s="4" t="s">
        <v>137</v>
      </c>
      <c r="H918" s="4" t="s">
        <v>2231</v>
      </c>
      <c r="I918" s="5">
        <v>66333</v>
      </c>
      <c r="J918" s="4" t="s">
        <v>3791</v>
      </c>
      <c r="K918" s="4" t="s">
        <v>823</v>
      </c>
      <c r="L918" s="4">
        <v>2021</v>
      </c>
      <c r="M918" s="4" t="s">
        <v>27</v>
      </c>
      <c r="N918" s="4">
        <v>3.3</v>
      </c>
      <c r="O918" s="4">
        <v>3.3</v>
      </c>
      <c r="P918" s="4" t="s">
        <v>2234</v>
      </c>
      <c r="Q918" s="4">
        <v>3.3</v>
      </c>
      <c r="R918" s="4" t="s">
        <v>2235</v>
      </c>
    </row>
    <row r="919" spans="1:18" hidden="1" x14ac:dyDescent="0.35">
      <c r="A919" s="4" t="s">
        <v>3797</v>
      </c>
      <c r="B919" s="4" t="s">
        <v>4081</v>
      </c>
      <c r="C919" s="4" t="s">
        <v>3795</v>
      </c>
      <c r="D919" s="4" t="s">
        <v>3789</v>
      </c>
      <c r="E919" s="4" t="s">
        <v>3798</v>
      </c>
      <c r="F919" s="4" t="s">
        <v>33</v>
      </c>
      <c r="G919" s="4" t="s">
        <v>137</v>
      </c>
      <c r="H919" s="4" t="s">
        <v>2231</v>
      </c>
      <c r="I919" s="5">
        <v>66333</v>
      </c>
      <c r="J919" s="4" t="s">
        <v>3791</v>
      </c>
      <c r="K919" s="4" t="s">
        <v>823</v>
      </c>
      <c r="L919" s="4">
        <v>2021</v>
      </c>
      <c r="M919" s="4" t="s">
        <v>27</v>
      </c>
      <c r="N919" s="4">
        <v>3.3</v>
      </c>
      <c r="O919" s="4">
        <v>3.3</v>
      </c>
      <c r="P919" s="4" t="s">
        <v>2234</v>
      </c>
      <c r="Q919" s="4">
        <v>3.3</v>
      </c>
      <c r="R919" s="4" t="s">
        <v>2235</v>
      </c>
    </row>
    <row r="920" spans="1:18" hidden="1" x14ac:dyDescent="0.35">
      <c r="A920" s="4" t="s">
        <v>3799</v>
      </c>
      <c r="B920" s="4" t="s">
        <v>4081</v>
      </c>
      <c r="C920" s="4" t="s">
        <v>3800</v>
      </c>
      <c r="D920" s="4" t="s">
        <v>3789</v>
      </c>
      <c r="E920" s="4" t="s">
        <v>3801</v>
      </c>
      <c r="F920" s="4" t="s">
        <v>33</v>
      </c>
      <c r="G920" s="4" t="s">
        <v>137</v>
      </c>
      <c r="H920" s="4" t="s">
        <v>2231</v>
      </c>
      <c r="I920" s="5">
        <v>66333</v>
      </c>
      <c r="J920" s="4" t="s">
        <v>3791</v>
      </c>
      <c r="K920" s="4" t="s">
        <v>823</v>
      </c>
      <c r="L920" s="4">
        <v>2021</v>
      </c>
      <c r="M920" s="4" t="s">
        <v>27</v>
      </c>
      <c r="N920" s="4">
        <v>3.3</v>
      </c>
      <c r="O920" s="4">
        <v>3.3</v>
      </c>
      <c r="P920" s="4" t="s">
        <v>2234</v>
      </c>
      <c r="Q920" s="4">
        <v>3.3</v>
      </c>
      <c r="R920" s="4" t="s">
        <v>2235</v>
      </c>
    </row>
    <row r="921" spans="1:18" hidden="1" x14ac:dyDescent="0.35">
      <c r="A921" s="4" t="s">
        <v>3802</v>
      </c>
      <c r="B921" s="4" t="s">
        <v>4081</v>
      </c>
      <c r="C921" s="4" t="s">
        <v>3800</v>
      </c>
      <c r="D921" s="4" t="s">
        <v>3789</v>
      </c>
      <c r="E921" s="4" t="s">
        <v>3803</v>
      </c>
      <c r="F921" s="4" t="s">
        <v>33</v>
      </c>
      <c r="G921" s="4" t="s">
        <v>137</v>
      </c>
      <c r="H921" s="4" t="s">
        <v>2231</v>
      </c>
      <c r="I921" s="5">
        <v>66333</v>
      </c>
      <c r="J921" s="4" t="s">
        <v>3791</v>
      </c>
      <c r="K921" s="4" t="s">
        <v>823</v>
      </c>
      <c r="L921" s="4">
        <v>2021</v>
      </c>
      <c r="M921" s="4" t="s">
        <v>27</v>
      </c>
      <c r="N921" s="4">
        <v>3.3</v>
      </c>
      <c r="O921" s="4">
        <v>3.3</v>
      </c>
      <c r="P921" s="4" t="s">
        <v>2234</v>
      </c>
      <c r="Q921" s="4">
        <v>3.3</v>
      </c>
      <c r="R921" s="4" t="s">
        <v>2235</v>
      </c>
    </row>
    <row r="922" spans="1:18" hidden="1" x14ac:dyDescent="0.35">
      <c r="A922" s="4" t="s">
        <v>2227</v>
      </c>
      <c r="B922" s="4" t="s">
        <v>4081</v>
      </c>
      <c r="C922" s="4" t="s">
        <v>2227</v>
      </c>
      <c r="D922" s="4" t="s">
        <v>2227</v>
      </c>
      <c r="E922" s="4" t="s">
        <v>2227</v>
      </c>
      <c r="F922" s="4" t="s">
        <v>2234</v>
      </c>
      <c r="G922" s="4" t="s">
        <v>46</v>
      </c>
      <c r="H922" s="4" t="s">
        <v>2231</v>
      </c>
      <c r="I922" s="5" t="s">
        <v>2227</v>
      </c>
      <c r="J922" s="5" t="s">
        <v>2227</v>
      </c>
      <c r="K922" s="4" t="s">
        <v>823</v>
      </c>
      <c r="L922" s="4">
        <v>2029</v>
      </c>
      <c r="M922" s="4" t="s">
        <v>2459</v>
      </c>
      <c r="N922" s="4">
        <v>978</v>
      </c>
      <c r="O922" s="4">
        <v>978</v>
      </c>
      <c r="P922" s="4" t="s">
        <v>2234</v>
      </c>
      <c r="Q922" s="4">
        <v>978</v>
      </c>
      <c r="R922" s="4" t="s">
        <v>2235</v>
      </c>
    </row>
    <row r="923" spans="1:18" hidden="1" x14ac:dyDescent="0.35">
      <c r="A923" s="4" t="s">
        <v>3804</v>
      </c>
      <c r="B923" s="4" t="s">
        <v>4081</v>
      </c>
      <c r="C923" s="4" t="s">
        <v>3466</v>
      </c>
      <c r="D923" s="4" t="s">
        <v>3805</v>
      </c>
      <c r="E923" s="4" t="s">
        <v>3806</v>
      </c>
      <c r="F923" s="4" t="s">
        <v>173</v>
      </c>
      <c r="G923" s="4" t="s">
        <v>409</v>
      </c>
      <c r="H923" s="4" t="s">
        <v>2231</v>
      </c>
      <c r="I923" s="5">
        <v>66538</v>
      </c>
      <c r="J923" s="4" t="s">
        <v>821</v>
      </c>
      <c r="K923" s="4" t="s">
        <v>823</v>
      </c>
      <c r="L923" s="4">
        <v>1999</v>
      </c>
      <c r="M923" s="4" t="s">
        <v>27</v>
      </c>
      <c r="N923" s="4">
        <v>11.6</v>
      </c>
      <c r="O923" s="4">
        <v>11.6</v>
      </c>
      <c r="P923" s="4" t="s">
        <v>173</v>
      </c>
      <c r="Q923" s="4">
        <v>11.6</v>
      </c>
      <c r="R923" s="4" t="s">
        <v>173</v>
      </c>
    </row>
    <row r="924" spans="1:18" hidden="1" x14ac:dyDescent="0.35">
      <c r="A924" s="4" t="s">
        <v>2227</v>
      </c>
      <c r="B924" s="4" t="s">
        <v>4081</v>
      </c>
      <c r="C924" s="4" t="s">
        <v>2227</v>
      </c>
      <c r="D924" s="4" t="s">
        <v>2227</v>
      </c>
      <c r="E924" s="4" t="s">
        <v>2227</v>
      </c>
      <c r="F924" s="4" t="s">
        <v>2234</v>
      </c>
      <c r="G924" s="4" t="s">
        <v>46</v>
      </c>
      <c r="H924" s="4" t="s">
        <v>2231</v>
      </c>
      <c r="I924" s="5" t="s">
        <v>2227</v>
      </c>
      <c r="J924" s="5" t="s">
        <v>2227</v>
      </c>
      <c r="K924" s="4" t="s">
        <v>823</v>
      </c>
      <c r="L924" s="4">
        <v>2027</v>
      </c>
      <c r="M924" s="4" t="s">
        <v>2459</v>
      </c>
      <c r="N924" s="4">
        <v>633</v>
      </c>
      <c r="O924" s="4">
        <v>633</v>
      </c>
      <c r="P924" s="4" t="s">
        <v>2234</v>
      </c>
      <c r="Q924" s="4">
        <v>633</v>
      </c>
      <c r="R924" s="4" t="s">
        <v>2235</v>
      </c>
    </row>
    <row r="925" spans="1:18" hidden="1" x14ac:dyDescent="0.35">
      <c r="A925" s="4" t="s">
        <v>3807</v>
      </c>
      <c r="B925" s="4" t="s">
        <v>4081</v>
      </c>
      <c r="C925" s="4" t="s">
        <v>3808</v>
      </c>
      <c r="D925" s="4" t="s">
        <v>3809</v>
      </c>
      <c r="E925" s="4">
        <v>1</v>
      </c>
      <c r="F925" s="4" t="s">
        <v>33</v>
      </c>
      <c r="G925" s="4" t="s">
        <v>36</v>
      </c>
      <c r="H925" s="4" t="s">
        <v>2231</v>
      </c>
      <c r="I925" s="5">
        <v>66606</v>
      </c>
      <c r="J925" s="4" t="s">
        <v>3810</v>
      </c>
      <c r="K925" s="4" t="s">
        <v>823</v>
      </c>
      <c r="L925" s="4">
        <v>2014</v>
      </c>
      <c r="M925" s="4" t="s">
        <v>27</v>
      </c>
      <c r="N925" s="4">
        <v>7.56</v>
      </c>
      <c r="O925" s="4">
        <v>7.56</v>
      </c>
      <c r="P925" s="4" t="s">
        <v>2234</v>
      </c>
      <c r="Q925" s="4">
        <v>7.56</v>
      </c>
      <c r="R925" s="4" t="s">
        <v>2235</v>
      </c>
    </row>
    <row r="926" spans="1:18" hidden="1" x14ac:dyDescent="0.35">
      <c r="A926" s="4" t="s">
        <v>3811</v>
      </c>
      <c r="B926" s="4" t="s">
        <v>4081</v>
      </c>
      <c r="C926" s="4" t="s">
        <v>3808</v>
      </c>
      <c r="D926" s="4" t="s">
        <v>3809</v>
      </c>
      <c r="E926" s="4">
        <v>2</v>
      </c>
      <c r="F926" s="4" t="s">
        <v>33</v>
      </c>
      <c r="G926" s="4" t="s">
        <v>36</v>
      </c>
      <c r="H926" s="4" t="s">
        <v>2231</v>
      </c>
      <c r="I926" s="5">
        <v>66606</v>
      </c>
      <c r="J926" s="4" t="s">
        <v>3810</v>
      </c>
      <c r="K926" s="4" t="s">
        <v>823</v>
      </c>
      <c r="L926" s="4">
        <v>2014</v>
      </c>
      <c r="M926" s="4" t="s">
        <v>27</v>
      </c>
      <c r="N926" s="4">
        <v>7.56</v>
      </c>
      <c r="O926" s="4">
        <v>7.56</v>
      </c>
      <c r="P926" s="4" t="s">
        <v>2234</v>
      </c>
      <c r="Q926" s="4">
        <v>7.56</v>
      </c>
      <c r="R926" s="4" t="s">
        <v>2235</v>
      </c>
    </row>
    <row r="927" spans="1:18" hidden="1" x14ac:dyDescent="0.35">
      <c r="A927" s="4" t="s">
        <v>3812</v>
      </c>
      <c r="B927" s="4" t="s">
        <v>4081</v>
      </c>
      <c r="C927" s="4" t="s">
        <v>3808</v>
      </c>
      <c r="D927" s="4" t="s">
        <v>3809</v>
      </c>
      <c r="E927" s="4">
        <v>3</v>
      </c>
      <c r="F927" s="4" t="s">
        <v>33</v>
      </c>
      <c r="G927" s="4" t="s">
        <v>36</v>
      </c>
      <c r="H927" s="4" t="s">
        <v>2231</v>
      </c>
      <c r="I927" s="5">
        <v>66606</v>
      </c>
      <c r="J927" s="4" t="s">
        <v>3810</v>
      </c>
      <c r="K927" s="4" t="s">
        <v>823</v>
      </c>
      <c r="L927" s="4">
        <v>2014</v>
      </c>
      <c r="M927" s="4" t="s">
        <v>27</v>
      </c>
      <c r="N927" s="4">
        <v>4.37</v>
      </c>
      <c r="O927" s="4">
        <v>4.37</v>
      </c>
      <c r="P927" s="4" t="s">
        <v>2234</v>
      </c>
      <c r="Q927" s="4">
        <v>4.37</v>
      </c>
      <c r="R927" s="4" t="s">
        <v>2235</v>
      </c>
    </row>
    <row r="928" spans="1:18" hidden="1" x14ac:dyDescent="0.35">
      <c r="A928" s="4" t="s">
        <v>3813</v>
      </c>
      <c r="B928" s="4" t="s">
        <v>4081</v>
      </c>
      <c r="C928" s="4" t="s">
        <v>3814</v>
      </c>
      <c r="D928" s="4" t="s">
        <v>3815</v>
      </c>
      <c r="E928" s="4" t="s">
        <v>3034</v>
      </c>
      <c r="F928" s="4" t="s">
        <v>33</v>
      </c>
      <c r="G928" s="4" t="s">
        <v>36</v>
      </c>
      <c r="H928" s="4" t="s">
        <v>2231</v>
      </c>
      <c r="I928" s="5">
        <v>66740</v>
      </c>
      <c r="J928" s="4" t="s">
        <v>3816</v>
      </c>
      <c r="K928" s="4" t="s">
        <v>823</v>
      </c>
      <c r="L928" s="4">
        <v>2016</v>
      </c>
      <c r="M928" s="4" t="s">
        <v>27</v>
      </c>
      <c r="N928" s="4">
        <v>4.32</v>
      </c>
      <c r="O928" s="4">
        <v>4.32</v>
      </c>
      <c r="P928" s="4" t="s">
        <v>2234</v>
      </c>
      <c r="Q928" s="4">
        <v>4.32</v>
      </c>
      <c r="R928" s="4" t="s">
        <v>2235</v>
      </c>
    </row>
    <row r="929" spans="1:18" hidden="1" x14ac:dyDescent="0.35">
      <c r="A929" s="4" t="s">
        <v>3817</v>
      </c>
      <c r="B929" s="4" t="s">
        <v>4081</v>
      </c>
      <c r="C929" s="4" t="s">
        <v>3818</v>
      </c>
      <c r="D929" s="4" t="s">
        <v>3819</v>
      </c>
      <c r="E929" s="4" t="s">
        <v>2227</v>
      </c>
      <c r="F929" s="4" t="s">
        <v>173</v>
      </c>
      <c r="G929" s="4" t="s">
        <v>409</v>
      </c>
      <c r="H929" s="4" t="s">
        <v>2231</v>
      </c>
      <c r="I929" s="5">
        <v>85107</v>
      </c>
      <c r="J929" s="4" t="s">
        <v>3820</v>
      </c>
      <c r="K929" s="4" t="s">
        <v>701</v>
      </c>
      <c r="L929" s="4">
        <v>1995</v>
      </c>
      <c r="M929" s="4" t="s">
        <v>27</v>
      </c>
      <c r="N929" s="4">
        <v>0.54</v>
      </c>
      <c r="O929" s="4">
        <v>0.54</v>
      </c>
      <c r="P929" s="4" t="s">
        <v>173</v>
      </c>
      <c r="Q929" s="4">
        <v>0.54</v>
      </c>
      <c r="R929" s="4" t="s">
        <v>173</v>
      </c>
    </row>
    <row r="930" spans="1:18" hidden="1" x14ac:dyDescent="0.35">
      <c r="A930" s="4" t="s">
        <v>3821</v>
      </c>
      <c r="B930" s="4" t="s">
        <v>4081</v>
      </c>
      <c r="C930" s="4" t="s">
        <v>3818</v>
      </c>
      <c r="D930" s="4" t="s">
        <v>3822</v>
      </c>
      <c r="E930" s="4" t="s">
        <v>2227</v>
      </c>
      <c r="F930" s="4" t="s">
        <v>173</v>
      </c>
      <c r="G930" s="4" t="s">
        <v>409</v>
      </c>
      <c r="H930" s="4" t="s">
        <v>2231</v>
      </c>
      <c r="I930" s="5">
        <v>85107</v>
      </c>
      <c r="J930" s="4" t="s">
        <v>3820</v>
      </c>
      <c r="K930" s="4" t="s">
        <v>701</v>
      </c>
      <c r="L930" s="4">
        <v>1995</v>
      </c>
      <c r="M930" s="4" t="s">
        <v>27</v>
      </c>
      <c r="N930" s="4">
        <v>0.54</v>
      </c>
      <c r="O930" s="4">
        <v>0.54</v>
      </c>
      <c r="P930" s="4" t="s">
        <v>173</v>
      </c>
      <c r="Q930" s="4">
        <v>0.54</v>
      </c>
      <c r="R930" s="4" t="s">
        <v>173</v>
      </c>
    </row>
    <row r="931" spans="1:18" hidden="1" x14ac:dyDescent="0.35">
      <c r="A931" s="4" t="s">
        <v>3823</v>
      </c>
      <c r="B931" s="4" t="s">
        <v>4081</v>
      </c>
      <c r="C931" s="4" t="s">
        <v>3824</v>
      </c>
      <c r="D931" s="4" t="s">
        <v>3825</v>
      </c>
      <c r="E931" s="4" t="s">
        <v>2227</v>
      </c>
      <c r="F931" s="4" t="s">
        <v>173</v>
      </c>
      <c r="G931" s="4" t="s">
        <v>409</v>
      </c>
      <c r="H931" s="4" t="s">
        <v>2231</v>
      </c>
      <c r="I931" s="5">
        <v>96052</v>
      </c>
      <c r="J931" s="4" t="s">
        <v>3826</v>
      </c>
      <c r="K931" s="4" t="s">
        <v>701</v>
      </c>
      <c r="L931" s="4">
        <v>2014</v>
      </c>
      <c r="M931" s="4" t="s">
        <v>27</v>
      </c>
      <c r="N931" s="4">
        <v>9.3000000000000007</v>
      </c>
      <c r="O931" s="4">
        <v>9.3000000000000007</v>
      </c>
      <c r="P931" s="4" t="s">
        <v>173</v>
      </c>
      <c r="Q931" s="4">
        <v>9.3000000000000007</v>
      </c>
      <c r="R931" s="4" t="s">
        <v>173</v>
      </c>
    </row>
    <row r="932" spans="1:18" x14ac:dyDescent="0.35">
      <c r="A932" s="4" t="s">
        <v>3827</v>
      </c>
      <c r="B932" s="4" t="s">
        <v>4080</v>
      </c>
      <c r="C932" s="4" t="s">
        <v>3828</v>
      </c>
      <c r="D932" s="4" t="s">
        <v>54</v>
      </c>
      <c r="E932" s="4" t="s">
        <v>2227</v>
      </c>
      <c r="F932" s="4" t="s">
        <v>33</v>
      </c>
      <c r="G932" s="4" t="s">
        <v>36</v>
      </c>
      <c r="H932" s="4" t="s">
        <v>2231</v>
      </c>
      <c r="I932" s="5">
        <v>25541</v>
      </c>
      <c r="J932" s="4" t="s">
        <v>3829</v>
      </c>
      <c r="K932" s="4" t="s">
        <v>276</v>
      </c>
      <c r="L932" s="4">
        <v>1987</v>
      </c>
      <c r="M932" s="4" t="s">
        <v>27</v>
      </c>
      <c r="N932" s="4">
        <v>4.2</v>
      </c>
      <c r="O932" s="4">
        <v>4.2</v>
      </c>
      <c r="P932" s="4" t="s">
        <v>2234</v>
      </c>
      <c r="Q932" s="4">
        <v>4.2</v>
      </c>
      <c r="R932" s="4" t="s">
        <v>2235</v>
      </c>
    </row>
    <row r="933" spans="1:18" x14ac:dyDescent="0.35">
      <c r="A933" s="4" t="s">
        <v>3830</v>
      </c>
      <c r="B933" s="4" t="s">
        <v>4080</v>
      </c>
      <c r="C933" s="4" t="s">
        <v>3828</v>
      </c>
      <c r="D933" s="4" t="s">
        <v>52</v>
      </c>
      <c r="E933" s="4" t="s">
        <v>2227</v>
      </c>
      <c r="F933" s="4" t="s">
        <v>33</v>
      </c>
      <c r="G933" s="4" t="s">
        <v>36</v>
      </c>
      <c r="H933" s="4" t="s">
        <v>2231</v>
      </c>
      <c r="I933" s="5">
        <v>25541</v>
      </c>
      <c r="J933" s="4" t="s">
        <v>3829</v>
      </c>
      <c r="K933" s="4" t="s">
        <v>276</v>
      </c>
      <c r="L933" s="4">
        <v>1987</v>
      </c>
      <c r="M933" s="4" t="s">
        <v>27</v>
      </c>
      <c r="N933" s="4">
        <v>5.0999999999999996</v>
      </c>
      <c r="O933" s="4">
        <v>5.0999999999999996</v>
      </c>
      <c r="P933" s="4" t="s">
        <v>2234</v>
      </c>
      <c r="Q933" s="4">
        <v>5.0999999999999996</v>
      </c>
      <c r="R933" s="4" t="s">
        <v>2235</v>
      </c>
    </row>
    <row r="934" spans="1:18" x14ac:dyDescent="0.35">
      <c r="A934" s="4" t="s">
        <v>3831</v>
      </c>
      <c r="B934" s="4" t="s">
        <v>4080</v>
      </c>
      <c r="C934" s="4" t="s">
        <v>3828</v>
      </c>
      <c r="D934" s="4" t="s">
        <v>157</v>
      </c>
      <c r="E934" s="4" t="s">
        <v>2227</v>
      </c>
      <c r="F934" s="4" t="s">
        <v>33</v>
      </c>
      <c r="G934" s="4" t="s">
        <v>36</v>
      </c>
      <c r="H934" s="4" t="s">
        <v>2231</v>
      </c>
      <c r="I934" s="5">
        <v>25541</v>
      </c>
      <c r="J934" s="4" t="s">
        <v>3829</v>
      </c>
      <c r="K934" s="4" t="s">
        <v>276</v>
      </c>
      <c r="L934" s="4">
        <v>2020</v>
      </c>
      <c r="M934" s="4" t="s">
        <v>27</v>
      </c>
      <c r="N934" s="4">
        <v>7.4</v>
      </c>
      <c r="O934" s="4">
        <v>7.4</v>
      </c>
      <c r="P934" s="4" t="s">
        <v>2234</v>
      </c>
      <c r="Q934" s="4">
        <v>7.4</v>
      </c>
      <c r="R934" s="4" t="s">
        <v>2235</v>
      </c>
    </row>
    <row r="935" spans="1:18" hidden="1" x14ac:dyDescent="0.35">
      <c r="A935" s="4" t="s">
        <v>3832</v>
      </c>
      <c r="B935" s="4" t="s">
        <v>4081</v>
      </c>
      <c r="C935" s="4" t="s">
        <v>3814</v>
      </c>
      <c r="D935" s="4" t="s">
        <v>3815</v>
      </c>
      <c r="E935" s="4" t="s">
        <v>3036</v>
      </c>
      <c r="F935" s="4" t="s">
        <v>33</v>
      </c>
      <c r="G935" s="4" t="s">
        <v>36</v>
      </c>
      <c r="H935" s="4" t="s">
        <v>2231</v>
      </c>
      <c r="I935" s="5">
        <v>66740</v>
      </c>
      <c r="J935" s="4" t="s">
        <v>3816</v>
      </c>
      <c r="K935" s="4" t="s">
        <v>823</v>
      </c>
      <c r="L935" s="4">
        <v>2016</v>
      </c>
      <c r="M935" s="4" t="s">
        <v>27</v>
      </c>
      <c r="N935" s="4">
        <v>4.32</v>
      </c>
      <c r="O935" s="4">
        <v>4.32</v>
      </c>
      <c r="P935" s="4" t="s">
        <v>2234</v>
      </c>
      <c r="Q935" s="4">
        <v>4.32</v>
      </c>
      <c r="R935" s="4" t="s">
        <v>2235</v>
      </c>
    </row>
    <row r="936" spans="1:18" hidden="1" x14ac:dyDescent="0.35">
      <c r="A936" s="4" t="s">
        <v>3833</v>
      </c>
      <c r="B936" s="4" t="s">
        <v>4081</v>
      </c>
      <c r="C936" s="4" t="s">
        <v>3814</v>
      </c>
      <c r="D936" s="4" t="s">
        <v>3815</v>
      </c>
      <c r="E936" s="4" t="s">
        <v>3180</v>
      </c>
      <c r="F936" s="4" t="s">
        <v>33</v>
      </c>
      <c r="G936" s="4" t="s">
        <v>36</v>
      </c>
      <c r="H936" s="4" t="s">
        <v>2231</v>
      </c>
      <c r="I936" s="5">
        <v>66740</v>
      </c>
      <c r="J936" s="4" t="s">
        <v>3816</v>
      </c>
      <c r="K936" s="4" t="s">
        <v>823</v>
      </c>
      <c r="L936" s="4">
        <v>2016</v>
      </c>
      <c r="M936" s="4" t="s">
        <v>27</v>
      </c>
      <c r="N936" s="4">
        <v>4.32</v>
      </c>
      <c r="O936" s="4">
        <v>4.32</v>
      </c>
      <c r="P936" s="4" t="s">
        <v>2234</v>
      </c>
      <c r="Q936" s="4">
        <v>4.32</v>
      </c>
      <c r="R936" s="4" t="s">
        <v>2235</v>
      </c>
    </row>
    <row r="937" spans="1:18" hidden="1" x14ac:dyDescent="0.35">
      <c r="A937" s="4" t="s">
        <v>1906</v>
      </c>
      <c r="B937" s="4" t="s">
        <v>4081</v>
      </c>
      <c r="C937" s="4" t="s">
        <v>1907</v>
      </c>
      <c r="D937" s="4" t="s">
        <v>1908</v>
      </c>
      <c r="E937" s="4" t="s">
        <v>2227</v>
      </c>
      <c r="F937" s="4" t="s">
        <v>173</v>
      </c>
      <c r="G937" s="4" t="s">
        <v>409</v>
      </c>
      <c r="H937" s="4" t="s">
        <v>2231</v>
      </c>
      <c r="I937" s="5">
        <v>96450</v>
      </c>
      <c r="J937" s="4" t="s">
        <v>1909</v>
      </c>
      <c r="K937" s="4" t="s">
        <v>701</v>
      </c>
      <c r="L937" s="4">
        <v>1988</v>
      </c>
      <c r="M937" s="4" t="s">
        <v>27</v>
      </c>
      <c r="N937" s="4">
        <v>10.6</v>
      </c>
      <c r="O937" s="4">
        <v>10.6</v>
      </c>
      <c r="P937" s="4" t="s">
        <v>173</v>
      </c>
      <c r="Q937" s="4">
        <v>10.6</v>
      </c>
      <c r="R937" s="4" t="s">
        <v>173</v>
      </c>
    </row>
    <row r="938" spans="1:18" hidden="1" x14ac:dyDescent="0.35">
      <c r="A938" s="4" t="s">
        <v>3834</v>
      </c>
      <c r="B938" s="4" t="s">
        <v>4081</v>
      </c>
      <c r="C938" s="4" t="s">
        <v>1512</v>
      </c>
      <c r="D938" s="4" t="s">
        <v>3835</v>
      </c>
      <c r="E938" s="4" t="s">
        <v>2227</v>
      </c>
      <c r="F938" s="4" t="s">
        <v>33</v>
      </c>
      <c r="G938" s="4" t="s">
        <v>137</v>
      </c>
      <c r="H938" s="4" t="s">
        <v>2231</v>
      </c>
      <c r="I938" s="5">
        <v>91058</v>
      </c>
      <c r="J938" s="4" t="s">
        <v>1514</v>
      </c>
      <c r="K938" s="4" t="s">
        <v>701</v>
      </c>
      <c r="L938" s="4">
        <v>2018</v>
      </c>
      <c r="M938" s="4" t="s">
        <v>27</v>
      </c>
      <c r="N938" s="4">
        <v>8.2200000000000006</v>
      </c>
      <c r="O938" s="4">
        <v>8.2200000000000006</v>
      </c>
      <c r="P938" s="4" t="s">
        <v>2234</v>
      </c>
      <c r="Q938" s="4">
        <v>8.2200000000000006</v>
      </c>
      <c r="R938" s="4" t="s">
        <v>2235</v>
      </c>
    </row>
    <row r="939" spans="1:18" hidden="1" x14ac:dyDescent="0.35">
      <c r="A939" s="4" t="s">
        <v>3836</v>
      </c>
      <c r="B939" s="4" t="s">
        <v>4081</v>
      </c>
      <c r="C939" s="4" t="s">
        <v>3814</v>
      </c>
      <c r="D939" s="4" t="s">
        <v>3815</v>
      </c>
      <c r="E939" s="4" t="s">
        <v>3641</v>
      </c>
      <c r="F939" s="4" t="s">
        <v>33</v>
      </c>
      <c r="G939" s="4" t="s">
        <v>36</v>
      </c>
      <c r="H939" s="4" t="s">
        <v>2231</v>
      </c>
      <c r="I939" s="5">
        <v>66740</v>
      </c>
      <c r="J939" s="4" t="s">
        <v>3816</v>
      </c>
      <c r="K939" s="4" t="s">
        <v>823</v>
      </c>
      <c r="L939" s="4">
        <v>2016</v>
      </c>
      <c r="M939" s="4" t="s">
        <v>27</v>
      </c>
      <c r="N939" s="4">
        <v>4.32</v>
      </c>
      <c r="O939" s="4">
        <v>4.32</v>
      </c>
      <c r="P939" s="4" t="s">
        <v>2234</v>
      </c>
      <c r="Q939" s="4">
        <v>4.32</v>
      </c>
      <c r="R939" s="4" t="s">
        <v>2235</v>
      </c>
    </row>
    <row r="940" spans="1:18" hidden="1" x14ac:dyDescent="0.35">
      <c r="A940" s="4" t="s">
        <v>3837</v>
      </c>
      <c r="B940" s="4" t="s">
        <v>4081</v>
      </c>
      <c r="C940" s="4" t="s">
        <v>3838</v>
      </c>
      <c r="D940" s="4" t="s">
        <v>2999</v>
      </c>
      <c r="E940" s="4" t="s">
        <v>2227</v>
      </c>
      <c r="F940" s="4" t="s">
        <v>33</v>
      </c>
      <c r="G940" s="4" t="s">
        <v>409</v>
      </c>
      <c r="H940" s="4" t="s">
        <v>2231</v>
      </c>
      <c r="I940" s="5">
        <v>86833</v>
      </c>
      <c r="J940" s="4" t="s">
        <v>3839</v>
      </c>
      <c r="K940" s="4" t="s">
        <v>701</v>
      </c>
      <c r="L940" s="4">
        <v>1999</v>
      </c>
      <c r="M940" s="4" t="s">
        <v>27</v>
      </c>
      <c r="N940" s="4">
        <v>6.6</v>
      </c>
      <c r="O940" s="4">
        <v>6.6</v>
      </c>
      <c r="P940" s="4" t="s">
        <v>2234</v>
      </c>
      <c r="Q940" s="4">
        <v>6.6</v>
      </c>
      <c r="R940" s="4" t="s">
        <v>2235</v>
      </c>
    </row>
    <row r="941" spans="1:18" x14ac:dyDescent="0.35">
      <c r="A941" s="4" t="s">
        <v>1724</v>
      </c>
      <c r="B941" s="4" t="s">
        <v>4080</v>
      </c>
      <c r="C941" s="4" t="s">
        <v>1725</v>
      </c>
      <c r="D941" s="4" t="s">
        <v>2313</v>
      </c>
      <c r="E941" s="4" t="s">
        <v>54</v>
      </c>
      <c r="F941" s="4" t="s">
        <v>33</v>
      </c>
      <c r="G941" s="4" t="s">
        <v>46</v>
      </c>
      <c r="H941" s="4" t="s">
        <v>2231</v>
      </c>
      <c r="I941" s="5">
        <v>34134</v>
      </c>
      <c r="J941" s="4" t="s">
        <v>1644</v>
      </c>
      <c r="K941" s="4" t="s">
        <v>865</v>
      </c>
      <c r="L941" s="4">
        <v>2021</v>
      </c>
      <c r="M941" s="4" t="s">
        <v>27</v>
      </c>
      <c r="N941" s="4">
        <v>15.29</v>
      </c>
      <c r="O941" s="4">
        <v>15.29</v>
      </c>
      <c r="P941" s="4" t="s">
        <v>2234</v>
      </c>
      <c r="Q941" s="4">
        <v>15.29</v>
      </c>
      <c r="R941" s="4" t="s">
        <v>2235</v>
      </c>
    </row>
    <row r="942" spans="1:18" x14ac:dyDescent="0.35">
      <c r="A942" s="4" t="s">
        <v>1638</v>
      </c>
      <c r="B942" s="4" t="s">
        <v>4080</v>
      </c>
      <c r="C942" s="4" t="s">
        <v>1731</v>
      </c>
      <c r="D942" s="4" t="s">
        <v>2947</v>
      </c>
      <c r="E942" s="4" t="s">
        <v>52</v>
      </c>
      <c r="F942" s="4" t="s">
        <v>33</v>
      </c>
      <c r="G942" s="4" t="s">
        <v>46</v>
      </c>
      <c r="H942" s="4" t="s">
        <v>2231</v>
      </c>
      <c r="I942" s="5">
        <v>33699</v>
      </c>
      <c r="J942" s="4" t="s">
        <v>1636</v>
      </c>
      <c r="K942" s="4" t="s">
        <v>693</v>
      </c>
      <c r="L942" s="4">
        <v>2021</v>
      </c>
      <c r="M942" s="4" t="s">
        <v>27</v>
      </c>
      <c r="N942" s="4">
        <v>15.05</v>
      </c>
      <c r="O942" s="4">
        <v>15.05</v>
      </c>
      <c r="P942" s="4" t="s">
        <v>2234</v>
      </c>
      <c r="Q942" s="4">
        <v>15.05</v>
      </c>
      <c r="R942" s="4" t="s">
        <v>2235</v>
      </c>
    </row>
    <row r="943" spans="1:18" hidden="1" x14ac:dyDescent="0.35">
      <c r="A943" s="4" t="s">
        <v>3840</v>
      </c>
      <c r="B943" s="4" t="s">
        <v>4081</v>
      </c>
      <c r="C943" s="4" t="s">
        <v>3841</v>
      </c>
      <c r="D943" s="4" t="s">
        <v>3842</v>
      </c>
      <c r="E943" s="4" t="s">
        <v>54</v>
      </c>
      <c r="F943" s="4" t="s">
        <v>33</v>
      </c>
      <c r="G943" s="4" t="s">
        <v>36</v>
      </c>
      <c r="H943" s="4" t="s">
        <v>2231</v>
      </c>
      <c r="I943" s="5">
        <v>85057</v>
      </c>
      <c r="J943" s="4" t="s">
        <v>1919</v>
      </c>
      <c r="K943" s="4" t="s">
        <v>701</v>
      </c>
      <c r="L943" s="4">
        <v>1998</v>
      </c>
      <c r="M943" s="4" t="s">
        <v>27</v>
      </c>
      <c r="N943" s="4">
        <v>5</v>
      </c>
      <c r="O943" s="4">
        <v>5</v>
      </c>
      <c r="P943" s="4" t="s">
        <v>2234</v>
      </c>
      <c r="Q943" s="4">
        <v>5</v>
      </c>
      <c r="R943" s="4" t="s">
        <v>2235</v>
      </c>
    </row>
    <row r="944" spans="1:18" hidden="1" x14ac:dyDescent="0.35">
      <c r="A944" s="4" t="s">
        <v>3843</v>
      </c>
      <c r="B944" s="4" t="s">
        <v>4081</v>
      </c>
      <c r="C944" s="4" t="s">
        <v>3841</v>
      </c>
      <c r="D944" s="4" t="s">
        <v>3842</v>
      </c>
      <c r="E944" s="4" t="s">
        <v>52</v>
      </c>
      <c r="F944" s="4" t="s">
        <v>33</v>
      </c>
      <c r="G944" s="4" t="s">
        <v>36</v>
      </c>
      <c r="H944" s="4" t="s">
        <v>2231</v>
      </c>
      <c r="I944" s="5">
        <v>85057</v>
      </c>
      <c r="J944" s="4" t="s">
        <v>1919</v>
      </c>
      <c r="K944" s="4" t="s">
        <v>701</v>
      </c>
      <c r="L944" s="4">
        <v>1998</v>
      </c>
      <c r="M944" s="4" t="s">
        <v>27</v>
      </c>
      <c r="N944" s="4">
        <v>5</v>
      </c>
      <c r="O944" s="4">
        <v>5</v>
      </c>
      <c r="P944" s="4" t="s">
        <v>2234</v>
      </c>
      <c r="Q944" s="4">
        <v>5</v>
      </c>
      <c r="R944" s="4" t="s">
        <v>2235</v>
      </c>
    </row>
    <row r="945" spans="1:18" hidden="1" x14ac:dyDescent="0.35">
      <c r="A945" s="4" t="s">
        <v>3844</v>
      </c>
      <c r="B945" s="4" t="s">
        <v>4081</v>
      </c>
      <c r="C945" s="4" t="s">
        <v>3838</v>
      </c>
      <c r="D945" s="4" t="s">
        <v>3845</v>
      </c>
      <c r="E945" s="4" t="s">
        <v>2227</v>
      </c>
      <c r="F945" s="4" t="s">
        <v>33</v>
      </c>
      <c r="G945" s="4" t="s">
        <v>409</v>
      </c>
      <c r="H945" s="4" t="s">
        <v>2231</v>
      </c>
      <c r="I945" s="5">
        <v>86833</v>
      </c>
      <c r="J945" s="4" t="s">
        <v>3839</v>
      </c>
      <c r="K945" s="4" t="s">
        <v>701</v>
      </c>
      <c r="L945" s="4">
        <v>1985</v>
      </c>
      <c r="M945" s="4" t="s">
        <v>27</v>
      </c>
      <c r="N945" s="4">
        <v>4.8</v>
      </c>
      <c r="O945" s="4">
        <v>4.8</v>
      </c>
      <c r="P945" s="4" t="s">
        <v>2234</v>
      </c>
      <c r="Q945" s="4">
        <v>4.8</v>
      </c>
      <c r="R945" s="4" t="s">
        <v>2235</v>
      </c>
    </row>
    <row r="946" spans="1:18" x14ac:dyDescent="0.35">
      <c r="A946" s="4" t="s">
        <v>1675</v>
      </c>
      <c r="B946" s="4" t="s">
        <v>4080</v>
      </c>
      <c r="C946" s="4" t="s">
        <v>3846</v>
      </c>
      <c r="D946" s="4" t="s">
        <v>3847</v>
      </c>
      <c r="E946" s="4" t="s">
        <v>1672</v>
      </c>
      <c r="F946" s="4" t="s">
        <v>33</v>
      </c>
      <c r="G946" s="4" t="s">
        <v>409</v>
      </c>
      <c r="H946" s="4" t="s">
        <v>2231</v>
      </c>
      <c r="I946" s="5">
        <v>31171</v>
      </c>
      <c r="J946" s="4" t="s">
        <v>1677</v>
      </c>
      <c r="K946" s="4" t="s">
        <v>765</v>
      </c>
      <c r="L946" s="4">
        <v>1988</v>
      </c>
      <c r="M946" s="4" t="s">
        <v>27</v>
      </c>
      <c r="N946" s="4">
        <v>13</v>
      </c>
      <c r="O946" s="4">
        <v>13</v>
      </c>
      <c r="P946" s="4" t="s">
        <v>2234</v>
      </c>
      <c r="Q946" s="4">
        <v>13</v>
      </c>
      <c r="R946" s="4" t="s">
        <v>2235</v>
      </c>
    </row>
    <row r="947" spans="1:18" hidden="1" x14ac:dyDescent="0.35">
      <c r="A947" s="4" t="s">
        <v>1587</v>
      </c>
      <c r="B947" s="4" t="s">
        <v>4081</v>
      </c>
      <c r="C947" s="4" t="s">
        <v>1583</v>
      </c>
      <c r="D947" s="4" t="s">
        <v>1588</v>
      </c>
      <c r="E947" s="4" t="s">
        <v>2227</v>
      </c>
      <c r="F947" s="4" t="s">
        <v>33</v>
      </c>
      <c r="G947" s="4" t="s">
        <v>409</v>
      </c>
      <c r="H947" s="4" t="s">
        <v>2231</v>
      </c>
      <c r="I947" s="5">
        <v>93309</v>
      </c>
      <c r="J947" s="4" t="s">
        <v>1585</v>
      </c>
      <c r="K947" s="4" t="s">
        <v>701</v>
      </c>
      <c r="L947" s="4">
        <v>2014</v>
      </c>
      <c r="M947" s="4" t="s">
        <v>27</v>
      </c>
      <c r="N947" s="4">
        <v>25.9</v>
      </c>
      <c r="O947" s="4">
        <v>25.9</v>
      </c>
      <c r="P947" s="4" t="s">
        <v>2234</v>
      </c>
      <c r="Q947" s="4">
        <v>25.9</v>
      </c>
      <c r="R947" s="4" t="s">
        <v>2235</v>
      </c>
    </row>
    <row r="948" spans="1:18" hidden="1" x14ac:dyDescent="0.35">
      <c r="A948" s="4" t="s">
        <v>3848</v>
      </c>
      <c r="B948" s="4" t="s">
        <v>4081</v>
      </c>
      <c r="C948" s="4" t="s">
        <v>3814</v>
      </c>
      <c r="D948" s="4" t="s">
        <v>3815</v>
      </c>
      <c r="E948" s="4" t="s">
        <v>3649</v>
      </c>
      <c r="F948" s="4" t="s">
        <v>33</v>
      </c>
      <c r="G948" s="4" t="s">
        <v>36</v>
      </c>
      <c r="H948" s="4" t="s">
        <v>2231</v>
      </c>
      <c r="I948" s="5">
        <v>66740</v>
      </c>
      <c r="J948" s="4" t="s">
        <v>3816</v>
      </c>
      <c r="K948" s="4" t="s">
        <v>823</v>
      </c>
      <c r="L948" s="4">
        <v>2016</v>
      </c>
      <c r="M948" s="4" t="s">
        <v>27</v>
      </c>
      <c r="N948" s="4">
        <v>4.32</v>
      </c>
      <c r="O948" s="4">
        <v>4.32</v>
      </c>
      <c r="P948" s="4" t="s">
        <v>2234</v>
      </c>
      <c r="Q948" s="4">
        <v>4.32</v>
      </c>
      <c r="R948" s="4" t="s">
        <v>2235</v>
      </c>
    </row>
    <row r="949" spans="1:18" hidden="1" x14ac:dyDescent="0.35">
      <c r="A949" s="4" t="s">
        <v>3849</v>
      </c>
      <c r="B949" s="4" t="s">
        <v>4081</v>
      </c>
      <c r="C949" s="4" t="s">
        <v>2581</v>
      </c>
      <c r="D949" s="4" t="s">
        <v>3850</v>
      </c>
      <c r="E949" s="4" t="s">
        <v>2567</v>
      </c>
      <c r="F949" s="4" t="s">
        <v>33</v>
      </c>
      <c r="G949" s="4" t="s">
        <v>137</v>
      </c>
      <c r="H949" s="4" t="s">
        <v>2231</v>
      </c>
      <c r="I949" s="5">
        <v>84030</v>
      </c>
      <c r="J949" s="4" t="s">
        <v>2583</v>
      </c>
      <c r="K949" s="4" t="s">
        <v>701</v>
      </c>
      <c r="L949" s="4">
        <v>2009</v>
      </c>
      <c r="M949" s="4" t="s">
        <v>27</v>
      </c>
      <c r="N949" s="4">
        <v>1.4</v>
      </c>
      <c r="O949" s="4">
        <v>1.4</v>
      </c>
      <c r="P949" s="4" t="s">
        <v>2234</v>
      </c>
      <c r="Q949" s="4">
        <v>1.4</v>
      </c>
      <c r="R949" s="4" t="s">
        <v>2235</v>
      </c>
    </row>
    <row r="950" spans="1:18" hidden="1" x14ac:dyDescent="0.35">
      <c r="A950" s="4" t="s">
        <v>3851</v>
      </c>
      <c r="B950" s="4" t="s">
        <v>4081</v>
      </c>
      <c r="C950" s="4" t="s">
        <v>2581</v>
      </c>
      <c r="D950" s="4" t="s">
        <v>3850</v>
      </c>
      <c r="E950" s="4" t="s">
        <v>2565</v>
      </c>
      <c r="F950" s="4" t="s">
        <v>33</v>
      </c>
      <c r="G950" s="4" t="s">
        <v>137</v>
      </c>
      <c r="H950" s="4" t="s">
        <v>2231</v>
      </c>
      <c r="I950" s="5">
        <v>84030</v>
      </c>
      <c r="J950" s="4" t="s">
        <v>2583</v>
      </c>
      <c r="K950" s="4" t="s">
        <v>701</v>
      </c>
      <c r="L950" s="4">
        <v>2009</v>
      </c>
      <c r="M950" s="4" t="s">
        <v>27</v>
      </c>
      <c r="N950" s="4">
        <v>1.4</v>
      </c>
      <c r="O950" s="4">
        <v>1.4</v>
      </c>
      <c r="P950" s="4" t="s">
        <v>2234</v>
      </c>
      <c r="Q950" s="4">
        <v>1.4</v>
      </c>
      <c r="R950" s="4" t="s">
        <v>2235</v>
      </c>
    </row>
    <row r="951" spans="1:18" hidden="1" x14ac:dyDescent="0.35">
      <c r="A951" s="4" t="s">
        <v>3852</v>
      </c>
      <c r="B951" s="4" t="s">
        <v>4081</v>
      </c>
      <c r="C951" s="4" t="s">
        <v>2581</v>
      </c>
      <c r="D951" s="4" t="s">
        <v>3850</v>
      </c>
      <c r="E951" s="4" t="s">
        <v>2563</v>
      </c>
      <c r="F951" s="4" t="s">
        <v>33</v>
      </c>
      <c r="G951" s="4" t="s">
        <v>137</v>
      </c>
      <c r="H951" s="4" t="s">
        <v>2231</v>
      </c>
      <c r="I951" s="5">
        <v>84030</v>
      </c>
      <c r="J951" s="4" t="s">
        <v>2583</v>
      </c>
      <c r="K951" s="4" t="s">
        <v>701</v>
      </c>
      <c r="L951" s="4">
        <v>2014</v>
      </c>
      <c r="M951" s="4" t="s">
        <v>27</v>
      </c>
      <c r="N951" s="4">
        <v>2.6</v>
      </c>
      <c r="O951" s="4">
        <v>2.6</v>
      </c>
      <c r="P951" s="4" t="s">
        <v>2234</v>
      </c>
      <c r="Q951" s="4">
        <v>2.6</v>
      </c>
      <c r="R951" s="4" t="s">
        <v>2235</v>
      </c>
    </row>
    <row r="952" spans="1:18" x14ac:dyDescent="0.35">
      <c r="A952" s="4" t="s">
        <v>3853</v>
      </c>
      <c r="B952" s="4" t="s">
        <v>4080</v>
      </c>
      <c r="C952" s="4" t="s">
        <v>315</v>
      </c>
      <c r="D952" s="4" t="s">
        <v>3854</v>
      </c>
      <c r="E952" s="4" t="s">
        <v>2227</v>
      </c>
      <c r="F952" s="4" t="s">
        <v>33</v>
      </c>
      <c r="G952" s="4" t="s">
        <v>36</v>
      </c>
      <c r="H952" s="4" t="s">
        <v>2231</v>
      </c>
      <c r="I952" s="5">
        <v>36119</v>
      </c>
      <c r="J952" s="4" t="s">
        <v>3855</v>
      </c>
      <c r="K952" s="4" t="s">
        <v>865</v>
      </c>
      <c r="L952" s="4">
        <v>2009</v>
      </c>
      <c r="M952" s="4" t="s">
        <v>27</v>
      </c>
      <c r="N952" s="4">
        <v>5.0999999999999996</v>
      </c>
      <c r="O952" s="4">
        <v>5.0999999999999996</v>
      </c>
      <c r="P952" s="4" t="s">
        <v>2234</v>
      </c>
      <c r="Q952" s="4">
        <v>5.0999999999999996</v>
      </c>
      <c r="R952" s="4" t="s">
        <v>2235</v>
      </c>
    </row>
    <row r="953" spans="1:18" x14ac:dyDescent="0.35">
      <c r="A953" s="4" t="s">
        <v>3856</v>
      </c>
      <c r="B953" s="4" t="s">
        <v>4080</v>
      </c>
      <c r="C953" s="4" t="s">
        <v>315</v>
      </c>
      <c r="D953" s="4" t="s">
        <v>3857</v>
      </c>
      <c r="E953" s="4" t="s">
        <v>2227</v>
      </c>
      <c r="F953" s="4" t="s">
        <v>33</v>
      </c>
      <c r="G953" s="4" t="s">
        <v>36</v>
      </c>
      <c r="H953" s="4" t="s">
        <v>2231</v>
      </c>
      <c r="I953" s="5">
        <v>36119</v>
      </c>
      <c r="J953" s="4" t="s">
        <v>3855</v>
      </c>
      <c r="K953" s="4" t="s">
        <v>865</v>
      </c>
      <c r="L953" s="4">
        <v>2009</v>
      </c>
      <c r="M953" s="4" t="s">
        <v>27</v>
      </c>
      <c r="N953" s="4">
        <v>5.0999999999999996</v>
      </c>
      <c r="O953" s="4">
        <v>5.0999999999999996</v>
      </c>
      <c r="P953" s="4" t="s">
        <v>2234</v>
      </c>
      <c r="Q953" s="4">
        <v>5.0999999999999996</v>
      </c>
      <c r="R953" s="4" t="s">
        <v>2235</v>
      </c>
    </row>
    <row r="954" spans="1:18" x14ac:dyDescent="0.35">
      <c r="A954" s="4" t="s">
        <v>3858</v>
      </c>
      <c r="B954" s="4" t="s">
        <v>4080</v>
      </c>
      <c r="C954" s="4" t="s">
        <v>315</v>
      </c>
      <c r="D954" s="4" t="s">
        <v>3859</v>
      </c>
      <c r="E954" s="4" t="s">
        <v>2227</v>
      </c>
      <c r="F954" s="4" t="s">
        <v>33</v>
      </c>
      <c r="G954" s="4" t="s">
        <v>36</v>
      </c>
      <c r="H954" s="4" t="s">
        <v>2231</v>
      </c>
      <c r="I954" s="5">
        <v>36119</v>
      </c>
      <c r="J954" s="4" t="s">
        <v>3855</v>
      </c>
      <c r="K954" s="4" t="s">
        <v>865</v>
      </c>
      <c r="L954" s="4">
        <v>1990</v>
      </c>
      <c r="M954" s="4" t="s">
        <v>27</v>
      </c>
      <c r="N954" s="4">
        <v>1.8</v>
      </c>
      <c r="O954" s="4">
        <v>1.8</v>
      </c>
      <c r="P954" s="4" t="s">
        <v>2234</v>
      </c>
      <c r="Q954" s="4">
        <v>1.8</v>
      </c>
      <c r="R954" s="4" t="s">
        <v>2235</v>
      </c>
    </row>
    <row r="955" spans="1:18" x14ac:dyDescent="0.35">
      <c r="A955" s="4" t="s">
        <v>3860</v>
      </c>
      <c r="B955" s="4" t="s">
        <v>4080</v>
      </c>
      <c r="C955" s="4" t="s">
        <v>315</v>
      </c>
      <c r="D955" s="4" t="s">
        <v>3859</v>
      </c>
      <c r="E955" s="4" t="s">
        <v>2227</v>
      </c>
      <c r="F955" s="4" t="s">
        <v>33</v>
      </c>
      <c r="G955" s="4" t="s">
        <v>36</v>
      </c>
      <c r="H955" s="4" t="s">
        <v>2231</v>
      </c>
      <c r="I955" s="5">
        <v>36119</v>
      </c>
      <c r="J955" s="4" t="s">
        <v>3855</v>
      </c>
      <c r="K955" s="4" t="s">
        <v>865</v>
      </c>
      <c r="L955" s="4">
        <v>1990</v>
      </c>
      <c r="M955" s="4" t="s">
        <v>27</v>
      </c>
      <c r="N955" s="4">
        <v>1.3</v>
      </c>
      <c r="O955" s="4">
        <v>1.3</v>
      </c>
      <c r="P955" s="4" t="s">
        <v>2234</v>
      </c>
      <c r="Q955" s="4">
        <v>1.3</v>
      </c>
      <c r="R955" s="4" t="s">
        <v>2235</v>
      </c>
    </row>
    <row r="956" spans="1:18" hidden="1" x14ac:dyDescent="0.35">
      <c r="A956" s="4" t="s">
        <v>906</v>
      </c>
      <c r="B956" s="4" t="s">
        <v>4081</v>
      </c>
      <c r="C956" s="4" t="s">
        <v>907</v>
      </c>
      <c r="D956" s="4" t="s">
        <v>908</v>
      </c>
      <c r="E956" s="4" t="s">
        <v>908</v>
      </c>
      <c r="F956" s="4" t="s">
        <v>33</v>
      </c>
      <c r="G956" s="4" t="s">
        <v>137</v>
      </c>
      <c r="H956" s="4" t="s">
        <v>2231</v>
      </c>
      <c r="I956" s="5">
        <v>66877</v>
      </c>
      <c r="J956" s="4" t="s">
        <v>909</v>
      </c>
      <c r="K956" s="4" t="s">
        <v>712</v>
      </c>
      <c r="L956" s="4">
        <v>2018</v>
      </c>
      <c r="M956" s="4" t="s">
        <v>27</v>
      </c>
      <c r="N956" s="4">
        <v>12.8</v>
      </c>
      <c r="O956" s="4">
        <v>12.8</v>
      </c>
      <c r="P956" s="4" t="s">
        <v>2234</v>
      </c>
      <c r="Q956" s="4">
        <v>12.8</v>
      </c>
      <c r="R956" s="4" t="s">
        <v>2235</v>
      </c>
    </row>
    <row r="957" spans="1:18" hidden="1" x14ac:dyDescent="0.35">
      <c r="A957" s="4" t="s">
        <v>813</v>
      </c>
      <c r="B957" s="4" t="s">
        <v>4081</v>
      </c>
      <c r="C957" s="4" t="s">
        <v>3466</v>
      </c>
      <c r="D957" s="4" t="s">
        <v>3861</v>
      </c>
      <c r="E957" s="4" t="s">
        <v>3862</v>
      </c>
      <c r="F957" s="4" t="s">
        <v>173</v>
      </c>
      <c r="G957" s="4" t="s">
        <v>409</v>
      </c>
      <c r="H957" s="4" t="s">
        <v>2231</v>
      </c>
      <c r="I957" s="5">
        <v>66954</v>
      </c>
      <c r="J957" s="4" t="s">
        <v>816</v>
      </c>
      <c r="K957" s="4" t="s">
        <v>712</v>
      </c>
      <c r="L957" s="4">
        <v>2023</v>
      </c>
      <c r="M957" s="4" t="s">
        <v>27</v>
      </c>
      <c r="N957" s="4">
        <v>16.399999999999999</v>
      </c>
      <c r="O957" s="4">
        <v>16.399999999999999</v>
      </c>
      <c r="P957" s="4" t="s">
        <v>173</v>
      </c>
      <c r="Q957" s="4">
        <v>16.399999999999999</v>
      </c>
      <c r="R957" s="4" t="s">
        <v>173</v>
      </c>
    </row>
    <row r="958" spans="1:18" x14ac:dyDescent="0.35">
      <c r="A958" s="4" t="s">
        <v>3863</v>
      </c>
      <c r="B958" s="4" t="s">
        <v>4080</v>
      </c>
      <c r="C958" s="4" t="s">
        <v>3864</v>
      </c>
      <c r="D958" s="4" t="s">
        <v>122</v>
      </c>
      <c r="E958" s="4" t="s">
        <v>2567</v>
      </c>
      <c r="F958" s="4" t="s">
        <v>33</v>
      </c>
      <c r="G958" s="4" t="s">
        <v>36</v>
      </c>
      <c r="H958" s="4" t="s">
        <v>2231</v>
      </c>
      <c r="I958" s="5">
        <v>35260</v>
      </c>
      <c r="J958" s="4" t="s">
        <v>3865</v>
      </c>
      <c r="K958" s="4" t="s">
        <v>865</v>
      </c>
      <c r="L958" s="4">
        <v>2007</v>
      </c>
      <c r="M958" s="4" t="s">
        <v>27</v>
      </c>
      <c r="N958" s="4">
        <v>5</v>
      </c>
      <c r="O958" s="4">
        <v>5</v>
      </c>
      <c r="P958" s="4" t="s">
        <v>2234</v>
      </c>
      <c r="Q958" s="4">
        <v>5</v>
      </c>
      <c r="R958" s="4" t="s">
        <v>2235</v>
      </c>
    </row>
    <row r="959" spans="1:18" x14ac:dyDescent="0.35">
      <c r="A959" s="4" t="s">
        <v>3866</v>
      </c>
      <c r="B959" s="4" t="s">
        <v>4080</v>
      </c>
      <c r="C959" s="4" t="s">
        <v>3864</v>
      </c>
      <c r="D959" s="4" t="s">
        <v>122</v>
      </c>
      <c r="E959" s="4" t="s">
        <v>2565</v>
      </c>
      <c r="F959" s="4" t="s">
        <v>33</v>
      </c>
      <c r="G959" s="4" t="s">
        <v>36</v>
      </c>
      <c r="H959" s="4" t="s">
        <v>2231</v>
      </c>
      <c r="I959" s="5">
        <v>35260</v>
      </c>
      <c r="J959" s="4" t="s">
        <v>3865</v>
      </c>
      <c r="K959" s="4" t="s">
        <v>865</v>
      </c>
      <c r="L959" s="4">
        <v>2010</v>
      </c>
      <c r="M959" s="4" t="s">
        <v>27</v>
      </c>
      <c r="N959" s="4">
        <v>7.5</v>
      </c>
      <c r="O959" s="4">
        <v>7.5</v>
      </c>
      <c r="P959" s="4" t="s">
        <v>2234</v>
      </c>
      <c r="Q959" s="4">
        <v>7.5</v>
      </c>
      <c r="R959" s="4" t="s">
        <v>2235</v>
      </c>
    </row>
    <row r="960" spans="1:18" x14ac:dyDescent="0.35">
      <c r="A960" s="4" t="s">
        <v>1589</v>
      </c>
      <c r="B960" s="4" t="s">
        <v>4080</v>
      </c>
      <c r="C960" s="4" t="s">
        <v>3867</v>
      </c>
      <c r="D960" s="4" t="s">
        <v>1591</v>
      </c>
      <c r="E960" s="4" t="s">
        <v>2227</v>
      </c>
      <c r="F960" s="4" t="s">
        <v>173</v>
      </c>
      <c r="G960" s="4" t="s">
        <v>409</v>
      </c>
      <c r="H960" s="4" t="s">
        <v>2231</v>
      </c>
      <c r="I960" s="5">
        <v>26826</v>
      </c>
      <c r="J960" s="4" t="s">
        <v>1592</v>
      </c>
      <c r="K960" s="4" t="s">
        <v>765</v>
      </c>
      <c r="L960" s="4">
        <v>2021</v>
      </c>
      <c r="M960" s="4" t="s">
        <v>27</v>
      </c>
      <c r="N960" s="4">
        <v>13.9</v>
      </c>
      <c r="O960" s="4">
        <v>13.9</v>
      </c>
      <c r="P960" s="4" t="s">
        <v>173</v>
      </c>
      <c r="Q960" s="4">
        <v>13.9</v>
      </c>
      <c r="R960" s="4" t="s">
        <v>173</v>
      </c>
    </row>
    <row r="961" spans="1:18" x14ac:dyDescent="0.35">
      <c r="A961" s="4" t="s">
        <v>3868</v>
      </c>
      <c r="B961" s="4" t="s">
        <v>4080</v>
      </c>
      <c r="C961" s="4" t="s">
        <v>3867</v>
      </c>
      <c r="D961" s="4" t="s">
        <v>3869</v>
      </c>
      <c r="E961" s="4" t="s">
        <v>2227</v>
      </c>
      <c r="F961" s="4" t="s">
        <v>173</v>
      </c>
      <c r="G961" s="4" t="s">
        <v>409</v>
      </c>
      <c r="H961" s="4" t="s">
        <v>2231</v>
      </c>
      <c r="I961" s="5">
        <v>26826</v>
      </c>
      <c r="J961" s="4" t="s">
        <v>1592</v>
      </c>
      <c r="K961" s="4" t="s">
        <v>765</v>
      </c>
      <c r="L961" s="4">
        <v>2008</v>
      </c>
      <c r="M961" s="4" t="s">
        <v>27</v>
      </c>
      <c r="N961" s="4">
        <v>4.7</v>
      </c>
      <c r="O961" s="4">
        <v>4.7</v>
      </c>
      <c r="P961" s="4" t="s">
        <v>173</v>
      </c>
      <c r="Q961" s="4">
        <v>4.7</v>
      </c>
      <c r="R961" s="4" t="s">
        <v>173</v>
      </c>
    </row>
    <row r="962" spans="1:18" x14ac:dyDescent="0.35">
      <c r="A962" s="4" t="s">
        <v>3870</v>
      </c>
      <c r="B962" s="4" t="s">
        <v>4080</v>
      </c>
      <c r="C962" s="4" t="s">
        <v>3867</v>
      </c>
      <c r="D962" s="4" t="s">
        <v>3871</v>
      </c>
      <c r="E962" s="4" t="s">
        <v>2227</v>
      </c>
      <c r="F962" s="4" t="s">
        <v>173</v>
      </c>
      <c r="G962" s="4" t="s">
        <v>409</v>
      </c>
      <c r="H962" s="4" t="s">
        <v>2231</v>
      </c>
      <c r="I962" s="5">
        <v>26826</v>
      </c>
      <c r="J962" s="4" t="s">
        <v>1592</v>
      </c>
      <c r="K962" s="4" t="s">
        <v>765</v>
      </c>
      <c r="L962" s="4">
        <v>2008</v>
      </c>
      <c r="M962" s="4" t="s">
        <v>27</v>
      </c>
      <c r="N962" s="4">
        <v>4.7</v>
      </c>
      <c r="O962" s="4">
        <v>4.7</v>
      </c>
      <c r="P962" s="4" t="s">
        <v>173</v>
      </c>
      <c r="Q962" s="4">
        <v>4.7</v>
      </c>
      <c r="R962" s="4" t="s">
        <v>173</v>
      </c>
    </row>
    <row r="963" spans="1:18" hidden="1" x14ac:dyDescent="0.35">
      <c r="A963" s="4" t="s">
        <v>3872</v>
      </c>
      <c r="B963" s="4" t="s">
        <v>4081</v>
      </c>
      <c r="C963" s="4" t="s">
        <v>3873</v>
      </c>
      <c r="D963" s="4" t="s">
        <v>2831</v>
      </c>
      <c r="E963" s="4" t="s">
        <v>3874</v>
      </c>
      <c r="F963" s="4" t="s">
        <v>33</v>
      </c>
      <c r="G963" s="4" t="s">
        <v>137</v>
      </c>
      <c r="H963" s="4" t="s">
        <v>2231</v>
      </c>
      <c r="I963" s="5">
        <v>95632</v>
      </c>
      <c r="J963" s="4" t="s">
        <v>3875</v>
      </c>
      <c r="K963" s="4" t="s">
        <v>701</v>
      </c>
      <c r="L963" s="4">
        <v>2018</v>
      </c>
      <c r="M963" s="4" t="s">
        <v>27</v>
      </c>
      <c r="N963" s="4">
        <v>4.4000000000000004</v>
      </c>
      <c r="O963" s="4">
        <v>4.4000000000000004</v>
      </c>
      <c r="P963" s="4" t="s">
        <v>2234</v>
      </c>
      <c r="Q963" s="4">
        <v>4.4000000000000004</v>
      </c>
      <c r="R963" s="4" t="s">
        <v>2235</v>
      </c>
    </row>
    <row r="964" spans="1:18" hidden="1" x14ac:dyDescent="0.35">
      <c r="A964" s="4" t="s">
        <v>3876</v>
      </c>
      <c r="B964" s="4" t="s">
        <v>4081</v>
      </c>
      <c r="C964" s="4" t="s">
        <v>3873</v>
      </c>
      <c r="D964" s="4" t="s">
        <v>2831</v>
      </c>
      <c r="E964" s="4" t="s">
        <v>3877</v>
      </c>
      <c r="F964" s="4" t="s">
        <v>33</v>
      </c>
      <c r="G964" s="4" t="s">
        <v>137</v>
      </c>
      <c r="H964" s="4" t="s">
        <v>2231</v>
      </c>
      <c r="I964" s="5">
        <v>95632</v>
      </c>
      <c r="J964" s="4" t="s">
        <v>3875</v>
      </c>
      <c r="K964" s="4" t="s">
        <v>701</v>
      </c>
      <c r="L964" s="4">
        <v>2018</v>
      </c>
      <c r="M964" s="4" t="s">
        <v>27</v>
      </c>
      <c r="N964" s="4">
        <v>4.4000000000000004</v>
      </c>
      <c r="O964" s="4">
        <v>4.4000000000000004</v>
      </c>
      <c r="P964" s="4" t="s">
        <v>2234</v>
      </c>
      <c r="Q964" s="4">
        <v>4.4000000000000004</v>
      </c>
      <c r="R964" s="4" t="s">
        <v>2235</v>
      </c>
    </row>
    <row r="965" spans="1:18" hidden="1" x14ac:dyDescent="0.35">
      <c r="A965" s="4" t="s">
        <v>3878</v>
      </c>
      <c r="B965" s="4" t="s">
        <v>4081</v>
      </c>
      <c r="C965" s="4" t="s">
        <v>3873</v>
      </c>
      <c r="D965" s="4" t="s">
        <v>2831</v>
      </c>
      <c r="E965" s="4" t="s">
        <v>3879</v>
      </c>
      <c r="F965" s="4" t="s">
        <v>33</v>
      </c>
      <c r="G965" s="4" t="s">
        <v>137</v>
      </c>
      <c r="H965" s="4" t="s">
        <v>2231</v>
      </c>
      <c r="I965" s="5">
        <v>95632</v>
      </c>
      <c r="J965" s="4" t="s">
        <v>3875</v>
      </c>
      <c r="K965" s="4" t="s">
        <v>701</v>
      </c>
      <c r="L965" s="4">
        <v>2018</v>
      </c>
      <c r="M965" s="4" t="s">
        <v>27</v>
      </c>
      <c r="N965" s="4">
        <v>4.4000000000000004</v>
      </c>
      <c r="O965" s="4">
        <v>4.4000000000000004</v>
      </c>
      <c r="P965" s="4" t="s">
        <v>2234</v>
      </c>
      <c r="Q965" s="4">
        <v>4.4000000000000004</v>
      </c>
      <c r="R965" s="4" t="s">
        <v>2235</v>
      </c>
    </row>
    <row r="966" spans="1:18" hidden="1" x14ac:dyDescent="0.35">
      <c r="A966" s="4" t="s">
        <v>1756</v>
      </c>
      <c r="B966" s="4" t="s">
        <v>4081</v>
      </c>
      <c r="C966" s="4" t="s">
        <v>1757</v>
      </c>
      <c r="D966" s="4" t="s">
        <v>3880</v>
      </c>
      <c r="E966" s="4" t="s">
        <v>3881</v>
      </c>
      <c r="F966" s="4" t="s">
        <v>33</v>
      </c>
      <c r="G966" s="4" t="s">
        <v>46</v>
      </c>
      <c r="H966" s="4" t="s">
        <v>2231</v>
      </c>
      <c r="I966" s="5">
        <v>97080</v>
      </c>
      <c r="J966" s="4" t="s">
        <v>1759</v>
      </c>
      <c r="K966" s="4" t="s">
        <v>701</v>
      </c>
      <c r="L966" s="4">
        <v>2021</v>
      </c>
      <c r="M966" s="4" t="s">
        <v>27</v>
      </c>
      <c r="N966" s="4">
        <v>20</v>
      </c>
      <c r="O966" s="4">
        <v>20</v>
      </c>
      <c r="P966" s="4" t="s">
        <v>2234</v>
      </c>
      <c r="Q966" s="4">
        <v>20</v>
      </c>
      <c r="R966" s="4" t="s">
        <v>2235</v>
      </c>
    </row>
    <row r="967" spans="1:18" x14ac:dyDescent="0.35">
      <c r="A967" s="4" t="s">
        <v>1509</v>
      </c>
      <c r="B967" s="4" t="s">
        <v>4080</v>
      </c>
      <c r="C967" s="4" t="s">
        <v>1505</v>
      </c>
      <c r="D967" s="4" t="s">
        <v>2379</v>
      </c>
      <c r="E967" s="4" t="s">
        <v>1510</v>
      </c>
      <c r="F967" s="4" t="s">
        <v>173</v>
      </c>
      <c r="G967" s="4" t="s">
        <v>409</v>
      </c>
      <c r="H967" s="4" t="s">
        <v>2231</v>
      </c>
      <c r="I967" s="5">
        <v>31789</v>
      </c>
      <c r="J967" s="4" t="s">
        <v>1507</v>
      </c>
      <c r="K967" s="4" t="s">
        <v>765</v>
      </c>
      <c r="L967" s="4">
        <v>1952</v>
      </c>
      <c r="M967" s="4" t="s">
        <v>27</v>
      </c>
      <c r="N967" s="4">
        <v>12.62</v>
      </c>
      <c r="O967" s="4">
        <v>12.62</v>
      </c>
      <c r="P967" s="4" t="s">
        <v>173</v>
      </c>
      <c r="Q967" s="4">
        <v>12.62</v>
      </c>
      <c r="R967" s="4" t="s">
        <v>173</v>
      </c>
    </row>
    <row r="968" spans="1:18" x14ac:dyDescent="0.35">
      <c r="A968" s="4" t="s">
        <v>1504</v>
      </c>
      <c r="B968" s="4" t="s">
        <v>4080</v>
      </c>
      <c r="C968" s="4" t="s">
        <v>1505</v>
      </c>
      <c r="D968" s="4" t="s">
        <v>2379</v>
      </c>
      <c r="E968" s="4" t="s">
        <v>1506</v>
      </c>
      <c r="F968" s="4" t="s">
        <v>173</v>
      </c>
      <c r="G968" s="4" t="s">
        <v>409</v>
      </c>
      <c r="H968" s="4" t="s">
        <v>2231</v>
      </c>
      <c r="I968" s="5">
        <v>31789</v>
      </c>
      <c r="J968" s="4" t="s">
        <v>1507</v>
      </c>
      <c r="K968" s="4" t="s">
        <v>765</v>
      </c>
      <c r="L968" s="4">
        <v>2009</v>
      </c>
      <c r="M968" s="4" t="s">
        <v>27</v>
      </c>
      <c r="N968" s="4">
        <v>12.26</v>
      </c>
      <c r="O968" s="4">
        <v>12.26</v>
      </c>
      <c r="P968" s="4" t="s">
        <v>173</v>
      </c>
      <c r="Q968" s="4">
        <v>12.26</v>
      </c>
      <c r="R968" s="4" t="s">
        <v>173</v>
      </c>
    </row>
    <row r="969" spans="1:18" x14ac:dyDescent="0.35">
      <c r="A969" s="4" t="s">
        <v>3882</v>
      </c>
      <c r="B969" s="4" t="s">
        <v>4080</v>
      </c>
      <c r="C969" s="4" t="s">
        <v>1505</v>
      </c>
      <c r="D969" s="4" t="s">
        <v>2379</v>
      </c>
      <c r="E969" s="4" t="s">
        <v>1584</v>
      </c>
      <c r="F969" s="4" t="s">
        <v>173</v>
      </c>
      <c r="G969" s="4" t="s">
        <v>409</v>
      </c>
      <c r="H969" s="4" t="s">
        <v>2231</v>
      </c>
      <c r="I969" s="5">
        <v>31789</v>
      </c>
      <c r="J969" s="4" t="s">
        <v>1507</v>
      </c>
      <c r="K969" s="4" t="s">
        <v>765</v>
      </c>
      <c r="L969" s="4">
        <v>1970</v>
      </c>
      <c r="M969" s="4" t="s">
        <v>27</v>
      </c>
      <c r="N969" s="4">
        <v>2.5499999999999998</v>
      </c>
      <c r="O969" s="4">
        <v>2.5499999999999998</v>
      </c>
      <c r="P969" s="4" t="s">
        <v>173</v>
      </c>
      <c r="Q969" s="4">
        <v>2.5499999999999998</v>
      </c>
      <c r="R969" s="4" t="s">
        <v>173</v>
      </c>
    </row>
    <row r="970" spans="1:18" hidden="1" x14ac:dyDescent="0.35">
      <c r="A970" s="4" t="s">
        <v>1894</v>
      </c>
      <c r="B970" s="4" t="s">
        <v>4081</v>
      </c>
      <c r="C970" s="4" t="s">
        <v>2352</v>
      </c>
      <c r="D970" s="4" t="s">
        <v>2371</v>
      </c>
      <c r="E970" s="4" t="s">
        <v>1895</v>
      </c>
      <c r="F970" s="4" t="s">
        <v>33</v>
      </c>
      <c r="G970" s="4" t="s">
        <v>46</v>
      </c>
      <c r="H970" s="4" t="s">
        <v>2231</v>
      </c>
      <c r="I970" s="5">
        <v>84489</v>
      </c>
      <c r="J970" s="4" t="s">
        <v>1890</v>
      </c>
      <c r="K970" s="4" t="s">
        <v>701</v>
      </c>
      <c r="L970" s="4">
        <v>1979</v>
      </c>
      <c r="M970" s="4" t="s">
        <v>27</v>
      </c>
      <c r="N970" s="4">
        <v>45.8</v>
      </c>
      <c r="O970" s="4">
        <v>45.8</v>
      </c>
      <c r="P970" s="4" t="s">
        <v>2234</v>
      </c>
      <c r="Q970" s="4">
        <v>45.8</v>
      </c>
      <c r="R970" s="4" t="s">
        <v>2235</v>
      </c>
    </row>
    <row r="971" spans="1:18" hidden="1" x14ac:dyDescent="0.35">
      <c r="A971" s="4" t="s">
        <v>1892</v>
      </c>
      <c r="B971" s="4" t="s">
        <v>4081</v>
      </c>
      <c r="C971" s="4" t="s">
        <v>2352</v>
      </c>
      <c r="D971" s="4" t="s">
        <v>2371</v>
      </c>
      <c r="E971" s="4" t="s">
        <v>1893</v>
      </c>
      <c r="F971" s="4" t="s">
        <v>33</v>
      </c>
      <c r="G971" s="4" t="s">
        <v>46</v>
      </c>
      <c r="H971" s="4" t="s">
        <v>2231</v>
      </c>
      <c r="I971" s="5">
        <v>84489</v>
      </c>
      <c r="J971" s="4" t="s">
        <v>1890</v>
      </c>
      <c r="K971" s="4" t="s">
        <v>701</v>
      </c>
      <c r="L971" s="4">
        <v>2014</v>
      </c>
      <c r="M971" s="4" t="s">
        <v>27</v>
      </c>
      <c r="N971" s="4">
        <v>37.6</v>
      </c>
      <c r="O971" s="4">
        <v>37.6</v>
      </c>
      <c r="P971" s="4" t="s">
        <v>2234</v>
      </c>
      <c r="Q971" s="4">
        <v>37.6</v>
      </c>
      <c r="R971" s="4" t="s">
        <v>2235</v>
      </c>
    </row>
    <row r="972" spans="1:18" x14ac:dyDescent="0.35">
      <c r="A972" s="4" t="s">
        <v>1728</v>
      </c>
      <c r="B972" s="4" t="s">
        <v>4080</v>
      </c>
      <c r="C972" s="4" t="s">
        <v>1725</v>
      </c>
      <c r="D972" s="4" t="s">
        <v>2313</v>
      </c>
      <c r="E972" s="4" t="s">
        <v>52</v>
      </c>
      <c r="F972" s="4" t="s">
        <v>33</v>
      </c>
      <c r="G972" s="4" t="s">
        <v>46</v>
      </c>
      <c r="H972" s="4" t="s">
        <v>2231</v>
      </c>
      <c r="I972" s="5">
        <v>34134</v>
      </c>
      <c r="J972" s="4" t="s">
        <v>1644</v>
      </c>
      <c r="K972" s="4" t="s">
        <v>865</v>
      </c>
      <c r="L972" s="4">
        <v>2005</v>
      </c>
      <c r="M972" s="4" t="s">
        <v>27</v>
      </c>
      <c r="N972" s="4">
        <v>31.15</v>
      </c>
      <c r="O972" s="4">
        <v>31.15</v>
      </c>
      <c r="P972" s="4" t="s">
        <v>2234</v>
      </c>
      <c r="Q972" s="4">
        <v>31.15</v>
      </c>
      <c r="R972" s="4" t="s">
        <v>2235</v>
      </c>
    </row>
    <row r="973" spans="1:18" hidden="1" x14ac:dyDescent="0.35">
      <c r="A973" s="4" t="s">
        <v>732</v>
      </c>
      <c r="B973" s="4" t="s">
        <v>4081</v>
      </c>
      <c r="C973" s="4" t="s">
        <v>733</v>
      </c>
      <c r="D973" s="4" t="s">
        <v>3883</v>
      </c>
      <c r="E973" s="4" t="s">
        <v>3884</v>
      </c>
      <c r="F973" s="4" t="s">
        <v>173</v>
      </c>
      <c r="G973" s="4" t="s">
        <v>409</v>
      </c>
      <c r="H973" s="4" t="s">
        <v>2231</v>
      </c>
      <c r="I973" s="5">
        <v>67056</v>
      </c>
      <c r="J973" s="4" t="s">
        <v>735</v>
      </c>
      <c r="K973" s="4" t="s">
        <v>712</v>
      </c>
      <c r="L973" s="4">
        <v>1992</v>
      </c>
      <c r="M973" s="4" t="s">
        <v>27</v>
      </c>
      <c r="N973" s="4">
        <v>12</v>
      </c>
      <c r="O973" s="4">
        <v>12</v>
      </c>
      <c r="P973" s="4" t="s">
        <v>173</v>
      </c>
      <c r="Q973" s="4">
        <v>12</v>
      </c>
      <c r="R973" s="4" t="s">
        <v>173</v>
      </c>
    </row>
    <row r="974" spans="1:18" x14ac:dyDescent="0.35">
      <c r="A974" s="4" t="s">
        <v>3885</v>
      </c>
      <c r="B974" s="4" t="s">
        <v>4080</v>
      </c>
      <c r="C974" s="4" t="s">
        <v>1711</v>
      </c>
      <c r="D974" s="4" t="s">
        <v>3886</v>
      </c>
      <c r="E974" s="4" t="s">
        <v>52</v>
      </c>
      <c r="F974" s="4" t="s">
        <v>33</v>
      </c>
      <c r="G974" s="4" t="s">
        <v>46</v>
      </c>
      <c r="H974" s="4" t="s">
        <v>2231</v>
      </c>
      <c r="I974" s="5">
        <v>36039</v>
      </c>
      <c r="J974" s="4" t="s">
        <v>1713</v>
      </c>
      <c r="K974" s="4" t="s">
        <v>865</v>
      </c>
      <c r="L974" s="4">
        <v>1990</v>
      </c>
      <c r="M974" s="4" t="s">
        <v>27</v>
      </c>
      <c r="N974" s="4">
        <v>7.15</v>
      </c>
      <c r="O974" s="4">
        <v>7.15</v>
      </c>
      <c r="P974" s="4" t="s">
        <v>2234</v>
      </c>
      <c r="Q974" s="4">
        <v>7.15</v>
      </c>
      <c r="R974" s="4" t="s">
        <v>2235</v>
      </c>
    </row>
    <row r="975" spans="1:18" x14ac:dyDescent="0.35">
      <c r="A975" s="4" t="s">
        <v>3887</v>
      </c>
      <c r="B975" s="4" t="s">
        <v>4080</v>
      </c>
      <c r="C975" s="4" t="s">
        <v>1711</v>
      </c>
      <c r="D975" s="4" t="s">
        <v>3886</v>
      </c>
      <c r="E975" s="4" t="s">
        <v>54</v>
      </c>
      <c r="F975" s="4" t="s">
        <v>33</v>
      </c>
      <c r="G975" s="4" t="s">
        <v>46</v>
      </c>
      <c r="H975" s="4" t="s">
        <v>2231</v>
      </c>
      <c r="I975" s="5">
        <v>36039</v>
      </c>
      <c r="J975" s="4" t="s">
        <v>1713</v>
      </c>
      <c r="K975" s="4" t="s">
        <v>865</v>
      </c>
      <c r="L975" s="4">
        <v>1990</v>
      </c>
      <c r="M975" s="4" t="s">
        <v>27</v>
      </c>
      <c r="N975" s="4">
        <v>7.15</v>
      </c>
      <c r="O975" s="4">
        <v>7.15</v>
      </c>
      <c r="P975" s="4" t="s">
        <v>2234</v>
      </c>
      <c r="Q975" s="4">
        <v>7.15</v>
      </c>
      <c r="R975" s="4" t="s">
        <v>2235</v>
      </c>
    </row>
    <row r="976" spans="1:18" x14ac:dyDescent="0.35">
      <c r="A976" s="4" t="s">
        <v>1710</v>
      </c>
      <c r="B976" s="4" t="s">
        <v>4080</v>
      </c>
      <c r="C976" s="4" t="s">
        <v>1711</v>
      </c>
      <c r="D976" s="4" t="s">
        <v>3886</v>
      </c>
      <c r="E976" s="4" t="s">
        <v>1712</v>
      </c>
      <c r="F976" s="4" t="s">
        <v>33</v>
      </c>
      <c r="G976" s="4" t="s">
        <v>46</v>
      </c>
      <c r="H976" s="4" t="s">
        <v>2231</v>
      </c>
      <c r="I976" s="5">
        <v>36039</v>
      </c>
      <c r="J976" s="4" t="s">
        <v>1713</v>
      </c>
      <c r="K976" s="4" t="s">
        <v>865</v>
      </c>
      <c r="L976" s="4">
        <v>1990</v>
      </c>
      <c r="M976" s="4" t="s">
        <v>27</v>
      </c>
      <c r="N976" s="4">
        <v>13.5</v>
      </c>
      <c r="O976" s="4">
        <v>13.5</v>
      </c>
      <c r="P976" s="4" t="s">
        <v>2234</v>
      </c>
      <c r="Q976" s="4">
        <v>13.5</v>
      </c>
      <c r="R976" s="4" t="s">
        <v>2235</v>
      </c>
    </row>
    <row r="977" spans="1:18" x14ac:dyDescent="0.35">
      <c r="A977" s="4" t="s">
        <v>1566</v>
      </c>
      <c r="B977" s="4" t="s">
        <v>4080</v>
      </c>
      <c r="C977" s="4" t="s">
        <v>315</v>
      </c>
      <c r="D977" s="4" t="s">
        <v>2284</v>
      </c>
      <c r="E977" s="4" t="s">
        <v>1567</v>
      </c>
      <c r="F977" s="4" t="s">
        <v>33</v>
      </c>
      <c r="G977" s="4" t="s">
        <v>36</v>
      </c>
      <c r="H977" s="4" t="s">
        <v>2231</v>
      </c>
      <c r="I977" s="5">
        <v>36266</v>
      </c>
      <c r="J977" s="4" t="s">
        <v>1564</v>
      </c>
      <c r="K977" s="4" t="s">
        <v>865</v>
      </c>
      <c r="L977" s="4">
        <v>1962</v>
      </c>
      <c r="M977" s="4" t="s">
        <v>27</v>
      </c>
      <c r="N977" s="4">
        <v>17.5</v>
      </c>
      <c r="O977" s="4">
        <v>17.5</v>
      </c>
      <c r="P977" s="4" t="s">
        <v>2234</v>
      </c>
      <c r="Q977" s="4">
        <v>17.5</v>
      </c>
      <c r="R977" s="4" t="s">
        <v>2235</v>
      </c>
    </row>
    <row r="978" spans="1:18" x14ac:dyDescent="0.35">
      <c r="A978" s="4" t="s">
        <v>3888</v>
      </c>
      <c r="B978" s="4" t="s">
        <v>4080</v>
      </c>
      <c r="C978" s="4" t="s">
        <v>2328</v>
      </c>
      <c r="D978" s="4" t="s">
        <v>2329</v>
      </c>
      <c r="E978" s="4" t="s">
        <v>3889</v>
      </c>
      <c r="F978" s="4" t="s">
        <v>173</v>
      </c>
      <c r="G978" s="4" t="s">
        <v>409</v>
      </c>
      <c r="H978" s="4" t="s">
        <v>2231</v>
      </c>
      <c r="I978" s="5">
        <v>34123</v>
      </c>
      <c r="J978" s="4" t="s">
        <v>1644</v>
      </c>
      <c r="K978" s="4" t="s">
        <v>865</v>
      </c>
      <c r="L978" s="4">
        <v>2012</v>
      </c>
      <c r="M978" s="4" t="s">
        <v>27</v>
      </c>
      <c r="N978" s="4">
        <v>8</v>
      </c>
      <c r="O978" s="4">
        <v>8</v>
      </c>
      <c r="P978" s="4" t="s">
        <v>173</v>
      </c>
      <c r="Q978" s="4">
        <v>8</v>
      </c>
      <c r="R978" s="4" t="s">
        <v>173</v>
      </c>
    </row>
    <row r="979" spans="1:18" x14ac:dyDescent="0.35">
      <c r="A979" s="4" t="s">
        <v>1839</v>
      </c>
      <c r="B979" s="4" t="s">
        <v>4080</v>
      </c>
      <c r="C979" s="4" t="s">
        <v>2380</v>
      </c>
      <c r="D979" s="4" t="s">
        <v>2381</v>
      </c>
      <c r="E979" s="4" t="s">
        <v>1841</v>
      </c>
      <c r="F979" s="4" t="s">
        <v>173</v>
      </c>
      <c r="G979" s="4" t="s">
        <v>409</v>
      </c>
      <c r="H979" s="4" t="s">
        <v>2231</v>
      </c>
      <c r="I979" s="5">
        <v>24534</v>
      </c>
      <c r="J979" s="4" t="s">
        <v>1842</v>
      </c>
      <c r="K979" s="4" t="s">
        <v>276</v>
      </c>
      <c r="L979" s="4">
        <v>1979</v>
      </c>
      <c r="M979" s="4" t="s">
        <v>27</v>
      </c>
      <c r="N979" s="4">
        <v>12.52</v>
      </c>
      <c r="O979" s="4">
        <v>12.52</v>
      </c>
      <c r="P979" s="4" t="s">
        <v>173</v>
      </c>
      <c r="Q979" s="4">
        <v>12.52</v>
      </c>
      <c r="R979" s="4" t="s">
        <v>173</v>
      </c>
    </row>
    <row r="980" spans="1:18" x14ac:dyDescent="0.35">
      <c r="A980" s="4" t="s">
        <v>3890</v>
      </c>
      <c r="B980" s="4" t="s">
        <v>4080</v>
      </c>
      <c r="C980" s="4" t="s">
        <v>2359</v>
      </c>
      <c r="D980" s="4" t="s">
        <v>3891</v>
      </c>
      <c r="E980" s="4" t="s">
        <v>2227</v>
      </c>
      <c r="F980" s="4" t="s">
        <v>33</v>
      </c>
      <c r="G980" s="4" t="s">
        <v>36</v>
      </c>
      <c r="H980" s="4" t="s">
        <v>2231</v>
      </c>
      <c r="I980" s="5">
        <v>32657</v>
      </c>
      <c r="J980" s="4" t="s">
        <v>2361</v>
      </c>
      <c r="K980" s="4" t="s">
        <v>693</v>
      </c>
      <c r="L980" s="4">
        <v>1995</v>
      </c>
      <c r="M980" s="4" t="s">
        <v>27</v>
      </c>
      <c r="N980" s="4">
        <v>5.07</v>
      </c>
      <c r="O980" s="4">
        <v>5.07</v>
      </c>
      <c r="P980" s="4" t="s">
        <v>2234</v>
      </c>
      <c r="Q980" s="4">
        <v>5.07</v>
      </c>
      <c r="R980" s="4" t="s">
        <v>2235</v>
      </c>
    </row>
    <row r="981" spans="1:18" hidden="1" x14ac:dyDescent="0.35">
      <c r="A981" s="4" t="s">
        <v>3892</v>
      </c>
      <c r="B981" s="4" t="s">
        <v>4081</v>
      </c>
      <c r="C981" s="4" t="s">
        <v>1583</v>
      </c>
      <c r="D981" s="4" t="s">
        <v>1510</v>
      </c>
      <c r="E981" s="4" t="s">
        <v>2227</v>
      </c>
      <c r="F981" s="4" t="s">
        <v>33</v>
      </c>
      <c r="G981" s="4" t="s">
        <v>409</v>
      </c>
      <c r="H981" s="4" t="s">
        <v>2231</v>
      </c>
      <c r="I981" s="5">
        <v>93309</v>
      </c>
      <c r="J981" s="4" t="s">
        <v>1585</v>
      </c>
      <c r="K981" s="4" t="s">
        <v>701</v>
      </c>
      <c r="L981" s="4">
        <v>1990</v>
      </c>
      <c r="M981" s="4" t="s">
        <v>27</v>
      </c>
      <c r="N981" s="4">
        <v>2.7</v>
      </c>
      <c r="O981" s="4">
        <v>2.7</v>
      </c>
      <c r="P981" s="4" t="s">
        <v>2234</v>
      </c>
      <c r="Q981" s="4">
        <v>2.7</v>
      </c>
      <c r="R981" s="4" t="s">
        <v>2235</v>
      </c>
    </row>
    <row r="982" spans="1:18" x14ac:dyDescent="0.35">
      <c r="A982" s="4" t="s">
        <v>1871</v>
      </c>
      <c r="B982" s="4" t="s">
        <v>4080</v>
      </c>
      <c r="C982" s="4" t="s">
        <v>1861</v>
      </c>
      <c r="D982" s="4" t="s">
        <v>2372</v>
      </c>
      <c r="E982" s="4" t="s">
        <v>3893</v>
      </c>
      <c r="F982" s="4" t="s">
        <v>33</v>
      </c>
      <c r="G982" s="4" t="s">
        <v>46</v>
      </c>
      <c r="H982" s="4" t="s">
        <v>2231</v>
      </c>
      <c r="I982" s="5">
        <v>38440</v>
      </c>
      <c r="J982" s="4" t="s">
        <v>1863</v>
      </c>
      <c r="K982" s="4" t="s">
        <v>765</v>
      </c>
      <c r="L982" s="4">
        <v>2021</v>
      </c>
      <c r="M982" s="4" t="s">
        <v>27</v>
      </c>
      <c r="N982" s="4">
        <v>49.4</v>
      </c>
      <c r="O982" s="4">
        <v>49.4</v>
      </c>
      <c r="P982" s="4" t="s">
        <v>2234</v>
      </c>
      <c r="Q982" s="4">
        <v>49.4</v>
      </c>
      <c r="R982" s="4" t="s">
        <v>2235</v>
      </c>
    </row>
    <row r="983" spans="1:18" x14ac:dyDescent="0.35">
      <c r="A983" s="4" t="s">
        <v>1860</v>
      </c>
      <c r="B983" s="4" t="s">
        <v>4080</v>
      </c>
      <c r="C983" s="4" t="s">
        <v>1861</v>
      </c>
      <c r="D983" s="4" t="s">
        <v>2372</v>
      </c>
      <c r="E983" s="4" t="s">
        <v>3894</v>
      </c>
      <c r="F983" s="4" t="s">
        <v>33</v>
      </c>
      <c r="G983" s="4" t="s">
        <v>46</v>
      </c>
      <c r="H983" s="4" t="s">
        <v>2231</v>
      </c>
      <c r="I983" s="5">
        <v>38440</v>
      </c>
      <c r="J983" s="4" t="s">
        <v>1863</v>
      </c>
      <c r="K983" s="4" t="s">
        <v>765</v>
      </c>
      <c r="L983" s="4">
        <v>2021</v>
      </c>
      <c r="M983" s="4" t="s">
        <v>27</v>
      </c>
      <c r="N983" s="4">
        <v>36.200000000000003</v>
      </c>
      <c r="O983" s="4">
        <v>36.200000000000003</v>
      </c>
      <c r="P983" s="4" t="s">
        <v>2234</v>
      </c>
      <c r="Q983" s="4">
        <v>36.200000000000003</v>
      </c>
      <c r="R983" s="4" t="s">
        <v>2235</v>
      </c>
    </row>
    <row r="984" spans="1:18" hidden="1" x14ac:dyDescent="0.35">
      <c r="A984" s="4" t="s">
        <v>749</v>
      </c>
      <c r="B984" s="4" t="s">
        <v>4081</v>
      </c>
      <c r="C984" s="4" t="s">
        <v>733</v>
      </c>
      <c r="D984" s="4" t="s">
        <v>3895</v>
      </c>
      <c r="E984" s="4" t="s">
        <v>3896</v>
      </c>
      <c r="F984" s="4" t="s">
        <v>33</v>
      </c>
      <c r="G984" s="4" t="s">
        <v>46</v>
      </c>
      <c r="H984" s="4" t="s">
        <v>2231</v>
      </c>
      <c r="I984" s="5">
        <v>67056</v>
      </c>
      <c r="J984" s="4" t="s">
        <v>735</v>
      </c>
      <c r="K984" s="4" t="s">
        <v>712</v>
      </c>
      <c r="L984" s="4">
        <v>1997</v>
      </c>
      <c r="M984" s="4" t="s">
        <v>27</v>
      </c>
      <c r="N984" s="4">
        <v>173</v>
      </c>
      <c r="O984" s="4">
        <v>173</v>
      </c>
      <c r="P984" s="4" t="s">
        <v>2234</v>
      </c>
      <c r="Q984" s="4">
        <v>173</v>
      </c>
      <c r="R984" s="4" t="s">
        <v>2235</v>
      </c>
    </row>
    <row r="985" spans="1:18" hidden="1" x14ac:dyDescent="0.35">
      <c r="A985" s="4" t="s">
        <v>747</v>
      </c>
      <c r="B985" s="4" t="s">
        <v>4081</v>
      </c>
      <c r="C985" s="4" t="s">
        <v>733</v>
      </c>
      <c r="D985" s="4" t="s">
        <v>3895</v>
      </c>
      <c r="E985" s="4" t="s">
        <v>3896</v>
      </c>
      <c r="F985" s="4" t="s">
        <v>33</v>
      </c>
      <c r="G985" s="4" t="s">
        <v>46</v>
      </c>
      <c r="H985" s="4" t="s">
        <v>2231</v>
      </c>
      <c r="I985" s="5">
        <v>67056</v>
      </c>
      <c r="J985" s="4" t="s">
        <v>735</v>
      </c>
      <c r="K985" s="4" t="s">
        <v>712</v>
      </c>
      <c r="L985" s="4">
        <v>1997</v>
      </c>
      <c r="M985" s="4" t="s">
        <v>27</v>
      </c>
      <c r="N985" s="4">
        <v>165.5</v>
      </c>
      <c r="O985" s="4">
        <v>165.5</v>
      </c>
      <c r="P985" s="4" t="s">
        <v>2234</v>
      </c>
      <c r="Q985" s="4">
        <v>165.5</v>
      </c>
      <c r="R985" s="4" t="s">
        <v>2235</v>
      </c>
    </row>
    <row r="986" spans="1:18" hidden="1" x14ac:dyDescent="0.35">
      <c r="A986" s="4" t="s">
        <v>743</v>
      </c>
      <c r="B986" s="4" t="s">
        <v>4081</v>
      </c>
      <c r="C986" s="4" t="s">
        <v>733</v>
      </c>
      <c r="D986" s="4" t="s">
        <v>3895</v>
      </c>
      <c r="E986" s="4" t="s">
        <v>3896</v>
      </c>
      <c r="F986" s="4" t="s">
        <v>33</v>
      </c>
      <c r="G986" s="4" t="s">
        <v>46</v>
      </c>
      <c r="H986" s="4" t="s">
        <v>2231</v>
      </c>
      <c r="I986" s="5">
        <v>67056</v>
      </c>
      <c r="J986" s="4" t="s">
        <v>735</v>
      </c>
      <c r="K986" s="4" t="s">
        <v>712</v>
      </c>
      <c r="L986" s="4">
        <v>1997</v>
      </c>
      <c r="M986" s="4" t="s">
        <v>27</v>
      </c>
      <c r="N986" s="4">
        <v>71.5</v>
      </c>
      <c r="O986" s="4">
        <v>71.5</v>
      </c>
      <c r="P986" s="4" t="s">
        <v>2234</v>
      </c>
      <c r="Q986" s="4">
        <v>71.5</v>
      </c>
      <c r="R986" s="4" t="s">
        <v>2235</v>
      </c>
    </row>
    <row r="987" spans="1:18" hidden="1" x14ac:dyDescent="0.35">
      <c r="A987" s="4" t="s">
        <v>3897</v>
      </c>
      <c r="B987" s="4" t="s">
        <v>4081</v>
      </c>
      <c r="C987" s="4" t="s">
        <v>2581</v>
      </c>
      <c r="D987" s="4" t="s">
        <v>3850</v>
      </c>
      <c r="E987" s="4" t="s">
        <v>3430</v>
      </c>
      <c r="F987" s="4" t="s">
        <v>33</v>
      </c>
      <c r="G987" s="4" t="s">
        <v>137</v>
      </c>
      <c r="H987" s="4" t="s">
        <v>2231</v>
      </c>
      <c r="I987" s="5">
        <v>84030</v>
      </c>
      <c r="J987" s="4" t="s">
        <v>2583</v>
      </c>
      <c r="K987" s="4" t="s">
        <v>701</v>
      </c>
      <c r="L987" s="4">
        <v>2018</v>
      </c>
      <c r="M987" s="4" t="s">
        <v>27</v>
      </c>
      <c r="N987" s="4">
        <v>4.3</v>
      </c>
      <c r="O987" s="4">
        <v>4.3</v>
      </c>
      <c r="P987" s="4" t="s">
        <v>2234</v>
      </c>
      <c r="Q987" s="4">
        <v>4.3</v>
      </c>
      <c r="R987" s="4" t="s">
        <v>2235</v>
      </c>
    </row>
    <row r="988" spans="1:18" hidden="1" x14ac:dyDescent="0.35">
      <c r="A988" s="4" t="s">
        <v>3898</v>
      </c>
      <c r="B988" s="4" t="s">
        <v>4081</v>
      </c>
      <c r="C988" s="4" t="s">
        <v>2228</v>
      </c>
      <c r="D988" s="4" t="s">
        <v>3760</v>
      </c>
      <c r="E988" s="4" t="s">
        <v>2485</v>
      </c>
      <c r="F988" s="4" t="s">
        <v>33</v>
      </c>
      <c r="G988" s="4" t="s">
        <v>137</v>
      </c>
      <c r="H988" s="4" t="s">
        <v>2231</v>
      </c>
      <c r="I988" s="5">
        <v>70327</v>
      </c>
      <c r="J988" s="4" t="s">
        <v>2044</v>
      </c>
      <c r="K988" s="4" t="s">
        <v>2232</v>
      </c>
      <c r="L988" s="4">
        <v>2018</v>
      </c>
      <c r="M988" s="4" t="s">
        <v>27</v>
      </c>
      <c r="N988" s="4">
        <v>9.6999999999999993</v>
      </c>
      <c r="O988" s="4">
        <v>9.6999999999999993</v>
      </c>
      <c r="P988" s="4" t="s">
        <v>2234</v>
      </c>
      <c r="Q988" s="4">
        <v>9.6999999999999993</v>
      </c>
      <c r="R988" s="4" t="s">
        <v>2235</v>
      </c>
    </row>
    <row r="989" spans="1:18" hidden="1" x14ac:dyDescent="0.35">
      <c r="A989" s="4" t="s">
        <v>745</v>
      </c>
      <c r="B989" s="4" t="s">
        <v>4081</v>
      </c>
      <c r="C989" s="4" t="s">
        <v>733</v>
      </c>
      <c r="D989" s="4" t="s">
        <v>3899</v>
      </c>
      <c r="E989" s="4" t="s">
        <v>3900</v>
      </c>
      <c r="F989" s="4" t="s">
        <v>33</v>
      </c>
      <c r="G989" s="4" t="s">
        <v>46</v>
      </c>
      <c r="H989" s="4" t="s">
        <v>2231</v>
      </c>
      <c r="I989" s="5">
        <v>67056</v>
      </c>
      <c r="J989" s="4" t="s">
        <v>735</v>
      </c>
      <c r="K989" s="4" t="s">
        <v>712</v>
      </c>
      <c r="L989" s="4">
        <v>2005</v>
      </c>
      <c r="M989" s="4" t="s">
        <v>27</v>
      </c>
      <c r="N989" s="4">
        <v>89.5</v>
      </c>
      <c r="O989" s="4">
        <v>89.5</v>
      </c>
      <c r="P989" s="4" t="s">
        <v>2234</v>
      </c>
      <c r="Q989" s="4">
        <v>89.5</v>
      </c>
      <c r="R989" s="4" t="s">
        <v>2235</v>
      </c>
    </row>
    <row r="990" spans="1:18" hidden="1" x14ac:dyDescent="0.35">
      <c r="A990" s="4" t="s">
        <v>751</v>
      </c>
      <c r="B990" s="4" t="s">
        <v>4081</v>
      </c>
      <c r="C990" s="4" t="s">
        <v>733</v>
      </c>
      <c r="D990" s="4" t="s">
        <v>3899</v>
      </c>
      <c r="E990" s="4" t="s">
        <v>3900</v>
      </c>
      <c r="F990" s="4" t="s">
        <v>33</v>
      </c>
      <c r="G990" s="4" t="s">
        <v>46</v>
      </c>
      <c r="H990" s="4" t="s">
        <v>2231</v>
      </c>
      <c r="I990" s="5">
        <v>67056</v>
      </c>
      <c r="J990" s="4" t="s">
        <v>735</v>
      </c>
      <c r="K990" s="4" t="s">
        <v>712</v>
      </c>
      <c r="L990" s="4">
        <v>2005</v>
      </c>
      <c r="M990" s="4" t="s">
        <v>27</v>
      </c>
      <c r="N990" s="4">
        <v>204</v>
      </c>
      <c r="O990" s="4">
        <v>204</v>
      </c>
      <c r="P990" s="4" t="s">
        <v>2234</v>
      </c>
      <c r="Q990" s="4">
        <v>204</v>
      </c>
      <c r="R990" s="4" t="s">
        <v>2235</v>
      </c>
    </row>
    <row r="991" spans="1:18" hidden="1" x14ac:dyDescent="0.35">
      <c r="A991" s="4" t="s">
        <v>753</v>
      </c>
      <c r="B991" s="4" t="s">
        <v>4081</v>
      </c>
      <c r="C991" s="4" t="s">
        <v>733</v>
      </c>
      <c r="D991" s="4" t="s">
        <v>3899</v>
      </c>
      <c r="E991" s="4" t="s">
        <v>3900</v>
      </c>
      <c r="F991" s="4" t="s">
        <v>33</v>
      </c>
      <c r="G991" s="4" t="s">
        <v>46</v>
      </c>
      <c r="H991" s="4" t="s">
        <v>2231</v>
      </c>
      <c r="I991" s="5">
        <v>67056</v>
      </c>
      <c r="J991" s="4" t="s">
        <v>735</v>
      </c>
      <c r="K991" s="4" t="s">
        <v>712</v>
      </c>
      <c r="L991" s="4">
        <v>2005</v>
      </c>
      <c r="M991" s="4" t="s">
        <v>27</v>
      </c>
      <c r="N991" s="4">
        <v>204</v>
      </c>
      <c r="O991" s="4">
        <v>204</v>
      </c>
      <c r="P991" s="4" t="s">
        <v>2234</v>
      </c>
      <c r="Q991" s="4">
        <v>204</v>
      </c>
      <c r="R991" s="4" t="s">
        <v>2235</v>
      </c>
    </row>
    <row r="992" spans="1:18" hidden="1" x14ac:dyDescent="0.35">
      <c r="A992" s="4" t="s">
        <v>2227</v>
      </c>
      <c r="B992" s="4" t="s">
        <v>4081</v>
      </c>
      <c r="C992" s="4" t="s">
        <v>3901</v>
      </c>
      <c r="D992" s="4" t="s">
        <v>3902</v>
      </c>
      <c r="E992" s="4" t="s">
        <v>1584</v>
      </c>
      <c r="F992" s="4" t="s">
        <v>173</v>
      </c>
      <c r="G992" s="4" t="s">
        <v>409</v>
      </c>
      <c r="H992" s="4" t="s">
        <v>2231</v>
      </c>
      <c r="I992" s="5">
        <v>67063</v>
      </c>
      <c r="J992" s="4" t="s">
        <v>735</v>
      </c>
      <c r="K992" s="4" t="s">
        <v>712</v>
      </c>
      <c r="L992" s="4">
        <v>2018</v>
      </c>
      <c r="M992" s="4" t="s">
        <v>27</v>
      </c>
      <c r="N992" s="4">
        <v>6</v>
      </c>
      <c r="O992" s="4">
        <v>6</v>
      </c>
      <c r="P992" s="4" t="s">
        <v>173</v>
      </c>
      <c r="Q992" s="4">
        <v>6</v>
      </c>
      <c r="R992" s="4" t="s">
        <v>173</v>
      </c>
    </row>
    <row r="993" spans="1:18" x14ac:dyDescent="0.35">
      <c r="A993" s="4" t="s">
        <v>1679</v>
      </c>
      <c r="B993" s="4" t="s">
        <v>4080</v>
      </c>
      <c r="C993" s="4" t="s">
        <v>3846</v>
      </c>
      <c r="D993" s="4" t="s">
        <v>3847</v>
      </c>
      <c r="E993" s="4" t="s">
        <v>1094</v>
      </c>
      <c r="F993" s="4" t="s">
        <v>33</v>
      </c>
      <c r="G993" s="4" t="s">
        <v>409</v>
      </c>
      <c r="H993" s="4" t="s">
        <v>2231</v>
      </c>
      <c r="I993" s="5">
        <v>31171</v>
      </c>
      <c r="J993" s="4" t="s">
        <v>1677</v>
      </c>
      <c r="K993" s="4" t="s">
        <v>765</v>
      </c>
      <c r="L993" s="4">
        <v>1993</v>
      </c>
      <c r="M993" s="4" t="s">
        <v>27</v>
      </c>
      <c r="N993" s="4">
        <v>13</v>
      </c>
      <c r="O993" s="4">
        <v>13</v>
      </c>
      <c r="P993" s="4" t="s">
        <v>2234</v>
      </c>
      <c r="Q993" s="4">
        <v>13</v>
      </c>
      <c r="R993" s="4" t="s">
        <v>2235</v>
      </c>
    </row>
    <row r="994" spans="1:18" hidden="1" x14ac:dyDescent="0.35">
      <c r="A994" s="4" t="s">
        <v>3903</v>
      </c>
      <c r="B994" s="4" t="s">
        <v>4081</v>
      </c>
      <c r="C994" s="4" t="s">
        <v>2228</v>
      </c>
      <c r="D994" s="4" t="s">
        <v>3904</v>
      </c>
      <c r="E994" s="4" t="s">
        <v>2600</v>
      </c>
      <c r="F994" s="4" t="s">
        <v>2255</v>
      </c>
      <c r="G994" s="4" t="s">
        <v>2535</v>
      </c>
      <c r="H994" s="4" t="s">
        <v>2249</v>
      </c>
      <c r="I994" s="5">
        <v>76596</v>
      </c>
      <c r="J994" s="4" t="s">
        <v>3905</v>
      </c>
      <c r="K994" s="4" t="s">
        <v>2232</v>
      </c>
      <c r="L994" s="4">
        <v>1918</v>
      </c>
      <c r="M994" s="4" t="s">
        <v>27</v>
      </c>
      <c r="N994" s="4">
        <v>4.4000000000000004</v>
      </c>
      <c r="O994" s="4">
        <v>4.4000000000000004</v>
      </c>
      <c r="P994" s="4" t="s">
        <v>2255</v>
      </c>
      <c r="Q994" s="4">
        <v>4.4000000000000004</v>
      </c>
      <c r="R994" s="4" t="s">
        <v>2255</v>
      </c>
    </row>
    <row r="995" spans="1:18" hidden="1" x14ac:dyDescent="0.35">
      <c r="A995" s="4" t="s">
        <v>3906</v>
      </c>
      <c r="B995" s="4" t="s">
        <v>4081</v>
      </c>
      <c r="C995" s="4" t="s">
        <v>2228</v>
      </c>
      <c r="D995" s="4" t="s">
        <v>3904</v>
      </c>
      <c r="E995" s="4" t="s">
        <v>2602</v>
      </c>
      <c r="F995" s="4" t="s">
        <v>2255</v>
      </c>
      <c r="G995" s="4" t="s">
        <v>2535</v>
      </c>
      <c r="H995" s="4" t="s">
        <v>2249</v>
      </c>
      <c r="I995" s="5">
        <v>76596</v>
      </c>
      <c r="J995" s="4" t="s">
        <v>3905</v>
      </c>
      <c r="K995" s="4" t="s">
        <v>2232</v>
      </c>
      <c r="L995" s="4">
        <v>1918</v>
      </c>
      <c r="M995" s="4" t="s">
        <v>27</v>
      </c>
      <c r="N995" s="4">
        <v>4.4000000000000004</v>
      </c>
      <c r="O995" s="4">
        <v>4.4000000000000004</v>
      </c>
      <c r="P995" s="4" t="s">
        <v>2255</v>
      </c>
      <c r="Q995" s="4">
        <v>4.4000000000000004</v>
      </c>
      <c r="R995" s="4" t="s">
        <v>2255</v>
      </c>
    </row>
    <row r="996" spans="1:18" hidden="1" x14ac:dyDescent="0.35">
      <c r="A996" s="4" t="s">
        <v>3907</v>
      </c>
      <c r="B996" s="4" t="s">
        <v>4081</v>
      </c>
      <c r="C996" s="4" t="s">
        <v>2228</v>
      </c>
      <c r="D996" s="4" t="s">
        <v>3904</v>
      </c>
      <c r="E996" s="4" t="s">
        <v>2604</v>
      </c>
      <c r="F996" s="4" t="s">
        <v>2255</v>
      </c>
      <c r="G996" s="4" t="s">
        <v>2535</v>
      </c>
      <c r="H996" s="4" t="s">
        <v>2249</v>
      </c>
      <c r="I996" s="5">
        <v>76596</v>
      </c>
      <c r="J996" s="4" t="s">
        <v>3905</v>
      </c>
      <c r="K996" s="4" t="s">
        <v>2232</v>
      </c>
      <c r="L996" s="4">
        <v>1918</v>
      </c>
      <c r="M996" s="4" t="s">
        <v>27</v>
      </c>
      <c r="N996" s="4">
        <v>4.4000000000000004</v>
      </c>
      <c r="O996" s="4">
        <v>4.4000000000000004</v>
      </c>
      <c r="P996" s="4" t="s">
        <v>2255</v>
      </c>
      <c r="Q996" s="4">
        <v>4.4000000000000004</v>
      </c>
      <c r="R996" s="4" t="s">
        <v>2255</v>
      </c>
    </row>
    <row r="997" spans="1:18" hidden="1" x14ac:dyDescent="0.35">
      <c r="A997" s="4" t="s">
        <v>3908</v>
      </c>
      <c r="B997" s="4" t="s">
        <v>4081</v>
      </c>
      <c r="C997" s="4" t="s">
        <v>2228</v>
      </c>
      <c r="D997" s="4" t="s">
        <v>3904</v>
      </c>
      <c r="E997" s="4" t="s">
        <v>2606</v>
      </c>
      <c r="F997" s="4" t="s">
        <v>2255</v>
      </c>
      <c r="G997" s="4" t="s">
        <v>2535</v>
      </c>
      <c r="H997" s="4" t="s">
        <v>2249</v>
      </c>
      <c r="I997" s="5">
        <v>76596</v>
      </c>
      <c r="J997" s="4" t="s">
        <v>3905</v>
      </c>
      <c r="K997" s="4" t="s">
        <v>2232</v>
      </c>
      <c r="L997" s="4">
        <v>1918</v>
      </c>
      <c r="M997" s="4" t="s">
        <v>27</v>
      </c>
      <c r="N997" s="4">
        <v>4.4000000000000004</v>
      </c>
      <c r="O997" s="4">
        <v>4.4000000000000004</v>
      </c>
      <c r="P997" s="4" t="s">
        <v>2255</v>
      </c>
      <c r="Q997" s="4">
        <v>4.4000000000000004</v>
      </c>
      <c r="R997" s="4" t="s">
        <v>2255</v>
      </c>
    </row>
    <row r="998" spans="1:18" hidden="1" x14ac:dyDescent="0.35">
      <c r="A998" s="4" t="s">
        <v>3909</v>
      </c>
      <c r="B998" s="4" t="s">
        <v>4081</v>
      </c>
      <c r="C998" s="4" t="s">
        <v>2228</v>
      </c>
      <c r="D998" s="4" t="s">
        <v>3904</v>
      </c>
      <c r="E998" s="4" t="s">
        <v>2519</v>
      </c>
      <c r="F998" s="4" t="s">
        <v>2255</v>
      </c>
      <c r="G998" s="4" t="s">
        <v>2535</v>
      </c>
      <c r="H998" s="4" t="s">
        <v>2249</v>
      </c>
      <c r="I998" s="5">
        <v>76596</v>
      </c>
      <c r="J998" s="4" t="s">
        <v>3905</v>
      </c>
      <c r="K998" s="4" t="s">
        <v>2232</v>
      </c>
      <c r="L998" s="4">
        <v>1918</v>
      </c>
      <c r="M998" s="4" t="s">
        <v>27</v>
      </c>
      <c r="N998" s="4">
        <v>4.4000000000000004</v>
      </c>
      <c r="O998" s="4">
        <v>4.4000000000000004</v>
      </c>
      <c r="P998" s="4" t="s">
        <v>2255</v>
      </c>
      <c r="Q998" s="4">
        <v>4.4000000000000004</v>
      </c>
      <c r="R998" s="4" t="s">
        <v>2255</v>
      </c>
    </row>
    <row r="999" spans="1:18" hidden="1" x14ac:dyDescent="0.35">
      <c r="A999" s="4" t="s">
        <v>3910</v>
      </c>
      <c r="B999" s="4" t="s">
        <v>4081</v>
      </c>
      <c r="C999" s="4" t="s">
        <v>2228</v>
      </c>
      <c r="D999" s="4" t="s">
        <v>3911</v>
      </c>
      <c r="E999" s="4" t="s">
        <v>3912</v>
      </c>
      <c r="F999" s="4" t="s">
        <v>2255</v>
      </c>
      <c r="G999" s="4" t="s">
        <v>2535</v>
      </c>
      <c r="H999" s="4" t="s">
        <v>2249</v>
      </c>
      <c r="I999" s="5">
        <v>76596</v>
      </c>
      <c r="J999" s="4" t="s">
        <v>2643</v>
      </c>
      <c r="K999" s="4" t="s">
        <v>2232</v>
      </c>
      <c r="L999" s="4">
        <v>1926</v>
      </c>
      <c r="M999" s="4" t="s">
        <v>27</v>
      </c>
      <c r="N999" s="4">
        <v>17.5</v>
      </c>
      <c r="O999" s="4">
        <v>17.5</v>
      </c>
      <c r="P999" s="4" t="s">
        <v>2255</v>
      </c>
      <c r="Q999" s="4">
        <v>17.5</v>
      </c>
      <c r="R999" s="4" t="s">
        <v>2255</v>
      </c>
    </row>
    <row r="1000" spans="1:18" hidden="1" x14ac:dyDescent="0.35">
      <c r="A1000" s="4" t="s">
        <v>3913</v>
      </c>
      <c r="B1000" s="4" t="s">
        <v>4081</v>
      </c>
      <c r="C1000" s="4" t="s">
        <v>3901</v>
      </c>
      <c r="D1000" s="4" t="s">
        <v>3902</v>
      </c>
      <c r="E1000" s="4" t="s">
        <v>311</v>
      </c>
      <c r="F1000" s="4" t="s">
        <v>33</v>
      </c>
      <c r="G1000" s="4" t="s">
        <v>46</v>
      </c>
      <c r="H1000" s="4" t="s">
        <v>2231</v>
      </c>
      <c r="I1000" s="5">
        <v>67063</v>
      </c>
      <c r="J1000" s="4" t="s">
        <v>735</v>
      </c>
      <c r="K1000" s="4" t="s">
        <v>712</v>
      </c>
      <c r="L1000" s="4">
        <v>1995</v>
      </c>
      <c r="M1000" s="4" t="s">
        <v>27</v>
      </c>
      <c r="N1000" s="4">
        <v>4.3899999999999997</v>
      </c>
      <c r="O1000" s="4">
        <v>4.3899999999999997</v>
      </c>
      <c r="P1000" s="4" t="s">
        <v>2234</v>
      </c>
      <c r="Q1000" s="4">
        <v>4.3899999999999997</v>
      </c>
      <c r="R1000" s="4" t="s">
        <v>2235</v>
      </c>
    </row>
    <row r="1001" spans="1:18" hidden="1" x14ac:dyDescent="0.35">
      <c r="A1001" s="4" t="s">
        <v>1234</v>
      </c>
      <c r="B1001" s="4" t="s">
        <v>4081</v>
      </c>
      <c r="C1001" s="4" t="s">
        <v>3901</v>
      </c>
      <c r="D1001" s="4" t="s">
        <v>3902</v>
      </c>
      <c r="E1001" s="4" t="s">
        <v>40</v>
      </c>
      <c r="F1001" s="4" t="s">
        <v>33</v>
      </c>
      <c r="G1001" s="4" t="s">
        <v>46</v>
      </c>
      <c r="H1001" s="4" t="s">
        <v>2231</v>
      </c>
      <c r="I1001" s="5">
        <v>67063</v>
      </c>
      <c r="J1001" s="4" t="s">
        <v>735</v>
      </c>
      <c r="K1001" s="4" t="s">
        <v>712</v>
      </c>
      <c r="L1001" s="4">
        <v>1989</v>
      </c>
      <c r="M1001" s="4" t="s">
        <v>27</v>
      </c>
      <c r="N1001" s="4">
        <v>12.07</v>
      </c>
      <c r="O1001" s="4">
        <v>12.07</v>
      </c>
      <c r="P1001" s="4" t="s">
        <v>2234</v>
      </c>
      <c r="Q1001" s="4">
        <v>12.07</v>
      </c>
      <c r="R1001" s="4" t="s">
        <v>2235</v>
      </c>
    </row>
    <row r="1002" spans="1:18" hidden="1" x14ac:dyDescent="0.35">
      <c r="A1002" s="4" t="s">
        <v>3914</v>
      </c>
      <c r="B1002" s="4" t="s">
        <v>4081</v>
      </c>
      <c r="C1002" s="4" t="s">
        <v>3901</v>
      </c>
      <c r="D1002" s="4" t="s">
        <v>3902</v>
      </c>
      <c r="E1002" s="4" t="s">
        <v>3915</v>
      </c>
      <c r="F1002" s="4" t="s">
        <v>33</v>
      </c>
      <c r="G1002" s="4" t="s">
        <v>46</v>
      </c>
      <c r="H1002" s="4" t="s">
        <v>2231</v>
      </c>
      <c r="I1002" s="5">
        <v>67063</v>
      </c>
      <c r="J1002" s="4" t="s">
        <v>735</v>
      </c>
      <c r="K1002" s="4" t="s">
        <v>712</v>
      </c>
      <c r="L1002" s="4">
        <v>2018</v>
      </c>
      <c r="M1002" s="4" t="s">
        <v>27</v>
      </c>
      <c r="N1002" s="4">
        <v>5.49</v>
      </c>
      <c r="O1002" s="4">
        <v>5.49</v>
      </c>
      <c r="P1002" s="4" t="s">
        <v>2234</v>
      </c>
      <c r="Q1002" s="4">
        <v>5.49</v>
      </c>
      <c r="R1002" s="4" t="s">
        <v>2235</v>
      </c>
    </row>
    <row r="1003" spans="1:18" hidden="1" x14ac:dyDescent="0.35">
      <c r="A1003" s="4" t="s">
        <v>3916</v>
      </c>
      <c r="B1003" s="4" t="s">
        <v>4081</v>
      </c>
      <c r="C1003" s="4" t="s">
        <v>3901</v>
      </c>
      <c r="D1003" s="4" t="s">
        <v>3902</v>
      </c>
      <c r="E1003" s="4" t="s">
        <v>3917</v>
      </c>
      <c r="F1003" s="4" t="s">
        <v>33</v>
      </c>
      <c r="G1003" s="4" t="s">
        <v>46</v>
      </c>
      <c r="H1003" s="4" t="s">
        <v>2231</v>
      </c>
      <c r="I1003" s="5">
        <v>67063</v>
      </c>
      <c r="J1003" s="4" t="s">
        <v>735</v>
      </c>
      <c r="K1003" s="4" t="s">
        <v>712</v>
      </c>
      <c r="L1003" s="4">
        <v>2005</v>
      </c>
      <c r="M1003" s="4" t="s">
        <v>27</v>
      </c>
      <c r="N1003" s="4">
        <v>9.14</v>
      </c>
      <c r="O1003" s="4">
        <v>9.14</v>
      </c>
      <c r="P1003" s="4" t="s">
        <v>2234</v>
      </c>
      <c r="Q1003" s="4">
        <v>9.14</v>
      </c>
      <c r="R1003" s="4" t="s">
        <v>2235</v>
      </c>
    </row>
    <row r="1004" spans="1:18" hidden="1" x14ac:dyDescent="0.35">
      <c r="A1004" s="4" t="s">
        <v>3918</v>
      </c>
      <c r="B1004" s="4" t="s">
        <v>4081</v>
      </c>
      <c r="C1004" s="4" t="s">
        <v>2757</v>
      </c>
      <c r="D1004" s="4" t="s">
        <v>3919</v>
      </c>
      <c r="E1004" s="4" t="s">
        <v>46</v>
      </c>
      <c r="F1004" s="4" t="s">
        <v>33</v>
      </c>
      <c r="G1004" s="4" t="s">
        <v>409</v>
      </c>
      <c r="H1004" s="4" t="s">
        <v>2231</v>
      </c>
      <c r="I1004" s="5">
        <v>67065</v>
      </c>
      <c r="J1004" s="4" t="s">
        <v>735</v>
      </c>
      <c r="K1004" s="4" t="s">
        <v>712</v>
      </c>
      <c r="L1004" s="4">
        <v>2003</v>
      </c>
      <c r="M1004" s="4" t="s">
        <v>27</v>
      </c>
      <c r="N1004" s="4">
        <v>4.25</v>
      </c>
      <c r="O1004" s="4">
        <v>4.25</v>
      </c>
      <c r="P1004" s="4" t="s">
        <v>2234</v>
      </c>
      <c r="Q1004" s="4">
        <v>4.25</v>
      </c>
      <c r="R1004" s="4" t="s">
        <v>2235</v>
      </c>
    </row>
    <row r="1005" spans="1:18" hidden="1" x14ac:dyDescent="0.35">
      <c r="A1005" s="4" t="s">
        <v>3920</v>
      </c>
      <c r="B1005" s="4" t="s">
        <v>4081</v>
      </c>
      <c r="C1005" s="4" t="s">
        <v>2757</v>
      </c>
      <c r="D1005" s="4" t="s">
        <v>3921</v>
      </c>
      <c r="E1005" s="4" t="s">
        <v>3922</v>
      </c>
      <c r="F1005" s="4" t="s">
        <v>33</v>
      </c>
      <c r="G1005" s="4" t="s">
        <v>409</v>
      </c>
      <c r="H1005" s="4" t="s">
        <v>2231</v>
      </c>
      <c r="I1005" s="5">
        <v>67065</v>
      </c>
      <c r="J1005" s="4" t="s">
        <v>735</v>
      </c>
      <c r="K1005" s="4" t="s">
        <v>712</v>
      </c>
      <c r="L1005" s="4">
        <v>2003</v>
      </c>
      <c r="M1005" s="4" t="s">
        <v>27</v>
      </c>
      <c r="N1005" s="4">
        <v>3.2</v>
      </c>
      <c r="O1005" s="4">
        <v>3.2</v>
      </c>
      <c r="P1005" s="4" t="s">
        <v>2234</v>
      </c>
      <c r="Q1005" s="4">
        <v>3.2</v>
      </c>
      <c r="R1005" s="4" t="s">
        <v>2235</v>
      </c>
    </row>
    <row r="1006" spans="1:18" hidden="1" x14ac:dyDescent="0.35">
      <c r="A1006" s="4" t="s">
        <v>1225</v>
      </c>
      <c r="B1006" s="4" t="s">
        <v>4081</v>
      </c>
      <c r="C1006" s="4" t="s">
        <v>3923</v>
      </c>
      <c r="D1006" s="4" t="s">
        <v>3924</v>
      </c>
      <c r="E1006" s="4" t="s">
        <v>2227</v>
      </c>
      <c r="F1006" s="4" t="s">
        <v>33</v>
      </c>
      <c r="G1006" s="4" t="s">
        <v>409</v>
      </c>
      <c r="H1006" s="4" t="s">
        <v>2231</v>
      </c>
      <c r="I1006" s="5">
        <v>67283</v>
      </c>
      <c r="J1006" s="4" t="s">
        <v>1227</v>
      </c>
      <c r="K1006" s="4" t="s">
        <v>712</v>
      </c>
      <c r="L1006" s="4">
        <v>1992</v>
      </c>
      <c r="M1006" s="4" t="s">
        <v>27</v>
      </c>
      <c r="N1006" s="4">
        <v>12.09</v>
      </c>
      <c r="O1006" s="4">
        <v>12.09</v>
      </c>
      <c r="P1006" s="4" t="s">
        <v>2234</v>
      </c>
      <c r="Q1006" s="4">
        <v>12.09</v>
      </c>
      <c r="R1006" s="4" t="s">
        <v>2235</v>
      </c>
    </row>
    <row r="1007" spans="1:18" hidden="1" x14ac:dyDescent="0.35">
      <c r="A1007" s="4" t="s">
        <v>3925</v>
      </c>
      <c r="B1007" s="4" t="s">
        <v>4081</v>
      </c>
      <c r="C1007" s="4" t="s">
        <v>3926</v>
      </c>
      <c r="D1007" s="4" t="s">
        <v>3927</v>
      </c>
      <c r="E1007" s="4" t="s">
        <v>36</v>
      </c>
      <c r="F1007" s="4" t="s">
        <v>33</v>
      </c>
      <c r="G1007" s="4" t="s">
        <v>36</v>
      </c>
      <c r="H1007" s="4" t="s">
        <v>2231</v>
      </c>
      <c r="I1007" s="5">
        <v>67283</v>
      </c>
      <c r="J1007" s="4" t="s">
        <v>1227</v>
      </c>
      <c r="K1007" s="4" t="s">
        <v>712</v>
      </c>
      <c r="L1007" s="4">
        <v>1993</v>
      </c>
      <c r="M1007" s="4" t="s">
        <v>27</v>
      </c>
      <c r="N1007" s="4">
        <v>4.9400000000000004</v>
      </c>
      <c r="O1007" s="4">
        <v>4.9400000000000004</v>
      </c>
      <c r="P1007" s="4" t="s">
        <v>2234</v>
      </c>
      <c r="Q1007" s="4">
        <v>4.9400000000000004</v>
      </c>
      <c r="R1007" s="4" t="s">
        <v>2235</v>
      </c>
    </row>
    <row r="1008" spans="1:18" hidden="1" x14ac:dyDescent="0.35">
      <c r="A1008" s="4" t="s">
        <v>3928</v>
      </c>
      <c r="B1008" s="4" t="s">
        <v>4081</v>
      </c>
      <c r="C1008" s="4" t="s">
        <v>3929</v>
      </c>
      <c r="D1008" s="4" t="s">
        <v>704</v>
      </c>
      <c r="E1008" s="4" t="s">
        <v>704</v>
      </c>
      <c r="F1008" s="4" t="s">
        <v>33</v>
      </c>
      <c r="G1008" s="4" t="s">
        <v>409</v>
      </c>
      <c r="H1008" s="4" t="s">
        <v>2231</v>
      </c>
      <c r="I1008" s="5">
        <v>67468</v>
      </c>
      <c r="J1008" s="4" t="s">
        <v>3930</v>
      </c>
      <c r="K1008" s="4" t="s">
        <v>712</v>
      </c>
      <c r="L1008" s="4">
        <v>1955</v>
      </c>
      <c r="M1008" s="4" t="s">
        <v>27</v>
      </c>
      <c r="N1008" s="4">
        <v>4.2</v>
      </c>
      <c r="O1008" s="4">
        <v>4.2</v>
      </c>
      <c r="P1008" s="4" t="s">
        <v>2234</v>
      </c>
      <c r="Q1008" s="4">
        <v>4.2</v>
      </c>
      <c r="R1008" s="4" t="s">
        <v>2235</v>
      </c>
    </row>
    <row r="1009" spans="1:18" hidden="1" x14ac:dyDescent="0.35">
      <c r="A1009" s="4" t="s">
        <v>3931</v>
      </c>
      <c r="B1009" s="4" t="s">
        <v>4081</v>
      </c>
      <c r="C1009" s="4" t="s">
        <v>3929</v>
      </c>
      <c r="D1009" s="4" t="s">
        <v>1510</v>
      </c>
      <c r="E1009" s="4" t="s">
        <v>1510</v>
      </c>
      <c r="F1009" s="4" t="s">
        <v>33</v>
      </c>
      <c r="G1009" s="4" t="s">
        <v>409</v>
      </c>
      <c r="H1009" s="4" t="s">
        <v>2231</v>
      </c>
      <c r="I1009" s="5">
        <v>67468</v>
      </c>
      <c r="J1009" s="4" t="s">
        <v>3930</v>
      </c>
      <c r="K1009" s="4" t="s">
        <v>712</v>
      </c>
      <c r="L1009" s="4">
        <v>1955</v>
      </c>
      <c r="M1009" s="4" t="s">
        <v>27</v>
      </c>
      <c r="N1009" s="4">
        <v>6.9</v>
      </c>
      <c r="O1009" s="4">
        <v>6.9</v>
      </c>
      <c r="P1009" s="4" t="s">
        <v>2234</v>
      </c>
      <c r="Q1009" s="4">
        <v>6.9</v>
      </c>
      <c r="R1009" s="4" t="s">
        <v>2235</v>
      </c>
    </row>
    <row r="1010" spans="1:18" hidden="1" x14ac:dyDescent="0.35">
      <c r="A1010" s="4" t="s">
        <v>3932</v>
      </c>
      <c r="B1010" s="4" t="s">
        <v>4081</v>
      </c>
      <c r="C1010" s="4" t="s">
        <v>1093</v>
      </c>
      <c r="D1010" s="4" t="s">
        <v>3933</v>
      </c>
      <c r="E1010" s="4" t="s">
        <v>3934</v>
      </c>
      <c r="F1010" s="4" t="s">
        <v>33</v>
      </c>
      <c r="G1010" s="4" t="s">
        <v>409</v>
      </c>
      <c r="H1010" s="4" t="s">
        <v>2231</v>
      </c>
      <c r="I1010" s="5">
        <v>67547</v>
      </c>
      <c r="J1010" s="4" t="s">
        <v>1095</v>
      </c>
      <c r="K1010" s="4" t="s">
        <v>712</v>
      </c>
      <c r="L1010" s="4">
        <v>2011</v>
      </c>
      <c r="M1010" s="4" t="s">
        <v>27</v>
      </c>
      <c r="N1010" s="4">
        <v>6.9</v>
      </c>
      <c r="O1010" s="4">
        <v>6.9</v>
      </c>
      <c r="P1010" s="4" t="s">
        <v>2234</v>
      </c>
      <c r="Q1010" s="4">
        <v>6.9</v>
      </c>
      <c r="R1010" s="4" t="s">
        <v>2235</v>
      </c>
    </row>
    <row r="1011" spans="1:18" hidden="1" x14ac:dyDescent="0.35">
      <c r="A1011" s="4" t="s">
        <v>1092</v>
      </c>
      <c r="B1011" s="4" t="s">
        <v>4081</v>
      </c>
      <c r="C1011" s="4" t="s">
        <v>1093</v>
      </c>
      <c r="D1011" s="4" t="s">
        <v>1094</v>
      </c>
      <c r="E1011" s="4" t="s">
        <v>2996</v>
      </c>
      <c r="F1011" s="4" t="s">
        <v>33</v>
      </c>
      <c r="G1011" s="4" t="s">
        <v>409</v>
      </c>
      <c r="H1011" s="4" t="s">
        <v>2231</v>
      </c>
      <c r="I1011" s="5">
        <v>67547</v>
      </c>
      <c r="J1011" s="4" t="s">
        <v>1095</v>
      </c>
      <c r="K1011" s="4" t="s">
        <v>712</v>
      </c>
      <c r="L1011" s="4">
        <v>1990</v>
      </c>
      <c r="M1011" s="4" t="s">
        <v>27</v>
      </c>
      <c r="N1011" s="4">
        <v>11.9</v>
      </c>
      <c r="O1011" s="4">
        <v>11.9</v>
      </c>
      <c r="P1011" s="4" t="s">
        <v>2234</v>
      </c>
      <c r="Q1011" s="4">
        <v>11.9</v>
      </c>
      <c r="R1011" s="4" t="s">
        <v>2235</v>
      </c>
    </row>
    <row r="1012" spans="1:18" hidden="1" x14ac:dyDescent="0.35">
      <c r="A1012" s="4" t="s">
        <v>3935</v>
      </c>
      <c r="B1012" s="4" t="s">
        <v>4081</v>
      </c>
      <c r="C1012" s="4" t="s">
        <v>3936</v>
      </c>
      <c r="D1012" s="4" t="s">
        <v>3937</v>
      </c>
      <c r="E1012" s="4" t="s">
        <v>54</v>
      </c>
      <c r="F1012" s="4" t="s">
        <v>33</v>
      </c>
      <c r="G1012" s="4" t="s">
        <v>36</v>
      </c>
      <c r="H1012" s="4" t="s">
        <v>2231</v>
      </c>
      <c r="I1012" s="5">
        <v>67547</v>
      </c>
      <c r="J1012" s="4" t="s">
        <v>1095</v>
      </c>
      <c r="K1012" s="4" t="s">
        <v>712</v>
      </c>
      <c r="L1012" s="4">
        <v>1991</v>
      </c>
      <c r="M1012" s="4" t="s">
        <v>27</v>
      </c>
      <c r="N1012" s="4">
        <v>6.41</v>
      </c>
      <c r="O1012" s="4">
        <v>6.41</v>
      </c>
      <c r="P1012" s="4" t="s">
        <v>2234</v>
      </c>
      <c r="Q1012" s="4">
        <v>6.41</v>
      </c>
      <c r="R1012" s="4" t="s">
        <v>2235</v>
      </c>
    </row>
    <row r="1013" spans="1:18" hidden="1" x14ac:dyDescent="0.35">
      <c r="A1013" s="4" t="s">
        <v>3938</v>
      </c>
      <c r="B1013" s="4" t="s">
        <v>4081</v>
      </c>
      <c r="C1013" s="4" t="s">
        <v>3936</v>
      </c>
      <c r="D1013" s="4" t="s">
        <v>3937</v>
      </c>
      <c r="E1013" s="4" t="s">
        <v>52</v>
      </c>
      <c r="F1013" s="4" t="s">
        <v>33</v>
      </c>
      <c r="G1013" s="4" t="s">
        <v>36</v>
      </c>
      <c r="H1013" s="4" t="s">
        <v>2231</v>
      </c>
      <c r="I1013" s="5">
        <v>67547</v>
      </c>
      <c r="J1013" s="4" t="s">
        <v>1095</v>
      </c>
      <c r="K1013" s="4" t="s">
        <v>712</v>
      </c>
      <c r="L1013" s="4">
        <v>1991</v>
      </c>
      <c r="M1013" s="4" t="s">
        <v>27</v>
      </c>
      <c r="N1013" s="4">
        <v>6.41</v>
      </c>
      <c r="O1013" s="4">
        <v>6.41</v>
      </c>
      <c r="P1013" s="4" t="s">
        <v>2234</v>
      </c>
      <c r="Q1013" s="4">
        <v>6.41</v>
      </c>
      <c r="R1013" s="4" t="s">
        <v>2235</v>
      </c>
    </row>
    <row r="1014" spans="1:18" hidden="1" x14ac:dyDescent="0.35">
      <c r="A1014" s="4" t="s">
        <v>2227</v>
      </c>
      <c r="B1014" s="4" t="s">
        <v>4081</v>
      </c>
      <c r="C1014" s="4" t="s">
        <v>1230</v>
      </c>
      <c r="D1014" s="4" t="s">
        <v>3939</v>
      </c>
      <c r="E1014" s="4" t="s">
        <v>2227</v>
      </c>
      <c r="F1014" s="4" t="s">
        <v>33</v>
      </c>
      <c r="G1014" s="4" t="s">
        <v>409</v>
      </c>
      <c r="H1014" s="4" t="s">
        <v>2231</v>
      </c>
      <c r="I1014" s="5">
        <v>67655</v>
      </c>
      <c r="J1014" s="4" t="s">
        <v>1232</v>
      </c>
      <c r="K1014" s="4" t="s">
        <v>712</v>
      </c>
      <c r="L1014" s="4">
        <v>2022</v>
      </c>
      <c r="M1014" s="4" t="s">
        <v>2233</v>
      </c>
      <c r="N1014" s="4">
        <v>32</v>
      </c>
      <c r="O1014" s="4">
        <v>32</v>
      </c>
      <c r="P1014" s="4" t="s">
        <v>2234</v>
      </c>
      <c r="Q1014" s="4">
        <v>32</v>
      </c>
      <c r="R1014" s="4" t="s">
        <v>2235</v>
      </c>
    </row>
    <row r="1015" spans="1:18" hidden="1" x14ac:dyDescent="0.35">
      <c r="A1015" s="4" t="s">
        <v>1229</v>
      </c>
      <c r="B1015" s="4" t="s">
        <v>4081</v>
      </c>
      <c r="C1015" s="4" t="s">
        <v>3940</v>
      </c>
      <c r="D1015" s="4" t="s">
        <v>3941</v>
      </c>
      <c r="E1015" s="4">
        <v>10</v>
      </c>
      <c r="F1015" s="4" t="s">
        <v>33</v>
      </c>
      <c r="G1015" s="4" t="s">
        <v>409</v>
      </c>
      <c r="H1015" s="4" t="s">
        <v>2231</v>
      </c>
      <c r="I1015" s="5">
        <v>67655</v>
      </c>
      <c r="J1015" s="4" t="s">
        <v>1232</v>
      </c>
      <c r="K1015" s="4" t="s">
        <v>712</v>
      </c>
      <c r="L1015" s="4">
        <v>1989</v>
      </c>
      <c r="M1015" s="4" t="s">
        <v>27</v>
      </c>
      <c r="N1015" s="4">
        <v>59.8</v>
      </c>
      <c r="O1015" s="4">
        <v>59.8</v>
      </c>
      <c r="P1015" s="4" t="s">
        <v>2234</v>
      </c>
      <c r="Q1015" s="4">
        <v>59.8</v>
      </c>
      <c r="R1015" s="4" t="s">
        <v>2235</v>
      </c>
    </row>
    <row r="1016" spans="1:18" hidden="1" x14ac:dyDescent="0.35">
      <c r="A1016" s="4" t="s">
        <v>3942</v>
      </c>
      <c r="B1016" s="4" t="s">
        <v>4081</v>
      </c>
      <c r="C1016" s="4" t="s">
        <v>3158</v>
      </c>
      <c r="D1016" s="4" t="s">
        <v>2831</v>
      </c>
      <c r="E1016" s="4">
        <v>1</v>
      </c>
      <c r="F1016" s="4" t="s">
        <v>33</v>
      </c>
      <c r="G1016" s="4" t="s">
        <v>36</v>
      </c>
      <c r="H1016" s="4" t="s">
        <v>2231</v>
      </c>
      <c r="I1016" s="5">
        <v>76742</v>
      </c>
      <c r="J1016" s="4" t="s">
        <v>1061</v>
      </c>
      <c r="K1016" s="4" t="s">
        <v>712</v>
      </c>
      <c r="L1016" s="4">
        <v>2013</v>
      </c>
      <c r="M1016" s="4" t="s">
        <v>27</v>
      </c>
      <c r="N1016" s="4">
        <v>4.4400000000000004</v>
      </c>
      <c r="O1016" s="4">
        <v>4.4400000000000004</v>
      </c>
      <c r="P1016" s="4" t="s">
        <v>2234</v>
      </c>
      <c r="Q1016" s="4">
        <v>4.4400000000000004</v>
      </c>
      <c r="R1016" s="4" t="s">
        <v>2235</v>
      </c>
    </row>
    <row r="1017" spans="1:18" hidden="1" x14ac:dyDescent="0.35">
      <c r="A1017" s="4" t="s">
        <v>3943</v>
      </c>
      <c r="B1017" s="4" t="s">
        <v>4081</v>
      </c>
      <c r="C1017" s="4" t="s">
        <v>3158</v>
      </c>
      <c r="D1017" s="4" t="s">
        <v>2831</v>
      </c>
      <c r="E1017" s="4">
        <v>2</v>
      </c>
      <c r="F1017" s="4" t="s">
        <v>33</v>
      </c>
      <c r="G1017" s="4" t="s">
        <v>36</v>
      </c>
      <c r="H1017" s="4" t="s">
        <v>2231</v>
      </c>
      <c r="I1017" s="5">
        <v>76742</v>
      </c>
      <c r="J1017" s="4" t="s">
        <v>1061</v>
      </c>
      <c r="K1017" s="4" t="s">
        <v>712</v>
      </c>
      <c r="L1017" s="4">
        <v>2013</v>
      </c>
      <c r="M1017" s="4" t="s">
        <v>27</v>
      </c>
      <c r="N1017" s="4">
        <v>4.4400000000000004</v>
      </c>
      <c r="O1017" s="4">
        <v>4.4400000000000004</v>
      </c>
      <c r="P1017" s="4" t="s">
        <v>2234</v>
      </c>
      <c r="Q1017" s="4">
        <v>4.4400000000000004</v>
      </c>
      <c r="R1017" s="4" t="s">
        <v>2235</v>
      </c>
    </row>
    <row r="1018" spans="1:18" hidden="1" x14ac:dyDescent="0.35">
      <c r="A1018" s="4" t="s">
        <v>3944</v>
      </c>
      <c r="B1018" s="4" t="s">
        <v>4081</v>
      </c>
      <c r="C1018" s="4" t="s">
        <v>3158</v>
      </c>
      <c r="D1018" s="4" t="s">
        <v>2831</v>
      </c>
      <c r="E1018" s="4">
        <v>3</v>
      </c>
      <c r="F1018" s="4" t="s">
        <v>33</v>
      </c>
      <c r="G1018" s="4" t="s">
        <v>36</v>
      </c>
      <c r="H1018" s="4" t="s">
        <v>2231</v>
      </c>
      <c r="I1018" s="5">
        <v>76742</v>
      </c>
      <c r="J1018" s="4" t="s">
        <v>1061</v>
      </c>
      <c r="K1018" s="4" t="s">
        <v>712</v>
      </c>
      <c r="L1018" s="4">
        <v>2013</v>
      </c>
      <c r="M1018" s="4" t="s">
        <v>27</v>
      </c>
      <c r="N1018" s="4">
        <v>4.4400000000000004</v>
      </c>
      <c r="O1018" s="4">
        <v>4.4400000000000004</v>
      </c>
      <c r="P1018" s="4" t="s">
        <v>2234</v>
      </c>
      <c r="Q1018" s="4">
        <v>4.4400000000000004</v>
      </c>
      <c r="R1018" s="4" t="s">
        <v>2235</v>
      </c>
    </row>
    <row r="1019" spans="1:18" hidden="1" x14ac:dyDescent="0.35">
      <c r="A1019" s="4" t="s">
        <v>1058</v>
      </c>
      <c r="B1019" s="4" t="s">
        <v>4081</v>
      </c>
      <c r="C1019" s="4" t="s">
        <v>1059</v>
      </c>
      <c r="D1019" s="4" t="s">
        <v>3945</v>
      </c>
      <c r="E1019" s="4" t="s">
        <v>2227</v>
      </c>
      <c r="F1019" s="4" t="s">
        <v>33</v>
      </c>
      <c r="G1019" s="4" t="s">
        <v>46</v>
      </c>
      <c r="H1019" s="4" t="s">
        <v>2231</v>
      </c>
      <c r="I1019" s="5">
        <v>76744</v>
      </c>
      <c r="J1019" s="4" t="s">
        <v>1061</v>
      </c>
      <c r="K1019" s="4" t="s">
        <v>712</v>
      </c>
      <c r="L1019" s="4">
        <v>2023</v>
      </c>
      <c r="M1019" s="4" t="s">
        <v>27</v>
      </c>
      <c r="N1019" s="4">
        <v>90.78</v>
      </c>
      <c r="O1019" s="4">
        <v>90.78</v>
      </c>
      <c r="P1019" s="4" t="s">
        <v>2234</v>
      </c>
      <c r="Q1019" s="4">
        <v>90.78</v>
      </c>
      <c r="R1019" s="4" t="s">
        <v>2235</v>
      </c>
    </row>
    <row r="1020" spans="1:18" hidden="1" x14ac:dyDescent="0.35">
      <c r="A1020" s="4" t="s">
        <v>3946</v>
      </c>
      <c r="B1020" s="4" t="s">
        <v>4081</v>
      </c>
      <c r="C1020" s="4" t="s">
        <v>3947</v>
      </c>
      <c r="D1020" s="4" t="s">
        <v>3948</v>
      </c>
      <c r="E1020" s="4" t="s">
        <v>3452</v>
      </c>
      <c r="F1020" s="4" t="s">
        <v>33</v>
      </c>
      <c r="G1020" s="4" t="s">
        <v>36</v>
      </c>
      <c r="H1020" s="4" t="s">
        <v>2231</v>
      </c>
      <c r="I1020" s="5">
        <v>76855</v>
      </c>
      <c r="J1020" s="4" t="s">
        <v>774</v>
      </c>
      <c r="K1020" s="4" t="s">
        <v>712</v>
      </c>
      <c r="L1020" s="4">
        <v>1975</v>
      </c>
      <c r="M1020" s="4" t="s">
        <v>27</v>
      </c>
      <c r="N1020" s="4">
        <v>19.78</v>
      </c>
      <c r="O1020" s="4">
        <v>19.78</v>
      </c>
      <c r="P1020" s="4" t="s">
        <v>2234</v>
      </c>
      <c r="Q1020" s="4">
        <v>19.78</v>
      </c>
      <c r="R1020" s="4" t="s">
        <v>2235</v>
      </c>
    </row>
    <row r="1021" spans="1:18" hidden="1" x14ac:dyDescent="0.35">
      <c r="A1021" s="4" t="s">
        <v>3949</v>
      </c>
      <c r="B1021" s="4" t="s">
        <v>4081</v>
      </c>
      <c r="C1021" s="4" t="s">
        <v>3947</v>
      </c>
      <c r="D1021" s="4" t="s">
        <v>3948</v>
      </c>
      <c r="E1021" s="4" t="s">
        <v>3950</v>
      </c>
      <c r="F1021" s="4" t="s">
        <v>33</v>
      </c>
      <c r="G1021" s="4" t="s">
        <v>36</v>
      </c>
      <c r="H1021" s="4" t="s">
        <v>2231</v>
      </c>
      <c r="I1021" s="5">
        <v>76855</v>
      </c>
      <c r="J1021" s="4" t="s">
        <v>774</v>
      </c>
      <c r="K1021" s="4" t="s">
        <v>712</v>
      </c>
      <c r="L1021" s="4">
        <v>1975</v>
      </c>
      <c r="M1021" s="4" t="s">
        <v>27</v>
      </c>
      <c r="N1021" s="4">
        <v>3.24</v>
      </c>
      <c r="O1021" s="4">
        <v>3.24</v>
      </c>
      <c r="P1021" s="4" t="s">
        <v>2234</v>
      </c>
      <c r="Q1021" s="4">
        <v>3.24</v>
      </c>
      <c r="R1021" s="4" t="s">
        <v>2235</v>
      </c>
    </row>
    <row r="1022" spans="1:18" hidden="1" x14ac:dyDescent="0.35">
      <c r="A1022" s="4" t="s">
        <v>3951</v>
      </c>
      <c r="B1022" s="4" t="s">
        <v>4081</v>
      </c>
      <c r="C1022" s="4" t="s">
        <v>2635</v>
      </c>
      <c r="D1022" s="4" t="s">
        <v>2636</v>
      </c>
      <c r="E1022" s="4" t="s">
        <v>3952</v>
      </c>
      <c r="F1022" s="4" t="s">
        <v>2255</v>
      </c>
      <c r="G1022" s="4" t="s">
        <v>2256</v>
      </c>
      <c r="H1022" s="4" t="s">
        <v>2249</v>
      </c>
      <c r="I1022" s="5">
        <v>79664</v>
      </c>
      <c r="J1022" s="4" t="s">
        <v>2636</v>
      </c>
      <c r="K1022" s="4" t="s">
        <v>2232</v>
      </c>
      <c r="L1022" s="4">
        <v>1975</v>
      </c>
      <c r="M1022" s="4" t="s">
        <v>27</v>
      </c>
      <c r="N1022" s="4">
        <v>228</v>
      </c>
      <c r="O1022" s="4">
        <v>228</v>
      </c>
      <c r="P1022" s="4" t="s">
        <v>2255</v>
      </c>
      <c r="Q1022" s="4">
        <v>228</v>
      </c>
      <c r="R1022" s="4" t="s">
        <v>2255</v>
      </c>
    </row>
    <row r="1023" spans="1:18" hidden="1" x14ac:dyDescent="0.35">
      <c r="A1023" s="4" t="s">
        <v>3953</v>
      </c>
      <c r="B1023" s="4" t="s">
        <v>4081</v>
      </c>
      <c r="C1023" s="4" t="s">
        <v>2635</v>
      </c>
      <c r="D1023" s="4" t="s">
        <v>2636</v>
      </c>
      <c r="E1023" s="4" t="s">
        <v>3954</v>
      </c>
      <c r="F1023" s="4" t="s">
        <v>2255</v>
      </c>
      <c r="G1023" s="4" t="s">
        <v>2256</v>
      </c>
      <c r="H1023" s="4" t="s">
        <v>2249</v>
      </c>
      <c r="I1023" s="5">
        <v>79664</v>
      </c>
      <c r="J1023" s="4" t="s">
        <v>2636</v>
      </c>
      <c r="K1023" s="4" t="s">
        <v>2232</v>
      </c>
      <c r="L1023" s="4">
        <v>1975</v>
      </c>
      <c r="M1023" s="4" t="s">
        <v>27</v>
      </c>
      <c r="N1023" s="4">
        <v>227</v>
      </c>
      <c r="O1023" s="4">
        <v>227</v>
      </c>
      <c r="P1023" s="4" t="s">
        <v>2255</v>
      </c>
      <c r="Q1023" s="4">
        <v>227</v>
      </c>
      <c r="R1023" s="4" t="s">
        <v>2255</v>
      </c>
    </row>
    <row r="1024" spans="1:18" hidden="1" x14ac:dyDescent="0.35">
      <c r="A1024" s="4" t="s">
        <v>2227</v>
      </c>
      <c r="B1024" s="4" t="s">
        <v>4081</v>
      </c>
      <c r="C1024" s="4" t="s">
        <v>2228</v>
      </c>
      <c r="D1024" s="4" t="s">
        <v>2699</v>
      </c>
      <c r="E1024" s="4" t="s">
        <v>3955</v>
      </c>
      <c r="F1024" s="4" t="s">
        <v>2255</v>
      </c>
      <c r="G1024" s="4" t="s">
        <v>2256</v>
      </c>
      <c r="H1024" s="4" t="s">
        <v>2249</v>
      </c>
      <c r="I1024" s="5" t="s">
        <v>2701</v>
      </c>
      <c r="J1024" s="4" t="s">
        <v>2702</v>
      </c>
      <c r="K1024" s="4" t="s">
        <v>2227</v>
      </c>
      <c r="L1024" s="4">
        <v>2037</v>
      </c>
      <c r="M1024" s="4" t="s">
        <v>2459</v>
      </c>
      <c r="N1024" s="4">
        <v>1050</v>
      </c>
      <c r="O1024" s="4">
        <v>1050</v>
      </c>
      <c r="P1024" s="4" t="s">
        <v>2255</v>
      </c>
      <c r="Q1024" s="4">
        <v>1050</v>
      </c>
      <c r="R1024" s="4" t="s">
        <v>2255</v>
      </c>
    </row>
    <row r="1025" spans="1:18" hidden="1" x14ac:dyDescent="0.35">
      <c r="A1025" s="4" t="s">
        <v>2197</v>
      </c>
      <c r="B1025" s="4" t="s">
        <v>4081</v>
      </c>
      <c r="C1025" s="4" t="s">
        <v>3956</v>
      </c>
      <c r="D1025" s="4" t="s">
        <v>2199</v>
      </c>
      <c r="E1025" s="4" t="s">
        <v>49</v>
      </c>
      <c r="F1025" s="4" t="s">
        <v>33</v>
      </c>
      <c r="G1025" s="4" t="s">
        <v>409</v>
      </c>
      <c r="H1025" s="4" t="s">
        <v>2231</v>
      </c>
      <c r="I1025" s="5">
        <v>79106</v>
      </c>
      <c r="J1025" s="4" t="s">
        <v>2015</v>
      </c>
      <c r="K1025" s="4" t="s">
        <v>2232</v>
      </c>
      <c r="L1025" s="4">
        <v>2012</v>
      </c>
      <c r="M1025" s="4" t="s">
        <v>27</v>
      </c>
      <c r="N1025" s="4">
        <v>12.8</v>
      </c>
      <c r="O1025" s="4">
        <v>12.8</v>
      </c>
      <c r="P1025" s="4" t="s">
        <v>2234</v>
      </c>
      <c r="Q1025" s="4">
        <v>12.8</v>
      </c>
      <c r="R1025" s="4" t="s">
        <v>2235</v>
      </c>
    </row>
    <row r="1026" spans="1:18" hidden="1" x14ac:dyDescent="0.35">
      <c r="A1026" s="4" t="s">
        <v>3957</v>
      </c>
      <c r="B1026" s="4" t="s">
        <v>4081</v>
      </c>
      <c r="C1026" s="4" t="s">
        <v>2635</v>
      </c>
      <c r="D1026" s="4" t="s">
        <v>2661</v>
      </c>
      <c r="E1026" s="4" t="s">
        <v>3958</v>
      </c>
      <c r="F1026" s="4" t="s">
        <v>2255</v>
      </c>
      <c r="G1026" s="4" t="s">
        <v>2256</v>
      </c>
      <c r="H1026" s="4" t="s">
        <v>2249</v>
      </c>
      <c r="I1026" s="5">
        <v>79713</v>
      </c>
      <c r="J1026" s="4" t="s">
        <v>2663</v>
      </c>
      <c r="K1026" s="4" t="s">
        <v>2232</v>
      </c>
      <c r="L1026" s="4">
        <v>1966</v>
      </c>
      <c r="M1026" s="4" t="s">
        <v>27</v>
      </c>
      <c r="N1026" s="4">
        <v>90</v>
      </c>
      <c r="O1026" s="4">
        <v>90</v>
      </c>
      <c r="P1026" s="4" t="s">
        <v>2255</v>
      </c>
      <c r="Q1026" s="4">
        <v>90</v>
      </c>
      <c r="R1026" s="4" t="s">
        <v>2255</v>
      </c>
    </row>
    <row r="1027" spans="1:18" hidden="1" x14ac:dyDescent="0.35">
      <c r="A1027" s="4" t="s">
        <v>3959</v>
      </c>
      <c r="B1027" s="4" t="s">
        <v>4081</v>
      </c>
      <c r="C1027" s="4" t="s">
        <v>2635</v>
      </c>
      <c r="D1027" s="4" t="s">
        <v>2661</v>
      </c>
      <c r="E1027" s="4" t="s">
        <v>3960</v>
      </c>
      <c r="F1027" s="4" t="s">
        <v>2255</v>
      </c>
      <c r="G1027" s="4" t="s">
        <v>2256</v>
      </c>
      <c r="H1027" s="4" t="s">
        <v>2249</v>
      </c>
      <c r="I1027" s="5">
        <v>79713</v>
      </c>
      <c r="J1027" s="4" t="s">
        <v>2663</v>
      </c>
      <c r="K1027" s="4" t="s">
        <v>2232</v>
      </c>
      <c r="L1027" s="4">
        <v>1966</v>
      </c>
      <c r="M1027" s="4" t="s">
        <v>27</v>
      </c>
      <c r="N1027" s="4">
        <v>90</v>
      </c>
      <c r="O1027" s="4">
        <v>90</v>
      </c>
      <c r="P1027" s="4" t="s">
        <v>2255</v>
      </c>
      <c r="Q1027" s="4">
        <v>90</v>
      </c>
      <c r="R1027" s="4" t="s">
        <v>2255</v>
      </c>
    </row>
    <row r="1028" spans="1:18" hidden="1" x14ac:dyDescent="0.35">
      <c r="A1028" s="4" t="s">
        <v>3961</v>
      </c>
      <c r="B1028" s="4" t="s">
        <v>4081</v>
      </c>
      <c r="C1028" s="4" t="s">
        <v>2635</v>
      </c>
      <c r="D1028" s="4" t="s">
        <v>2719</v>
      </c>
      <c r="E1028" s="4" t="s">
        <v>3962</v>
      </c>
      <c r="F1028" s="4" t="s">
        <v>2255</v>
      </c>
      <c r="G1028" s="4" t="s">
        <v>2256</v>
      </c>
      <c r="H1028" s="4" t="s">
        <v>2249</v>
      </c>
      <c r="I1028" s="5">
        <v>79761</v>
      </c>
      <c r="J1028" s="4" t="s">
        <v>2721</v>
      </c>
      <c r="K1028" s="4" t="s">
        <v>2232</v>
      </c>
      <c r="L1028" s="4">
        <v>1951</v>
      </c>
      <c r="M1028" s="4" t="s">
        <v>27</v>
      </c>
      <c r="N1028" s="4">
        <v>44</v>
      </c>
      <c r="O1028" s="4">
        <v>44</v>
      </c>
      <c r="P1028" s="4" t="s">
        <v>2255</v>
      </c>
      <c r="Q1028" s="4">
        <v>44</v>
      </c>
      <c r="R1028" s="4" t="s">
        <v>2255</v>
      </c>
    </row>
    <row r="1029" spans="1:18" hidden="1" x14ac:dyDescent="0.35">
      <c r="A1029" s="4" t="s">
        <v>3963</v>
      </c>
      <c r="B1029" s="4" t="s">
        <v>4081</v>
      </c>
      <c r="C1029" s="4" t="s">
        <v>2635</v>
      </c>
      <c r="D1029" s="4" t="s">
        <v>2719</v>
      </c>
      <c r="E1029" s="4" t="s">
        <v>3964</v>
      </c>
      <c r="F1029" s="4" t="s">
        <v>2255</v>
      </c>
      <c r="G1029" s="4" t="s">
        <v>2256</v>
      </c>
      <c r="H1029" s="4" t="s">
        <v>2249</v>
      </c>
      <c r="I1029" s="5">
        <v>79761</v>
      </c>
      <c r="J1029" s="4" t="s">
        <v>2721</v>
      </c>
      <c r="K1029" s="4" t="s">
        <v>2232</v>
      </c>
      <c r="L1029" s="4">
        <v>1951</v>
      </c>
      <c r="M1029" s="4" t="s">
        <v>27</v>
      </c>
      <c r="N1029" s="4">
        <v>44</v>
      </c>
      <c r="O1029" s="4">
        <v>44</v>
      </c>
      <c r="P1029" s="4" t="s">
        <v>2255</v>
      </c>
      <c r="Q1029" s="4">
        <v>44</v>
      </c>
      <c r="R1029" s="4" t="s">
        <v>2255</v>
      </c>
    </row>
    <row r="1030" spans="1:18" hidden="1" x14ac:dyDescent="0.35">
      <c r="A1030" s="4" t="s">
        <v>3965</v>
      </c>
      <c r="B1030" s="4" t="s">
        <v>4081</v>
      </c>
      <c r="C1030" s="4" t="s">
        <v>2635</v>
      </c>
      <c r="D1030" s="4" t="s">
        <v>2677</v>
      </c>
      <c r="E1030" s="4" t="s">
        <v>3966</v>
      </c>
      <c r="F1030" s="4" t="s">
        <v>2255</v>
      </c>
      <c r="G1030" s="4" t="s">
        <v>2256</v>
      </c>
      <c r="H1030" s="4" t="s">
        <v>2249</v>
      </c>
      <c r="I1030" s="5">
        <v>79777</v>
      </c>
      <c r="J1030" s="4" t="s">
        <v>2677</v>
      </c>
      <c r="K1030" s="4" t="s">
        <v>2232</v>
      </c>
      <c r="L1030" s="4">
        <v>1943</v>
      </c>
      <c r="M1030" s="4" t="s">
        <v>27</v>
      </c>
      <c r="N1030" s="4">
        <v>55</v>
      </c>
      <c r="O1030" s="4">
        <v>55</v>
      </c>
      <c r="P1030" s="4" t="s">
        <v>2255</v>
      </c>
      <c r="Q1030" s="4">
        <v>55</v>
      </c>
      <c r="R1030" s="4" t="s">
        <v>2255</v>
      </c>
    </row>
    <row r="1031" spans="1:18" hidden="1" x14ac:dyDescent="0.35">
      <c r="A1031" s="4" t="s">
        <v>3967</v>
      </c>
      <c r="B1031" s="4" t="s">
        <v>4081</v>
      </c>
      <c r="C1031" s="4" t="s">
        <v>2635</v>
      </c>
      <c r="D1031" s="4" t="s">
        <v>2677</v>
      </c>
      <c r="E1031" s="4" t="s">
        <v>3968</v>
      </c>
      <c r="F1031" s="4" t="s">
        <v>2255</v>
      </c>
      <c r="G1031" s="4" t="s">
        <v>2256</v>
      </c>
      <c r="H1031" s="4" t="s">
        <v>2249</v>
      </c>
      <c r="I1031" s="5">
        <v>79777</v>
      </c>
      <c r="J1031" s="4" t="s">
        <v>2677</v>
      </c>
      <c r="K1031" s="4" t="s">
        <v>2232</v>
      </c>
      <c r="L1031" s="4">
        <v>1943</v>
      </c>
      <c r="M1031" s="4" t="s">
        <v>27</v>
      </c>
      <c r="N1031" s="4">
        <v>55</v>
      </c>
      <c r="O1031" s="4">
        <v>55</v>
      </c>
      <c r="P1031" s="4" t="s">
        <v>2255</v>
      </c>
      <c r="Q1031" s="4">
        <v>55</v>
      </c>
      <c r="R1031" s="4" t="s">
        <v>2255</v>
      </c>
    </row>
    <row r="1032" spans="1:18" hidden="1" x14ac:dyDescent="0.35">
      <c r="A1032" s="4" t="s">
        <v>3969</v>
      </c>
      <c r="B1032" s="4" t="s">
        <v>4081</v>
      </c>
      <c r="C1032" s="4" t="s">
        <v>2635</v>
      </c>
      <c r="D1032" s="4" t="s">
        <v>2752</v>
      </c>
      <c r="E1032" s="4" t="s">
        <v>3970</v>
      </c>
      <c r="F1032" s="4" t="s">
        <v>2255</v>
      </c>
      <c r="G1032" s="4" t="s">
        <v>2256</v>
      </c>
      <c r="H1032" s="4" t="s">
        <v>2249</v>
      </c>
      <c r="I1032" s="5">
        <v>79837</v>
      </c>
      <c r="J1032" s="4" t="s">
        <v>2754</v>
      </c>
      <c r="K1032" s="4" t="s">
        <v>2232</v>
      </c>
      <c r="L1032" s="4">
        <v>1931</v>
      </c>
      <c r="M1032" s="4" t="s">
        <v>27</v>
      </c>
      <c r="N1032" s="4">
        <v>30</v>
      </c>
      <c r="O1032" s="4">
        <v>30</v>
      </c>
      <c r="P1032" s="4" t="s">
        <v>2255</v>
      </c>
      <c r="Q1032" s="4">
        <v>30</v>
      </c>
      <c r="R1032" s="4" t="s">
        <v>2255</v>
      </c>
    </row>
    <row r="1033" spans="1:18" hidden="1" x14ac:dyDescent="0.35">
      <c r="A1033" s="4" t="s">
        <v>3971</v>
      </c>
      <c r="B1033" s="4" t="s">
        <v>4081</v>
      </c>
      <c r="C1033" s="4" t="s">
        <v>2635</v>
      </c>
      <c r="D1033" s="4" t="s">
        <v>2752</v>
      </c>
      <c r="E1033" s="4" t="s">
        <v>3972</v>
      </c>
      <c r="F1033" s="4" t="s">
        <v>2255</v>
      </c>
      <c r="G1033" s="4" t="s">
        <v>2256</v>
      </c>
      <c r="H1033" s="4" t="s">
        <v>2249</v>
      </c>
      <c r="I1033" s="5">
        <v>79837</v>
      </c>
      <c r="J1033" s="4" t="s">
        <v>2754</v>
      </c>
      <c r="K1033" s="4" t="s">
        <v>2232</v>
      </c>
      <c r="L1033" s="4">
        <v>1931</v>
      </c>
      <c r="M1033" s="4" t="s">
        <v>27</v>
      </c>
      <c r="N1033" s="4">
        <v>30</v>
      </c>
      <c r="O1033" s="4">
        <v>30</v>
      </c>
      <c r="P1033" s="4" t="s">
        <v>2255</v>
      </c>
      <c r="Q1033" s="4">
        <v>30</v>
      </c>
      <c r="R1033" s="4" t="s">
        <v>2255</v>
      </c>
    </row>
    <row r="1034" spans="1:18" hidden="1" x14ac:dyDescent="0.35">
      <c r="A1034" s="4" t="s">
        <v>1170</v>
      </c>
      <c r="B1034" s="4" t="s">
        <v>4081</v>
      </c>
      <c r="C1034" s="4" t="s">
        <v>1171</v>
      </c>
      <c r="D1034" s="4" t="s">
        <v>3056</v>
      </c>
      <c r="E1034" s="4" t="s">
        <v>3973</v>
      </c>
      <c r="F1034" s="4" t="s">
        <v>33</v>
      </c>
      <c r="G1034" s="4" t="s">
        <v>409</v>
      </c>
      <c r="H1034" s="4" t="s">
        <v>2231</v>
      </c>
      <c r="I1034" s="5">
        <v>86152</v>
      </c>
      <c r="J1034" s="4" t="s">
        <v>3974</v>
      </c>
      <c r="K1034" s="4" t="s">
        <v>701</v>
      </c>
      <c r="L1034" s="4">
        <v>1976</v>
      </c>
      <c r="M1034" s="4" t="s">
        <v>27</v>
      </c>
      <c r="N1034" s="4">
        <v>20.399999999999999</v>
      </c>
      <c r="O1034" s="4">
        <v>20.399999999999999</v>
      </c>
      <c r="P1034" s="4" t="s">
        <v>2234</v>
      </c>
      <c r="Q1034" s="4">
        <v>20.399999999999999</v>
      </c>
      <c r="R1034" s="4" t="s">
        <v>2235</v>
      </c>
    </row>
    <row r="1035" spans="1:18" hidden="1" x14ac:dyDescent="0.35">
      <c r="A1035" s="4" t="s">
        <v>3975</v>
      </c>
      <c r="B1035" s="4" t="s">
        <v>4081</v>
      </c>
      <c r="C1035" s="4" t="s">
        <v>1028</v>
      </c>
      <c r="D1035" s="4" t="s">
        <v>3976</v>
      </c>
      <c r="E1035" s="4" t="s">
        <v>3976</v>
      </c>
      <c r="F1035" s="4" t="s">
        <v>33</v>
      </c>
      <c r="G1035" s="4" t="s">
        <v>137</v>
      </c>
      <c r="H1035" s="4" t="s">
        <v>2231</v>
      </c>
      <c r="I1035" s="5">
        <v>86153</v>
      </c>
      <c r="J1035" s="4" t="s">
        <v>1030</v>
      </c>
      <c r="K1035" s="4" t="s">
        <v>701</v>
      </c>
      <c r="L1035" s="4">
        <v>2005</v>
      </c>
      <c r="M1035" s="4" t="s">
        <v>27</v>
      </c>
      <c r="N1035" s="4">
        <v>5.2</v>
      </c>
      <c r="O1035" s="4">
        <v>5.2</v>
      </c>
      <c r="P1035" s="4" t="s">
        <v>2234</v>
      </c>
      <c r="Q1035" s="4">
        <v>5.2</v>
      </c>
      <c r="R1035" s="4" t="s">
        <v>2235</v>
      </c>
    </row>
    <row r="1036" spans="1:18" hidden="1" x14ac:dyDescent="0.35">
      <c r="A1036" s="4" t="s">
        <v>3977</v>
      </c>
      <c r="B1036" s="4" t="s">
        <v>4081</v>
      </c>
      <c r="C1036" s="4" t="s">
        <v>1028</v>
      </c>
      <c r="D1036" s="4" t="s">
        <v>3978</v>
      </c>
      <c r="E1036" s="4" t="s">
        <v>3978</v>
      </c>
      <c r="F1036" s="4" t="s">
        <v>33</v>
      </c>
      <c r="G1036" s="4" t="s">
        <v>137</v>
      </c>
      <c r="H1036" s="4" t="s">
        <v>2231</v>
      </c>
      <c r="I1036" s="5">
        <v>86153</v>
      </c>
      <c r="J1036" s="4" t="s">
        <v>1030</v>
      </c>
      <c r="K1036" s="4" t="s">
        <v>701</v>
      </c>
      <c r="L1036" s="4">
        <v>2013</v>
      </c>
      <c r="M1036" s="4" t="s">
        <v>27</v>
      </c>
      <c r="N1036" s="4">
        <v>1.8</v>
      </c>
      <c r="O1036" s="4">
        <v>1.8</v>
      </c>
      <c r="P1036" s="4" t="s">
        <v>2234</v>
      </c>
      <c r="Q1036" s="4">
        <v>1.8</v>
      </c>
      <c r="R1036" s="4" t="s">
        <v>2235</v>
      </c>
    </row>
    <row r="1037" spans="1:18" hidden="1" x14ac:dyDescent="0.35">
      <c r="A1037" s="4" t="s">
        <v>1027</v>
      </c>
      <c r="B1037" s="4" t="s">
        <v>4081</v>
      </c>
      <c r="C1037" s="4" t="s">
        <v>1028</v>
      </c>
      <c r="D1037" s="4" t="s">
        <v>3979</v>
      </c>
      <c r="E1037" s="4" t="s">
        <v>3979</v>
      </c>
      <c r="F1037" s="4" t="s">
        <v>33</v>
      </c>
      <c r="G1037" s="4" t="s">
        <v>137</v>
      </c>
      <c r="H1037" s="4" t="s">
        <v>2231</v>
      </c>
      <c r="I1037" s="5">
        <v>86153</v>
      </c>
      <c r="J1037" s="4" t="s">
        <v>1030</v>
      </c>
      <c r="K1037" s="4" t="s">
        <v>701</v>
      </c>
      <c r="L1037" s="4">
        <v>2009</v>
      </c>
      <c r="M1037" s="4" t="s">
        <v>27</v>
      </c>
      <c r="N1037" s="4">
        <v>13.8</v>
      </c>
      <c r="O1037" s="4">
        <v>13.8</v>
      </c>
      <c r="P1037" s="4" t="s">
        <v>2234</v>
      </c>
      <c r="Q1037" s="4">
        <v>13.8</v>
      </c>
      <c r="R1037" s="4" t="s">
        <v>2235</v>
      </c>
    </row>
    <row r="1038" spans="1:18" hidden="1" x14ac:dyDescent="0.35">
      <c r="A1038" s="4" t="s">
        <v>3980</v>
      </c>
      <c r="B1038" s="4" t="s">
        <v>4081</v>
      </c>
      <c r="C1038" s="4" t="s">
        <v>3981</v>
      </c>
      <c r="D1038" s="4" t="s">
        <v>3982</v>
      </c>
      <c r="E1038" s="4" t="s">
        <v>3982</v>
      </c>
      <c r="F1038" s="4" t="s">
        <v>33</v>
      </c>
      <c r="G1038" s="4" t="s">
        <v>137</v>
      </c>
      <c r="H1038" s="4" t="s">
        <v>2231</v>
      </c>
      <c r="I1038" s="5">
        <v>86165</v>
      </c>
      <c r="J1038" s="4" t="s">
        <v>1030</v>
      </c>
      <c r="K1038" s="4" t="s">
        <v>701</v>
      </c>
      <c r="L1038" s="4">
        <v>2004</v>
      </c>
      <c r="M1038" s="4" t="s">
        <v>27</v>
      </c>
      <c r="N1038" s="4">
        <v>3.2</v>
      </c>
      <c r="O1038" s="4">
        <v>3.2</v>
      </c>
      <c r="P1038" s="4" t="s">
        <v>2234</v>
      </c>
      <c r="Q1038" s="4">
        <v>3.2</v>
      </c>
      <c r="R1038" s="4" t="s">
        <v>2235</v>
      </c>
    </row>
    <row r="1039" spans="1:18" hidden="1" x14ac:dyDescent="0.35">
      <c r="A1039" s="4" t="s">
        <v>3983</v>
      </c>
      <c r="B1039" s="4" t="s">
        <v>4081</v>
      </c>
      <c r="C1039" s="4" t="s">
        <v>3981</v>
      </c>
      <c r="D1039" s="4" t="s">
        <v>3984</v>
      </c>
      <c r="E1039" s="4" t="s">
        <v>3984</v>
      </c>
      <c r="F1039" s="4" t="s">
        <v>33</v>
      </c>
      <c r="G1039" s="4" t="s">
        <v>137</v>
      </c>
      <c r="H1039" s="4" t="s">
        <v>2231</v>
      </c>
      <c r="I1039" s="5">
        <v>86165</v>
      </c>
      <c r="J1039" s="4" t="s">
        <v>1030</v>
      </c>
      <c r="K1039" s="4" t="s">
        <v>701</v>
      </c>
      <c r="L1039" s="4">
        <v>2004</v>
      </c>
      <c r="M1039" s="4" t="s">
        <v>27</v>
      </c>
      <c r="N1039" s="4">
        <v>3.2</v>
      </c>
      <c r="O1039" s="4">
        <v>3.2</v>
      </c>
      <c r="P1039" s="4" t="s">
        <v>2234</v>
      </c>
      <c r="Q1039" s="4">
        <v>3.2</v>
      </c>
      <c r="R1039" s="4" t="s">
        <v>2235</v>
      </c>
    </row>
    <row r="1040" spans="1:18" hidden="1" x14ac:dyDescent="0.35">
      <c r="A1040" s="4" t="s">
        <v>3985</v>
      </c>
      <c r="B1040" s="4" t="s">
        <v>4081</v>
      </c>
      <c r="C1040" s="4" t="s">
        <v>3981</v>
      </c>
      <c r="D1040" s="4" t="s">
        <v>3986</v>
      </c>
      <c r="E1040" s="4" t="s">
        <v>3986</v>
      </c>
      <c r="F1040" s="4" t="s">
        <v>33</v>
      </c>
      <c r="G1040" s="4" t="s">
        <v>137</v>
      </c>
      <c r="H1040" s="4" t="s">
        <v>2231</v>
      </c>
      <c r="I1040" s="5">
        <v>86165</v>
      </c>
      <c r="J1040" s="4" t="s">
        <v>1030</v>
      </c>
      <c r="K1040" s="4" t="s">
        <v>701</v>
      </c>
      <c r="L1040" s="4">
        <v>2004</v>
      </c>
      <c r="M1040" s="4" t="s">
        <v>27</v>
      </c>
      <c r="N1040" s="4">
        <v>3.2</v>
      </c>
      <c r="O1040" s="4">
        <v>3.2</v>
      </c>
      <c r="P1040" s="4" t="s">
        <v>2234</v>
      </c>
      <c r="Q1040" s="4">
        <v>3.2</v>
      </c>
      <c r="R1040" s="4" t="s">
        <v>2235</v>
      </c>
    </row>
    <row r="1041" spans="1:18" x14ac:dyDescent="0.35">
      <c r="A1041" s="4" t="s">
        <v>2227</v>
      </c>
      <c r="B1041" s="4" t="s">
        <v>4080</v>
      </c>
      <c r="C1041" s="4" t="s">
        <v>1612</v>
      </c>
      <c r="D1041" s="4" t="s">
        <v>2354</v>
      </c>
      <c r="E1041" s="4" t="s">
        <v>3987</v>
      </c>
      <c r="F1041" s="4" t="s">
        <v>33</v>
      </c>
      <c r="G1041" s="4" t="s">
        <v>36</v>
      </c>
      <c r="H1041" s="4" t="s">
        <v>2231</v>
      </c>
      <c r="I1041" s="5">
        <v>60627</v>
      </c>
      <c r="J1041" s="4" t="s">
        <v>2356</v>
      </c>
      <c r="K1041" s="4" t="s">
        <v>865</v>
      </c>
      <c r="L1041" s="4">
        <v>2026</v>
      </c>
      <c r="M1041" s="4" t="s">
        <v>2233</v>
      </c>
      <c r="N1041" s="4">
        <v>62</v>
      </c>
      <c r="O1041" s="4">
        <v>62</v>
      </c>
      <c r="P1041" s="4" t="s">
        <v>2234</v>
      </c>
      <c r="Q1041" s="4">
        <v>62</v>
      </c>
      <c r="R1041" s="4" t="s">
        <v>2235</v>
      </c>
    </row>
    <row r="1042" spans="1:18" x14ac:dyDescent="0.35">
      <c r="A1042" s="4" t="s">
        <v>2227</v>
      </c>
      <c r="B1042" s="4" t="s">
        <v>4080</v>
      </c>
      <c r="C1042" s="4" t="s">
        <v>1612</v>
      </c>
      <c r="D1042" s="4" t="s">
        <v>2354</v>
      </c>
      <c r="E1042" s="4" t="s">
        <v>3988</v>
      </c>
      <c r="F1042" s="4" t="s">
        <v>33</v>
      </c>
      <c r="G1042" s="4" t="s">
        <v>36</v>
      </c>
      <c r="H1042" s="4" t="s">
        <v>2231</v>
      </c>
      <c r="I1042" s="5">
        <v>60627</v>
      </c>
      <c r="J1042" s="4" t="s">
        <v>2356</v>
      </c>
      <c r="K1042" s="4" t="s">
        <v>865</v>
      </c>
      <c r="L1042" s="4">
        <v>2026</v>
      </c>
      <c r="M1042" s="4" t="s">
        <v>2459</v>
      </c>
      <c r="N1042" s="4">
        <v>62</v>
      </c>
      <c r="O1042" s="4">
        <v>62</v>
      </c>
      <c r="P1042" s="4" t="s">
        <v>2234</v>
      </c>
      <c r="Q1042" s="4">
        <v>62</v>
      </c>
      <c r="R1042" s="4" t="s">
        <v>2235</v>
      </c>
    </row>
    <row r="1043" spans="1:18" hidden="1" x14ac:dyDescent="0.35">
      <c r="A1043" s="4" t="s">
        <v>2106</v>
      </c>
      <c r="B1043" s="4" t="s">
        <v>4081</v>
      </c>
      <c r="C1043" s="4" t="s">
        <v>2107</v>
      </c>
      <c r="D1043" s="4" t="s">
        <v>3989</v>
      </c>
      <c r="E1043" s="4" t="s">
        <v>2227</v>
      </c>
      <c r="F1043" s="4" t="s">
        <v>33</v>
      </c>
      <c r="G1043" s="4" t="s">
        <v>409</v>
      </c>
      <c r="H1043" s="4" t="s">
        <v>2231</v>
      </c>
      <c r="I1043" s="5">
        <v>89077</v>
      </c>
      <c r="J1043" s="4" t="s">
        <v>2109</v>
      </c>
      <c r="K1043" s="4" t="s">
        <v>2232</v>
      </c>
      <c r="L1043" s="4">
        <v>1978</v>
      </c>
      <c r="M1043" s="4" t="s">
        <v>27</v>
      </c>
      <c r="N1043" s="4">
        <v>12.6</v>
      </c>
      <c r="O1043" s="4">
        <v>12.6</v>
      </c>
      <c r="P1043" s="4" t="s">
        <v>2234</v>
      </c>
      <c r="Q1043" s="4">
        <v>12.6</v>
      </c>
      <c r="R1043" s="4" t="s">
        <v>2235</v>
      </c>
    </row>
    <row r="1044" spans="1:18" hidden="1" x14ac:dyDescent="0.35">
      <c r="A1044" s="4" t="s">
        <v>3990</v>
      </c>
      <c r="B1044" s="4" t="s">
        <v>4081</v>
      </c>
      <c r="C1044" s="4" t="s">
        <v>3981</v>
      </c>
      <c r="D1044" s="4" t="s">
        <v>3991</v>
      </c>
      <c r="E1044" s="4" t="s">
        <v>3991</v>
      </c>
      <c r="F1044" s="4" t="s">
        <v>33</v>
      </c>
      <c r="G1044" s="4" t="s">
        <v>137</v>
      </c>
      <c r="H1044" s="4" t="s">
        <v>2231</v>
      </c>
      <c r="I1044" s="5">
        <v>86165</v>
      </c>
      <c r="J1044" s="4" t="s">
        <v>1030</v>
      </c>
      <c r="K1044" s="4" t="s">
        <v>701</v>
      </c>
      <c r="L1044" s="4">
        <v>2003</v>
      </c>
      <c r="M1044" s="4" t="s">
        <v>27</v>
      </c>
      <c r="N1044" s="4">
        <v>3.95</v>
      </c>
      <c r="O1044" s="4">
        <v>3.95</v>
      </c>
      <c r="P1044" s="4" t="s">
        <v>2234</v>
      </c>
      <c r="Q1044" s="4">
        <v>3.95</v>
      </c>
      <c r="R1044" s="4" t="s">
        <v>2235</v>
      </c>
    </row>
    <row r="1045" spans="1:18" hidden="1" x14ac:dyDescent="0.35">
      <c r="A1045" s="4" t="s">
        <v>3992</v>
      </c>
      <c r="B1045" s="4" t="s">
        <v>4081</v>
      </c>
      <c r="C1045" s="4" t="s">
        <v>3981</v>
      </c>
      <c r="D1045" s="4" t="s">
        <v>3993</v>
      </c>
      <c r="E1045" s="4" t="s">
        <v>3993</v>
      </c>
      <c r="F1045" s="4" t="s">
        <v>33</v>
      </c>
      <c r="G1045" s="4" t="s">
        <v>137</v>
      </c>
      <c r="H1045" s="4" t="s">
        <v>2231</v>
      </c>
      <c r="I1045" s="5">
        <v>86165</v>
      </c>
      <c r="J1045" s="4" t="s">
        <v>1030</v>
      </c>
      <c r="K1045" s="4" t="s">
        <v>701</v>
      </c>
      <c r="L1045" s="4">
        <v>2004</v>
      </c>
      <c r="M1045" s="4" t="s">
        <v>27</v>
      </c>
      <c r="N1045" s="4">
        <v>4</v>
      </c>
      <c r="O1045" s="4">
        <v>4</v>
      </c>
      <c r="P1045" s="4" t="s">
        <v>2234</v>
      </c>
      <c r="Q1045" s="4">
        <v>4</v>
      </c>
      <c r="R1045" s="4" t="s">
        <v>2235</v>
      </c>
    </row>
    <row r="1046" spans="1:18" hidden="1" x14ac:dyDescent="0.35">
      <c r="A1046" s="4" t="s">
        <v>1174</v>
      </c>
      <c r="B1046" s="4" t="s">
        <v>4081</v>
      </c>
      <c r="C1046" s="4" t="s">
        <v>1171</v>
      </c>
      <c r="D1046" s="4" t="s">
        <v>36</v>
      </c>
      <c r="E1046" s="4" t="s">
        <v>1010</v>
      </c>
      <c r="F1046" s="4" t="s">
        <v>33</v>
      </c>
      <c r="G1046" s="4" t="s">
        <v>36</v>
      </c>
      <c r="H1046" s="4" t="s">
        <v>2231</v>
      </c>
      <c r="I1046" s="5">
        <v>86167</v>
      </c>
      <c r="J1046" s="4" t="s">
        <v>3974</v>
      </c>
      <c r="K1046" s="4" t="s">
        <v>701</v>
      </c>
      <c r="L1046" s="4">
        <v>2004</v>
      </c>
      <c r="M1046" s="4" t="s">
        <v>27</v>
      </c>
      <c r="N1046" s="4">
        <v>30.7</v>
      </c>
      <c r="O1046" s="4">
        <v>30.7</v>
      </c>
      <c r="P1046" s="4" t="s">
        <v>2234</v>
      </c>
      <c r="Q1046" s="4">
        <v>30.7</v>
      </c>
      <c r="R1046" s="4" t="s">
        <v>2235</v>
      </c>
    </row>
    <row r="1047" spans="1:18" hidden="1" x14ac:dyDescent="0.35">
      <c r="A1047" s="4" t="s">
        <v>3994</v>
      </c>
      <c r="B1047" s="4" t="s">
        <v>4081</v>
      </c>
      <c r="C1047" s="4" t="s">
        <v>3995</v>
      </c>
      <c r="D1047" s="4" t="s">
        <v>3996</v>
      </c>
      <c r="E1047" s="4" t="s">
        <v>3997</v>
      </c>
      <c r="F1047" s="4" t="s">
        <v>173</v>
      </c>
      <c r="G1047" s="4" t="s">
        <v>409</v>
      </c>
      <c r="H1047" s="4" t="s">
        <v>2231</v>
      </c>
      <c r="I1047" s="5">
        <v>86167</v>
      </c>
      <c r="J1047" s="4" t="s">
        <v>1030</v>
      </c>
      <c r="K1047" s="4" t="s">
        <v>701</v>
      </c>
      <c r="L1047" s="4">
        <v>1993</v>
      </c>
      <c r="M1047" s="4" t="s">
        <v>27</v>
      </c>
      <c r="N1047" s="4">
        <v>7.97</v>
      </c>
      <c r="O1047" s="4">
        <v>7.97</v>
      </c>
      <c r="P1047" s="4" t="s">
        <v>173</v>
      </c>
      <c r="Q1047" s="4">
        <v>7.97</v>
      </c>
      <c r="R1047" s="4" t="s">
        <v>173</v>
      </c>
    </row>
    <row r="1048" spans="1:18" hidden="1" x14ac:dyDescent="0.35">
      <c r="A1048" s="4" t="s">
        <v>3998</v>
      </c>
      <c r="B1048" s="4" t="s">
        <v>4081</v>
      </c>
      <c r="C1048" s="4" t="s">
        <v>3995</v>
      </c>
      <c r="D1048" s="4" t="s">
        <v>3996</v>
      </c>
      <c r="E1048" s="4" t="s">
        <v>3999</v>
      </c>
      <c r="F1048" s="4" t="s">
        <v>173</v>
      </c>
      <c r="G1048" s="4" t="s">
        <v>409</v>
      </c>
      <c r="H1048" s="4" t="s">
        <v>2231</v>
      </c>
      <c r="I1048" s="5">
        <v>86167</v>
      </c>
      <c r="J1048" s="4" t="s">
        <v>1030</v>
      </c>
      <c r="K1048" s="4" t="s">
        <v>701</v>
      </c>
      <c r="L1048" s="4">
        <v>1993</v>
      </c>
      <c r="M1048" s="4" t="s">
        <v>27</v>
      </c>
      <c r="N1048" s="4">
        <v>6.72</v>
      </c>
      <c r="O1048" s="4">
        <v>6.72</v>
      </c>
      <c r="P1048" s="4" t="s">
        <v>173</v>
      </c>
      <c r="Q1048" s="4">
        <v>6.72</v>
      </c>
      <c r="R1048" s="4" t="s">
        <v>173</v>
      </c>
    </row>
    <row r="1049" spans="1:18" hidden="1" x14ac:dyDescent="0.35">
      <c r="A1049" s="4" t="s">
        <v>1258</v>
      </c>
      <c r="B1049" s="4" t="s">
        <v>4081</v>
      </c>
      <c r="C1049" s="4" t="s">
        <v>1254</v>
      </c>
      <c r="D1049" s="4" t="s">
        <v>4000</v>
      </c>
      <c r="E1049" s="4" t="s">
        <v>1010</v>
      </c>
      <c r="F1049" s="4" t="s">
        <v>33</v>
      </c>
      <c r="G1049" s="4" t="s">
        <v>46</v>
      </c>
      <c r="H1049" s="4" t="s">
        <v>2231</v>
      </c>
      <c r="I1049" s="5">
        <v>86956</v>
      </c>
      <c r="J1049" s="4" t="s">
        <v>1256</v>
      </c>
      <c r="K1049" s="4" t="s">
        <v>701</v>
      </c>
      <c r="L1049" s="4">
        <v>2015</v>
      </c>
      <c r="M1049" s="4" t="s">
        <v>27</v>
      </c>
      <c r="N1049" s="4">
        <v>44.33</v>
      </c>
      <c r="O1049" s="4">
        <v>44.33</v>
      </c>
      <c r="P1049" s="4" t="s">
        <v>2234</v>
      </c>
      <c r="Q1049" s="4">
        <v>44.33</v>
      </c>
      <c r="R1049" s="4" t="s">
        <v>2235</v>
      </c>
    </row>
    <row r="1050" spans="1:18" hidden="1" x14ac:dyDescent="0.35">
      <c r="A1050" s="4" t="s">
        <v>1253</v>
      </c>
      <c r="B1050" s="4" t="s">
        <v>4081</v>
      </c>
      <c r="C1050" s="4" t="s">
        <v>1254</v>
      </c>
      <c r="D1050" s="4" t="s">
        <v>4000</v>
      </c>
      <c r="E1050" s="4" t="s">
        <v>159</v>
      </c>
      <c r="F1050" s="4" t="s">
        <v>33</v>
      </c>
      <c r="G1050" s="4" t="s">
        <v>46</v>
      </c>
      <c r="H1050" s="4" t="s">
        <v>2231</v>
      </c>
      <c r="I1050" s="5">
        <v>86956</v>
      </c>
      <c r="J1050" s="4" t="s">
        <v>1256</v>
      </c>
      <c r="K1050" s="4" t="s">
        <v>701</v>
      </c>
      <c r="L1050" s="4">
        <v>2015</v>
      </c>
      <c r="M1050" s="4" t="s">
        <v>27</v>
      </c>
      <c r="N1050" s="4">
        <v>29.67</v>
      </c>
      <c r="O1050" s="4">
        <v>29.67</v>
      </c>
      <c r="P1050" s="4" t="s">
        <v>2234</v>
      </c>
      <c r="Q1050" s="4">
        <v>29.67</v>
      </c>
      <c r="R1050" s="4" t="s">
        <v>2235</v>
      </c>
    </row>
    <row r="1051" spans="1:18" hidden="1" x14ac:dyDescent="0.35">
      <c r="A1051" s="4" t="s">
        <v>4001</v>
      </c>
      <c r="B1051" s="4" t="s">
        <v>4081</v>
      </c>
      <c r="C1051" s="4" t="s">
        <v>1254</v>
      </c>
      <c r="D1051" s="4" t="s">
        <v>4002</v>
      </c>
      <c r="E1051" s="4" t="s">
        <v>4003</v>
      </c>
      <c r="F1051" s="4" t="s">
        <v>33</v>
      </c>
      <c r="G1051" s="4" t="s">
        <v>409</v>
      </c>
      <c r="H1051" s="4" t="s">
        <v>2231</v>
      </c>
      <c r="I1051" s="5">
        <v>86956</v>
      </c>
      <c r="J1051" s="4" t="s">
        <v>1256</v>
      </c>
      <c r="K1051" s="4" t="s">
        <v>701</v>
      </c>
      <c r="L1051" s="4">
        <v>1989</v>
      </c>
      <c r="M1051" s="4" t="s">
        <v>27</v>
      </c>
      <c r="N1051" s="4">
        <v>2.85</v>
      </c>
      <c r="O1051" s="4">
        <v>2.85</v>
      </c>
      <c r="P1051" s="4" t="s">
        <v>2234</v>
      </c>
      <c r="Q1051" s="4">
        <v>2.85</v>
      </c>
      <c r="R1051" s="4" t="s">
        <v>2235</v>
      </c>
    </row>
    <row r="1052" spans="1:18" hidden="1" x14ac:dyDescent="0.35">
      <c r="A1052" s="4" t="s">
        <v>4004</v>
      </c>
      <c r="B1052" s="4" t="s">
        <v>4081</v>
      </c>
      <c r="C1052" s="4" t="s">
        <v>1254</v>
      </c>
      <c r="D1052" s="4" t="s">
        <v>4002</v>
      </c>
      <c r="E1052" s="4" t="s">
        <v>4005</v>
      </c>
      <c r="F1052" s="4" t="s">
        <v>33</v>
      </c>
      <c r="G1052" s="4" t="s">
        <v>409</v>
      </c>
      <c r="H1052" s="4" t="s">
        <v>2231</v>
      </c>
      <c r="I1052" s="5">
        <v>86956</v>
      </c>
      <c r="J1052" s="4" t="s">
        <v>1256</v>
      </c>
      <c r="K1052" s="4" t="s">
        <v>701</v>
      </c>
      <c r="L1052" s="4">
        <v>1989</v>
      </c>
      <c r="M1052" s="4" t="s">
        <v>27</v>
      </c>
      <c r="N1052" s="4">
        <v>6.25</v>
      </c>
      <c r="O1052" s="4">
        <v>6.25</v>
      </c>
      <c r="P1052" s="4" t="s">
        <v>2234</v>
      </c>
      <c r="Q1052" s="4">
        <v>6.25</v>
      </c>
      <c r="R1052" s="4" t="s">
        <v>2235</v>
      </c>
    </row>
    <row r="1053" spans="1:18" hidden="1" x14ac:dyDescent="0.35">
      <c r="A1053" s="4" t="s">
        <v>696</v>
      </c>
      <c r="B1053" s="4" t="s">
        <v>4081</v>
      </c>
      <c r="C1053" s="4" t="s">
        <v>4006</v>
      </c>
      <c r="D1053" s="4" t="s">
        <v>4007</v>
      </c>
      <c r="E1053" s="4" t="s">
        <v>4007</v>
      </c>
      <c r="F1053" s="4" t="s">
        <v>33</v>
      </c>
      <c r="G1053" s="4" t="s">
        <v>36</v>
      </c>
      <c r="H1053" s="4" t="s">
        <v>2249</v>
      </c>
      <c r="I1053" s="5">
        <v>87448</v>
      </c>
      <c r="J1053" s="4" t="s">
        <v>4008</v>
      </c>
      <c r="K1053" s="4" t="s">
        <v>701</v>
      </c>
      <c r="L1053" s="4">
        <v>1988</v>
      </c>
      <c r="M1053" s="4" t="s">
        <v>27</v>
      </c>
      <c r="N1053" s="4">
        <v>20</v>
      </c>
      <c r="O1053" s="4">
        <v>20</v>
      </c>
      <c r="P1053" s="4" t="s">
        <v>2234</v>
      </c>
      <c r="Q1053" s="4">
        <v>20</v>
      </c>
      <c r="R1053" s="4" t="s">
        <v>2235</v>
      </c>
    </row>
    <row r="1054" spans="1:18" hidden="1" x14ac:dyDescent="0.35">
      <c r="A1054" s="4" t="s">
        <v>4009</v>
      </c>
      <c r="B1054" s="4" t="s">
        <v>4081</v>
      </c>
      <c r="C1054" s="4" t="s">
        <v>2246</v>
      </c>
      <c r="D1054" s="4" t="s">
        <v>4010</v>
      </c>
      <c r="E1054" s="4" t="s">
        <v>4011</v>
      </c>
      <c r="F1054" s="4" t="s">
        <v>2255</v>
      </c>
      <c r="G1054" s="4" t="s">
        <v>2535</v>
      </c>
      <c r="H1054" s="4" t="s">
        <v>2249</v>
      </c>
      <c r="I1054" s="5">
        <v>87672</v>
      </c>
      <c r="J1054" s="4" t="s">
        <v>4012</v>
      </c>
      <c r="K1054" s="4" t="s">
        <v>701</v>
      </c>
      <c r="L1054" s="4">
        <v>1954</v>
      </c>
      <c r="M1054" s="4" t="s">
        <v>27</v>
      </c>
      <c r="N1054" s="4">
        <v>22.75</v>
      </c>
      <c r="O1054" s="4">
        <v>22.75</v>
      </c>
      <c r="P1054" s="4" t="s">
        <v>2255</v>
      </c>
      <c r="Q1054" s="4">
        <v>22.75</v>
      </c>
      <c r="R1054" s="4" t="s">
        <v>2255</v>
      </c>
    </row>
    <row r="1055" spans="1:18" hidden="1" x14ac:dyDescent="0.35">
      <c r="A1055" s="4" t="s">
        <v>4013</v>
      </c>
      <c r="B1055" s="4" t="s">
        <v>4081</v>
      </c>
      <c r="C1055" s="4" t="s">
        <v>2246</v>
      </c>
      <c r="D1055" s="4" t="s">
        <v>4010</v>
      </c>
      <c r="E1055" s="4" t="s">
        <v>4014</v>
      </c>
      <c r="F1055" s="4" t="s">
        <v>2255</v>
      </c>
      <c r="G1055" s="4" t="s">
        <v>2535</v>
      </c>
      <c r="H1055" s="4" t="s">
        <v>2249</v>
      </c>
      <c r="I1055" s="5">
        <v>87672</v>
      </c>
      <c r="J1055" s="4" t="s">
        <v>4012</v>
      </c>
      <c r="K1055" s="4" t="s">
        <v>701</v>
      </c>
      <c r="L1055" s="4">
        <v>1954</v>
      </c>
      <c r="M1055" s="4" t="s">
        <v>27</v>
      </c>
      <c r="N1055" s="4">
        <v>22.75</v>
      </c>
      <c r="O1055" s="4">
        <v>22.75</v>
      </c>
      <c r="P1055" s="4" t="s">
        <v>2255</v>
      </c>
      <c r="Q1055" s="4">
        <v>22.75</v>
      </c>
      <c r="R1055" s="4" t="s">
        <v>2255</v>
      </c>
    </row>
    <row r="1056" spans="1:18" hidden="1" x14ac:dyDescent="0.35">
      <c r="A1056" s="4" t="s">
        <v>4015</v>
      </c>
      <c r="B1056" s="4" t="s">
        <v>4081</v>
      </c>
      <c r="C1056" s="4" t="s">
        <v>4016</v>
      </c>
      <c r="D1056" s="4" t="s">
        <v>4017</v>
      </c>
      <c r="E1056" s="4" t="s">
        <v>4017</v>
      </c>
      <c r="F1056" s="4" t="s">
        <v>33</v>
      </c>
      <c r="G1056" s="4" t="s">
        <v>137</v>
      </c>
      <c r="H1056" s="4" t="s">
        <v>2231</v>
      </c>
      <c r="I1056" s="5">
        <v>89231</v>
      </c>
      <c r="J1056" s="4" t="s">
        <v>4018</v>
      </c>
      <c r="K1056" s="4" t="s">
        <v>701</v>
      </c>
      <c r="L1056" s="4">
        <v>2021</v>
      </c>
      <c r="M1056" s="4" t="s">
        <v>27</v>
      </c>
      <c r="N1056" s="4">
        <v>2.6</v>
      </c>
      <c r="O1056" s="4">
        <v>2.6</v>
      </c>
      <c r="P1056" s="4" t="s">
        <v>2234</v>
      </c>
      <c r="Q1056" s="4">
        <v>2.6</v>
      </c>
      <c r="R1056" s="4" t="s">
        <v>2235</v>
      </c>
    </row>
    <row r="1057" spans="1:18" hidden="1" x14ac:dyDescent="0.35">
      <c r="A1057" s="4" t="s">
        <v>4019</v>
      </c>
      <c r="B1057" s="4" t="s">
        <v>4081</v>
      </c>
      <c r="C1057" s="4" t="s">
        <v>4016</v>
      </c>
      <c r="D1057" s="4" t="s">
        <v>4020</v>
      </c>
      <c r="E1057" s="4" t="s">
        <v>4020</v>
      </c>
      <c r="F1057" s="4" t="s">
        <v>33</v>
      </c>
      <c r="G1057" s="4" t="s">
        <v>137</v>
      </c>
      <c r="H1057" s="4" t="s">
        <v>2231</v>
      </c>
      <c r="I1057" s="5">
        <v>89231</v>
      </c>
      <c r="J1057" s="4" t="s">
        <v>4018</v>
      </c>
      <c r="K1057" s="4" t="s">
        <v>701</v>
      </c>
      <c r="L1057" s="4">
        <v>2021</v>
      </c>
      <c r="M1057" s="4" t="s">
        <v>27</v>
      </c>
      <c r="N1057" s="4">
        <v>2.6</v>
      </c>
      <c r="O1057" s="4">
        <v>2.6</v>
      </c>
      <c r="P1057" s="4" t="s">
        <v>2234</v>
      </c>
      <c r="Q1057" s="4">
        <v>2.6</v>
      </c>
      <c r="R1057" s="4" t="s">
        <v>2235</v>
      </c>
    </row>
    <row r="1058" spans="1:18" hidden="1" x14ac:dyDescent="0.35">
      <c r="A1058" s="4" t="s">
        <v>4021</v>
      </c>
      <c r="B1058" s="4" t="s">
        <v>4081</v>
      </c>
      <c r="C1058" s="4" t="s">
        <v>4016</v>
      </c>
      <c r="D1058" s="4" t="s">
        <v>4022</v>
      </c>
      <c r="E1058" s="4" t="s">
        <v>4022</v>
      </c>
      <c r="F1058" s="4" t="s">
        <v>33</v>
      </c>
      <c r="G1058" s="4" t="s">
        <v>137</v>
      </c>
      <c r="H1058" s="4" t="s">
        <v>2231</v>
      </c>
      <c r="I1058" s="5">
        <v>89231</v>
      </c>
      <c r="J1058" s="4" t="s">
        <v>4018</v>
      </c>
      <c r="K1058" s="4" t="s">
        <v>701</v>
      </c>
      <c r="L1058" s="4">
        <v>2021</v>
      </c>
      <c r="M1058" s="4" t="s">
        <v>27</v>
      </c>
      <c r="N1058" s="4">
        <v>2.6</v>
      </c>
      <c r="O1058" s="4">
        <v>2.6</v>
      </c>
      <c r="P1058" s="4" t="s">
        <v>2234</v>
      </c>
      <c r="Q1058" s="4">
        <v>2.6</v>
      </c>
      <c r="R1058" s="4" t="s">
        <v>2235</v>
      </c>
    </row>
    <row r="1059" spans="1:18" hidden="1" x14ac:dyDescent="0.35">
      <c r="A1059" s="4" t="s">
        <v>4023</v>
      </c>
      <c r="B1059" s="4" t="s">
        <v>4081</v>
      </c>
      <c r="C1059" s="4" t="s">
        <v>4016</v>
      </c>
      <c r="D1059" s="4" t="s">
        <v>4024</v>
      </c>
      <c r="E1059" s="4" t="s">
        <v>4024</v>
      </c>
      <c r="F1059" s="4" t="s">
        <v>33</v>
      </c>
      <c r="G1059" s="4" t="s">
        <v>137</v>
      </c>
      <c r="H1059" s="4" t="s">
        <v>2231</v>
      </c>
      <c r="I1059" s="5">
        <v>89231</v>
      </c>
      <c r="J1059" s="4" t="s">
        <v>4018</v>
      </c>
      <c r="K1059" s="4" t="s">
        <v>701</v>
      </c>
      <c r="L1059" s="4">
        <v>2021</v>
      </c>
      <c r="M1059" s="4" t="s">
        <v>27</v>
      </c>
      <c r="N1059" s="4">
        <v>2.6</v>
      </c>
      <c r="O1059" s="4">
        <v>2.6</v>
      </c>
      <c r="P1059" s="4" t="s">
        <v>2234</v>
      </c>
      <c r="Q1059" s="4">
        <v>2.6</v>
      </c>
      <c r="R1059" s="4" t="s">
        <v>2235</v>
      </c>
    </row>
    <row r="1060" spans="1:18" hidden="1" x14ac:dyDescent="0.35">
      <c r="A1060" s="4" t="s">
        <v>2227</v>
      </c>
      <c r="B1060" s="4" t="s">
        <v>4081</v>
      </c>
      <c r="C1060" s="4" t="s">
        <v>2227</v>
      </c>
      <c r="D1060" s="4" t="s">
        <v>2227</v>
      </c>
      <c r="E1060" s="4" t="s">
        <v>2227</v>
      </c>
      <c r="F1060" s="4" t="s">
        <v>2234</v>
      </c>
      <c r="G1060" s="4" t="s">
        <v>46</v>
      </c>
      <c r="H1060" s="4" t="s">
        <v>2231</v>
      </c>
      <c r="I1060" s="5" t="s">
        <v>2227</v>
      </c>
      <c r="J1060" s="5" t="s">
        <v>2227</v>
      </c>
      <c r="K1060" s="4" t="s">
        <v>701</v>
      </c>
      <c r="L1060" s="4">
        <v>2027</v>
      </c>
      <c r="M1060" s="4" t="s">
        <v>2459</v>
      </c>
      <c r="N1060" s="4">
        <v>803</v>
      </c>
      <c r="O1060" s="4">
        <v>803</v>
      </c>
      <c r="P1060" s="4" t="s">
        <v>2234</v>
      </c>
      <c r="Q1060" s="4">
        <v>803</v>
      </c>
      <c r="R1060" s="4" t="s">
        <v>2235</v>
      </c>
    </row>
    <row r="1061" spans="1:18" hidden="1" x14ac:dyDescent="0.35">
      <c r="A1061" s="4" t="s">
        <v>2227</v>
      </c>
      <c r="B1061" s="4" t="s">
        <v>4081</v>
      </c>
      <c r="C1061" s="4" t="s">
        <v>2227</v>
      </c>
      <c r="D1061" s="4" t="s">
        <v>2227</v>
      </c>
      <c r="E1061" s="4" t="s">
        <v>2227</v>
      </c>
      <c r="F1061" s="4" t="s">
        <v>2234</v>
      </c>
      <c r="G1061" s="4" t="s">
        <v>46</v>
      </c>
      <c r="H1061" s="4" t="s">
        <v>2231</v>
      </c>
      <c r="I1061" s="5" t="s">
        <v>2227</v>
      </c>
      <c r="J1061" s="5" t="s">
        <v>2227</v>
      </c>
      <c r="K1061" s="4" t="s">
        <v>701</v>
      </c>
      <c r="L1061" s="4">
        <v>2029</v>
      </c>
      <c r="M1061" s="4" t="s">
        <v>2459</v>
      </c>
      <c r="N1061" s="4">
        <v>1000</v>
      </c>
      <c r="O1061" s="4">
        <v>1000</v>
      </c>
      <c r="P1061" s="4" t="s">
        <v>2234</v>
      </c>
      <c r="Q1061" s="4">
        <v>1000</v>
      </c>
      <c r="R1061" s="4" t="s">
        <v>2235</v>
      </c>
    </row>
    <row r="1062" spans="1:18" hidden="1" x14ac:dyDescent="0.35">
      <c r="A1062" s="4" t="s">
        <v>586</v>
      </c>
      <c r="B1062" s="4" t="s">
        <v>4080</v>
      </c>
      <c r="C1062" s="4" t="s">
        <v>4025</v>
      </c>
      <c r="D1062" s="4" t="s">
        <v>4026</v>
      </c>
      <c r="E1062" s="4">
        <v>1</v>
      </c>
      <c r="F1062" s="4" t="s">
        <v>173</v>
      </c>
      <c r="G1062" s="4" t="s">
        <v>409</v>
      </c>
      <c r="H1062" s="4" t="s">
        <v>2231</v>
      </c>
      <c r="I1062" s="5">
        <v>98544</v>
      </c>
      <c r="J1062" s="4" t="s">
        <v>589</v>
      </c>
      <c r="K1062" s="4" t="s">
        <v>2859</v>
      </c>
      <c r="L1062" s="4">
        <v>2007</v>
      </c>
      <c r="M1062" s="4" t="s">
        <v>27</v>
      </c>
      <c r="N1062" s="4">
        <v>12.1</v>
      </c>
      <c r="O1062" s="4">
        <v>12.1</v>
      </c>
      <c r="P1062" s="4" t="s">
        <v>173</v>
      </c>
      <c r="Q1062" s="4">
        <v>12.1</v>
      </c>
      <c r="R1062" s="4" t="s">
        <v>173</v>
      </c>
    </row>
    <row r="1063" spans="1:18" hidden="1" x14ac:dyDescent="0.35">
      <c r="A1063" s="4" t="s">
        <v>4027</v>
      </c>
      <c r="B1063" s="4" t="s">
        <v>4080</v>
      </c>
      <c r="C1063" s="4" t="s">
        <v>2854</v>
      </c>
      <c r="D1063" s="4" t="s">
        <v>4028</v>
      </c>
      <c r="E1063" s="4" t="s">
        <v>2856</v>
      </c>
      <c r="F1063" s="4" t="s">
        <v>2255</v>
      </c>
      <c r="G1063" s="4" t="s">
        <v>2256</v>
      </c>
      <c r="H1063" s="4" t="s">
        <v>2249</v>
      </c>
      <c r="I1063" s="5">
        <v>98746</v>
      </c>
      <c r="J1063" s="4" t="s">
        <v>4028</v>
      </c>
      <c r="K1063" s="4" t="s">
        <v>2859</v>
      </c>
      <c r="L1063" s="4">
        <v>2004</v>
      </c>
      <c r="M1063" s="4" t="s">
        <v>27</v>
      </c>
      <c r="N1063" s="4">
        <v>263</v>
      </c>
      <c r="O1063" s="4">
        <v>263</v>
      </c>
      <c r="P1063" s="4" t="s">
        <v>2255</v>
      </c>
      <c r="Q1063" s="4">
        <v>263</v>
      </c>
      <c r="R1063" s="4" t="s">
        <v>2255</v>
      </c>
    </row>
    <row r="1064" spans="1:18" hidden="1" x14ac:dyDescent="0.35">
      <c r="A1064" s="4" t="s">
        <v>4029</v>
      </c>
      <c r="B1064" s="4" t="s">
        <v>4080</v>
      </c>
      <c r="C1064" s="4" t="s">
        <v>2854</v>
      </c>
      <c r="D1064" s="4" t="s">
        <v>4028</v>
      </c>
      <c r="E1064" s="4" t="s">
        <v>2861</v>
      </c>
      <c r="F1064" s="4" t="s">
        <v>2255</v>
      </c>
      <c r="G1064" s="4" t="s">
        <v>2256</v>
      </c>
      <c r="H1064" s="4" t="s">
        <v>2249</v>
      </c>
      <c r="I1064" s="5">
        <v>98746</v>
      </c>
      <c r="J1064" s="4" t="s">
        <v>4028</v>
      </c>
      <c r="K1064" s="4" t="s">
        <v>2859</v>
      </c>
      <c r="L1064" s="4">
        <v>2003</v>
      </c>
      <c r="M1064" s="4" t="s">
        <v>27</v>
      </c>
      <c r="N1064" s="4">
        <v>263</v>
      </c>
      <c r="O1064" s="4">
        <v>263</v>
      </c>
      <c r="P1064" s="4" t="s">
        <v>2255</v>
      </c>
      <c r="Q1064" s="4">
        <v>263</v>
      </c>
      <c r="R1064" s="4" t="s">
        <v>2255</v>
      </c>
    </row>
    <row r="1065" spans="1:18" hidden="1" x14ac:dyDescent="0.35">
      <c r="A1065" s="4" t="s">
        <v>4030</v>
      </c>
      <c r="B1065" s="4" t="s">
        <v>4080</v>
      </c>
      <c r="C1065" s="4" t="s">
        <v>2854</v>
      </c>
      <c r="D1065" s="4" t="s">
        <v>4028</v>
      </c>
      <c r="E1065" s="4" t="s">
        <v>2866</v>
      </c>
      <c r="F1065" s="4" t="s">
        <v>2255</v>
      </c>
      <c r="G1065" s="4" t="s">
        <v>2256</v>
      </c>
      <c r="H1065" s="4" t="s">
        <v>2249</v>
      </c>
      <c r="I1065" s="5">
        <v>98746</v>
      </c>
      <c r="J1065" s="4" t="s">
        <v>4028</v>
      </c>
      <c r="K1065" s="4" t="s">
        <v>2859</v>
      </c>
      <c r="L1065" s="4">
        <v>2004</v>
      </c>
      <c r="M1065" s="4" t="s">
        <v>27</v>
      </c>
      <c r="N1065" s="4">
        <v>263</v>
      </c>
      <c r="O1065" s="4">
        <v>263</v>
      </c>
      <c r="P1065" s="4" t="s">
        <v>2255</v>
      </c>
      <c r="Q1065" s="4">
        <v>263</v>
      </c>
      <c r="R1065" s="4" t="s">
        <v>2255</v>
      </c>
    </row>
    <row r="1066" spans="1:18" hidden="1" x14ac:dyDescent="0.35">
      <c r="A1066" s="4" t="s">
        <v>4031</v>
      </c>
      <c r="B1066" s="4" t="s">
        <v>4080</v>
      </c>
      <c r="C1066" s="4" t="s">
        <v>2854</v>
      </c>
      <c r="D1066" s="4" t="s">
        <v>4028</v>
      </c>
      <c r="E1066" s="4" t="s">
        <v>2868</v>
      </c>
      <c r="F1066" s="4" t="s">
        <v>2255</v>
      </c>
      <c r="G1066" s="4" t="s">
        <v>2256</v>
      </c>
      <c r="H1066" s="4" t="s">
        <v>2249</v>
      </c>
      <c r="I1066" s="5">
        <v>98746</v>
      </c>
      <c r="J1066" s="4" t="s">
        <v>4028</v>
      </c>
      <c r="K1066" s="4" t="s">
        <v>2859</v>
      </c>
      <c r="L1066" s="4">
        <v>2004</v>
      </c>
      <c r="M1066" s="4" t="s">
        <v>27</v>
      </c>
      <c r="N1066" s="4">
        <v>263</v>
      </c>
      <c r="O1066" s="4">
        <v>263</v>
      </c>
      <c r="P1066" s="4" t="s">
        <v>2255</v>
      </c>
      <c r="Q1066" s="4">
        <v>263</v>
      </c>
      <c r="R1066" s="4" t="s">
        <v>2255</v>
      </c>
    </row>
    <row r="1067" spans="1:18" hidden="1" x14ac:dyDescent="0.35">
      <c r="A1067" s="4" t="s">
        <v>530</v>
      </c>
      <c r="B1067" s="4" t="s">
        <v>4080</v>
      </c>
      <c r="C1067" s="4" t="s">
        <v>520</v>
      </c>
      <c r="D1067" s="4" t="s">
        <v>4032</v>
      </c>
      <c r="E1067" s="4" t="s">
        <v>159</v>
      </c>
      <c r="F1067" s="4" t="s">
        <v>33</v>
      </c>
      <c r="G1067" s="4" t="s">
        <v>46</v>
      </c>
      <c r="H1067" s="4" t="s">
        <v>2231</v>
      </c>
      <c r="I1067" s="5">
        <v>99087</v>
      </c>
      <c r="J1067" s="4" t="s">
        <v>522</v>
      </c>
      <c r="K1067" s="4" t="s">
        <v>2859</v>
      </c>
      <c r="L1067" s="4">
        <v>1999</v>
      </c>
      <c r="M1067" s="4" t="s">
        <v>27</v>
      </c>
      <c r="N1067" s="4">
        <v>34</v>
      </c>
      <c r="O1067" s="4">
        <v>34</v>
      </c>
      <c r="P1067" s="4" t="s">
        <v>2234</v>
      </c>
      <c r="Q1067" s="4">
        <v>34</v>
      </c>
      <c r="R1067" s="4" t="s">
        <v>2235</v>
      </c>
    </row>
    <row r="1068" spans="1:18" hidden="1" x14ac:dyDescent="0.35">
      <c r="A1068" s="4" t="s">
        <v>1911</v>
      </c>
      <c r="B1068" s="4" t="s">
        <v>4081</v>
      </c>
      <c r="C1068" s="4" t="s">
        <v>1912</v>
      </c>
      <c r="D1068" s="4" t="s">
        <v>4033</v>
      </c>
      <c r="E1068" s="4" t="s">
        <v>1506</v>
      </c>
      <c r="F1068" s="4" t="s">
        <v>173</v>
      </c>
      <c r="G1068" s="4" t="s">
        <v>409</v>
      </c>
      <c r="H1068" s="4" t="s">
        <v>2231</v>
      </c>
      <c r="I1068" s="5">
        <v>92421</v>
      </c>
      <c r="J1068" s="4" t="s">
        <v>1914</v>
      </c>
      <c r="K1068" s="4" t="s">
        <v>701</v>
      </c>
      <c r="L1068" s="4">
        <v>1982</v>
      </c>
      <c r="M1068" s="4" t="s">
        <v>27</v>
      </c>
      <c r="N1068" s="4">
        <v>30</v>
      </c>
      <c r="O1068" s="4">
        <v>30</v>
      </c>
      <c r="P1068" s="4" t="s">
        <v>173</v>
      </c>
      <c r="Q1068" s="4">
        <v>30</v>
      </c>
      <c r="R1068" s="4" t="s">
        <v>173</v>
      </c>
    </row>
    <row r="1069" spans="1:18" hidden="1" x14ac:dyDescent="0.35">
      <c r="A1069" s="4" t="s">
        <v>4034</v>
      </c>
      <c r="B1069" s="4" t="s">
        <v>4081</v>
      </c>
      <c r="C1069" s="4" t="s">
        <v>1912</v>
      </c>
      <c r="D1069" s="4" t="s">
        <v>4033</v>
      </c>
      <c r="E1069" s="4" t="s">
        <v>715</v>
      </c>
      <c r="F1069" s="4" t="s">
        <v>173</v>
      </c>
      <c r="G1069" s="4" t="s">
        <v>409</v>
      </c>
      <c r="H1069" s="4" t="s">
        <v>2231</v>
      </c>
      <c r="I1069" s="5">
        <v>92421</v>
      </c>
      <c r="J1069" s="4" t="s">
        <v>1914</v>
      </c>
      <c r="K1069" s="4" t="s">
        <v>701</v>
      </c>
      <c r="L1069" s="4">
        <v>1982</v>
      </c>
      <c r="M1069" s="4" t="s">
        <v>27</v>
      </c>
      <c r="N1069" s="4">
        <v>10</v>
      </c>
      <c r="O1069" s="4">
        <v>10</v>
      </c>
      <c r="P1069" s="4" t="s">
        <v>173</v>
      </c>
      <c r="Q1069" s="4">
        <v>10</v>
      </c>
      <c r="R1069" s="4" t="s">
        <v>173</v>
      </c>
    </row>
    <row r="1070" spans="1:18" hidden="1" x14ac:dyDescent="0.35">
      <c r="A1070" s="4" t="s">
        <v>4035</v>
      </c>
      <c r="B1070" s="4" t="s">
        <v>4081</v>
      </c>
      <c r="C1070" s="4" t="s">
        <v>1912</v>
      </c>
      <c r="D1070" s="4" t="s">
        <v>4033</v>
      </c>
      <c r="E1070" s="4" t="s">
        <v>1591</v>
      </c>
      <c r="F1070" s="4" t="s">
        <v>173</v>
      </c>
      <c r="G1070" s="4" t="s">
        <v>409</v>
      </c>
      <c r="H1070" s="4" t="s">
        <v>2231</v>
      </c>
      <c r="I1070" s="5">
        <v>92421</v>
      </c>
      <c r="J1070" s="4" t="s">
        <v>1914</v>
      </c>
      <c r="K1070" s="4" t="s">
        <v>701</v>
      </c>
      <c r="L1070" s="4">
        <v>1982</v>
      </c>
      <c r="M1070" s="4" t="s">
        <v>27</v>
      </c>
      <c r="N1070" s="4">
        <v>10</v>
      </c>
      <c r="O1070" s="4">
        <v>10</v>
      </c>
      <c r="P1070" s="4" t="s">
        <v>173</v>
      </c>
      <c r="Q1070" s="4">
        <v>10</v>
      </c>
      <c r="R1070" s="4" t="s">
        <v>173</v>
      </c>
    </row>
    <row r="1071" spans="1:18" x14ac:dyDescent="0.35">
      <c r="A1071" s="4" t="s">
        <v>1668</v>
      </c>
      <c r="B1071" s="4" t="s">
        <v>4080</v>
      </c>
      <c r="C1071" s="4" t="s">
        <v>1664</v>
      </c>
      <c r="D1071" s="4" t="s">
        <v>4036</v>
      </c>
      <c r="E1071" s="4" t="s">
        <v>36</v>
      </c>
      <c r="F1071" s="4" t="s">
        <v>33</v>
      </c>
      <c r="G1071" s="4" t="s">
        <v>46</v>
      </c>
      <c r="H1071" s="4" t="s">
        <v>2231</v>
      </c>
      <c r="I1071" s="5">
        <v>26892</v>
      </c>
      <c r="J1071" s="4" t="s">
        <v>4037</v>
      </c>
      <c r="K1071" s="4" t="s">
        <v>765</v>
      </c>
      <c r="L1071" s="4">
        <v>2022</v>
      </c>
      <c r="M1071" s="4" t="s">
        <v>27</v>
      </c>
      <c r="N1071" s="4">
        <v>58.68</v>
      </c>
      <c r="O1071" s="4">
        <v>58.68</v>
      </c>
      <c r="P1071" s="4" t="s">
        <v>2234</v>
      </c>
      <c r="Q1071" s="4">
        <v>58.68</v>
      </c>
      <c r="R1071" s="4" t="s">
        <v>2235</v>
      </c>
    </row>
    <row r="1072" spans="1:18" x14ac:dyDescent="0.35">
      <c r="A1072" s="4" t="s">
        <v>1663</v>
      </c>
      <c r="B1072" s="4" t="s">
        <v>4080</v>
      </c>
      <c r="C1072" s="4" t="s">
        <v>1664</v>
      </c>
      <c r="D1072" s="4" t="s">
        <v>4036</v>
      </c>
      <c r="E1072" s="4" t="s">
        <v>4038</v>
      </c>
      <c r="F1072" s="4" t="s">
        <v>33</v>
      </c>
      <c r="G1072" s="4" t="s">
        <v>409</v>
      </c>
      <c r="H1072" s="4" t="s">
        <v>2231</v>
      </c>
      <c r="I1072" s="5">
        <v>26892</v>
      </c>
      <c r="J1072" s="4" t="s">
        <v>4037</v>
      </c>
      <c r="K1072" s="4" t="s">
        <v>765</v>
      </c>
      <c r="L1072" s="4">
        <v>2022</v>
      </c>
      <c r="M1072" s="4" t="s">
        <v>27</v>
      </c>
      <c r="N1072" s="4">
        <v>22.6</v>
      </c>
      <c r="O1072" s="4">
        <v>22.6</v>
      </c>
      <c r="P1072" s="4" t="s">
        <v>2234</v>
      </c>
      <c r="Q1072" s="4">
        <v>22.6</v>
      </c>
      <c r="R1072" s="4" t="s">
        <v>2235</v>
      </c>
    </row>
    <row r="1073" spans="1:18" x14ac:dyDescent="0.35">
      <c r="A1073" s="4" t="s">
        <v>4039</v>
      </c>
      <c r="B1073" s="4" t="s">
        <v>4080</v>
      </c>
      <c r="C1073" s="4" t="s">
        <v>1664</v>
      </c>
      <c r="D1073" s="4" t="s">
        <v>4036</v>
      </c>
      <c r="E1073" s="4" t="s">
        <v>4040</v>
      </c>
      <c r="F1073" s="4" t="s">
        <v>33</v>
      </c>
      <c r="G1073" s="4" t="s">
        <v>409</v>
      </c>
      <c r="H1073" s="4" t="s">
        <v>2231</v>
      </c>
      <c r="I1073" s="5">
        <v>26892</v>
      </c>
      <c r="J1073" s="4" t="s">
        <v>4037</v>
      </c>
      <c r="K1073" s="4" t="s">
        <v>765</v>
      </c>
      <c r="L1073" s="4">
        <v>2022</v>
      </c>
      <c r="M1073" s="4" t="s">
        <v>27</v>
      </c>
      <c r="N1073" s="4">
        <v>3.9</v>
      </c>
      <c r="O1073" s="4">
        <v>3.9</v>
      </c>
      <c r="P1073" s="4" t="s">
        <v>2234</v>
      </c>
      <c r="Q1073" s="4">
        <v>3.9</v>
      </c>
      <c r="R1073" s="4" t="s">
        <v>2235</v>
      </c>
    </row>
    <row r="1074" spans="1:18" hidden="1" x14ac:dyDescent="0.35">
      <c r="A1074" s="4" t="s">
        <v>4041</v>
      </c>
      <c r="B1074" s="4" t="s">
        <v>4081</v>
      </c>
      <c r="C1074" s="4" t="s">
        <v>2559</v>
      </c>
      <c r="D1074" s="4" t="s">
        <v>2570</v>
      </c>
      <c r="E1074" s="4" t="s">
        <v>4042</v>
      </c>
      <c r="F1074" s="4" t="s">
        <v>33</v>
      </c>
      <c r="G1074" s="4" t="s">
        <v>137</v>
      </c>
      <c r="H1074" s="4" t="s">
        <v>2231</v>
      </c>
      <c r="I1074" s="5">
        <v>84130</v>
      </c>
      <c r="J1074" s="4" t="s">
        <v>2572</v>
      </c>
      <c r="K1074" s="4" t="s">
        <v>701</v>
      </c>
      <c r="L1074" s="4">
        <v>2017</v>
      </c>
      <c r="M1074" s="4" t="s">
        <v>27</v>
      </c>
      <c r="N1074" s="4">
        <v>4.47</v>
      </c>
      <c r="O1074" s="4">
        <v>4.47</v>
      </c>
      <c r="P1074" s="4" t="s">
        <v>2234</v>
      </c>
      <c r="Q1074" s="4">
        <v>4.47</v>
      </c>
      <c r="R1074" s="4" t="s">
        <v>2235</v>
      </c>
    </row>
    <row r="1075" spans="1:18" x14ac:dyDescent="0.35">
      <c r="A1075" s="4" t="s">
        <v>4043</v>
      </c>
      <c r="B1075" s="4" t="s">
        <v>4080</v>
      </c>
      <c r="C1075" s="4" t="s">
        <v>2463</v>
      </c>
      <c r="D1075" s="4" t="s">
        <v>2470</v>
      </c>
      <c r="E1075" s="4" t="s">
        <v>4044</v>
      </c>
      <c r="F1075" s="4" t="s">
        <v>33</v>
      </c>
      <c r="G1075" s="4" t="s">
        <v>137</v>
      </c>
      <c r="H1075" s="4" t="s">
        <v>2231</v>
      </c>
      <c r="I1075" s="5">
        <v>24149</v>
      </c>
      <c r="J1075" s="4" t="s">
        <v>2466</v>
      </c>
      <c r="K1075" s="4" t="s">
        <v>276</v>
      </c>
      <c r="L1075" s="4">
        <v>2019</v>
      </c>
      <c r="M1075" s="4" t="s">
        <v>27</v>
      </c>
      <c r="N1075" s="4">
        <v>9.4600000000000009</v>
      </c>
      <c r="O1075" s="4">
        <v>9.4600000000000009</v>
      </c>
      <c r="P1075" s="4" t="s">
        <v>2234</v>
      </c>
      <c r="Q1075" s="4">
        <v>9.4600000000000009</v>
      </c>
      <c r="R1075" s="4" t="s">
        <v>2235</v>
      </c>
    </row>
    <row r="1076" spans="1:18" x14ac:dyDescent="0.35">
      <c r="A1076" s="4" t="s">
        <v>4045</v>
      </c>
      <c r="B1076" s="4" t="s">
        <v>4080</v>
      </c>
      <c r="C1076" s="4" t="s">
        <v>2359</v>
      </c>
      <c r="D1076" s="4" t="s">
        <v>4046</v>
      </c>
      <c r="E1076" s="4" t="s">
        <v>3726</v>
      </c>
      <c r="F1076" s="4" t="s">
        <v>33</v>
      </c>
      <c r="G1076" s="4" t="s">
        <v>137</v>
      </c>
      <c r="H1076" s="4" t="s">
        <v>2231</v>
      </c>
      <c r="I1076" s="5">
        <v>32657</v>
      </c>
      <c r="J1076" s="4" t="s">
        <v>3698</v>
      </c>
      <c r="K1076" s="4" t="s">
        <v>693</v>
      </c>
      <c r="L1076" s="4">
        <v>2012</v>
      </c>
      <c r="M1076" s="4" t="s">
        <v>27</v>
      </c>
      <c r="N1076" s="4">
        <v>2.42</v>
      </c>
      <c r="O1076" s="4">
        <v>2.42</v>
      </c>
      <c r="P1076" s="4" t="s">
        <v>2234</v>
      </c>
      <c r="Q1076" s="4">
        <v>2.42</v>
      </c>
      <c r="R1076" s="4" t="s">
        <v>2235</v>
      </c>
    </row>
    <row r="1077" spans="1:18" hidden="1" x14ac:dyDescent="0.35">
      <c r="A1077" s="4" t="s">
        <v>4047</v>
      </c>
      <c r="B1077" s="4" t="s">
        <v>4081</v>
      </c>
      <c r="C1077" s="4" t="s">
        <v>1752</v>
      </c>
      <c r="D1077" s="4" t="s">
        <v>2317</v>
      </c>
      <c r="E1077" s="4" t="s">
        <v>1043</v>
      </c>
      <c r="F1077" s="4" t="s">
        <v>173</v>
      </c>
      <c r="G1077" s="4" t="s">
        <v>409</v>
      </c>
      <c r="H1077" s="4" t="s">
        <v>2231</v>
      </c>
      <c r="I1077" s="5">
        <v>83022</v>
      </c>
      <c r="J1077" s="4" t="s">
        <v>1754</v>
      </c>
      <c r="K1077" s="4" t="s">
        <v>701</v>
      </c>
      <c r="L1077" s="4">
        <v>1957</v>
      </c>
      <c r="M1077" s="4" t="s">
        <v>27</v>
      </c>
      <c r="N1077" s="4">
        <v>2.1</v>
      </c>
      <c r="O1077" s="4">
        <v>2.1</v>
      </c>
      <c r="P1077" s="4" t="s">
        <v>173</v>
      </c>
      <c r="Q1077" s="4">
        <v>2.1</v>
      </c>
      <c r="R1077" s="4" t="s">
        <v>173</v>
      </c>
    </row>
    <row r="1078" spans="1:18" x14ac:dyDescent="0.35">
      <c r="A1078" s="4" t="s">
        <v>4048</v>
      </c>
      <c r="B1078" s="4" t="s">
        <v>4080</v>
      </c>
      <c r="C1078" s="4" t="s">
        <v>3867</v>
      </c>
      <c r="D1078" s="4" t="s">
        <v>1591</v>
      </c>
      <c r="E1078" s="4" t="s">
        <v>4049</v>
      </c>
      <c r="F1078" s="4" t="s">
        <v>173</v>
      </c>
      <c r="G1078" s="4" t="s">
        <v>409</v>
      </c>
      <c r="H1078" s="4" t="s">
        <v>2231</v>
      </c>
      <c r="I1078" s="5">
        <v>26826</v>
      </c>
      <c r="J1078" s="4" t="s">
        <v>1592</v>
      </c>
      <c r="K1078" s="4" t="s">
        <v>765</v>
      </c>
      <c r="L1078" s="4">
        <v>2008</v>
      </c>
      <c r="M1078" s="4" t="s">
        <v>27</v>
      </c>
      <c r="N1078" s="4">
        <v>2.4900000000000002</v>
      </c>
      <c r="O1078" s="4">
        <v>2.4900000000000002</v>
      </c>
      <c r="P1078" s="4" t="s">
        <v>173</v>
      </c>
      <c r="Q1078" s="4">
        <v>2.4900000000000002</v>
      </c>
      <c r="R1078" s="4" t="s">
        <v>173</v>
      </c>
    </row>
    <row r="1079" spans="1:18" hidden="1" x14ac:dyDescent="0.35">
      <c r="A1079" s="4" t="s">
        <v>528</v>
      </c>
      <c r="B1079" s="4" t="s">
        <v>4080</v>
      </c>
      <c r="C1079" s="4" t="s">
        <v>520</v>
      </c>
      <c r="D1079" s="4" t="s">
        <v>4032</v>
      </c>
      <c r="E1079" s="4" t="s">
        <v>529</v>
      </c>
      <c r="F1079" s="4" t="s">
        <v>33</v>
      </c>
      <c r="G1079" s="4" t="s">
        <v>46</v>
      </c>
      <c r="H1079" s="4" t="s">
        <v>2231</v>
      </c>
      <c r="I1079" s="5">
        <v>99087</v>
      </c>
      <c r="J1079" s="4" t="s">
        <v>522</v>
      </c>
      <c r="K1079" s="4" t="s">
        <v>2859</v>
      </c>
      <c r="L1079" s="4">
        <v>2014</v>
      </c>
      <c r="M1079" s="4" t="s">
        <v>27</v>
      </c>
      <c r="N1079" s="4">
        <v>33</v>
      </c>
      <c r="O1079" s="4">
        <v>33</v>
      </c>
      <c r="P1079" s="4" t="s">
        <v>2234</v>
      </c>
      <c r="Q1079" s="4">
        <v>33</v>
      </c>
      <c r="R1079" s="4" t="s">
        <v>2235</v>
      </c>
    </row>
    <row r="1080" spans="1:18" hidden="1" x14ac:dyDescent="0.35">
      <c r="A1080" s="4" t="s">
        <v>524</v>
      </c>
      <c r="B1080" s="4" t="s">
        <v>4080</v>
      </c>
      <c r="C1080" s="4" t="s">
        <v>520</v>
      </c>
      <c r="D1080" s="4" t="s">
        <v>4032</v>
      </c>
      <c r="E1080" s="4" t="s">
        <v>2747</v>
      </c>
      <c r="F1080" s="4" t="s">
        <v>33</v>
      </c>
      <c r="G1080" s="4" t="s">
        <v>46</v>
      </c>
      <c r="H1080" s="4" t="s">
        <v>2231</v>
      </c>
      <c r="I1080" s="5">
        <v>99087</v>
      </c>
      <c r="J1080" s="4" t="s">
        <v>522</v>
      </c>
      <c r="K1080" s="4" t="s">
        <v>2859</v>
      </c>
      <c r="L1080" s="4">
        <v>1999</v>
      </c>
      <c r="M1080" s="4" t="s">
        <v>27</v>
      </c>
      <c r="N1080" s="4">
        <v>23</v>
      </c>
      <c r="O1080" s="4">
        <v>23</v>
      </c>
      <c r="P1080" s="4" t="s">
        <v>2234</v>
      </c>
      <c r="Q1080" s="4">
        <v>23</v>
      </c>
      <c r="R1080" s="4" t="s">
        <v>2235</v>
      </c>
    </row>
    <row r="1081" spans="1:18" hidden="1" x14ac:dyDescent="0.35">
      <c r="A1081" s="4" t="s">
        <v>526</v>
      </c>
      <c r="B1081" s="4" t="s">
        <v>4080</v>
      </c>
      <c r="C1081" s="4" t="s">
        <v>520</v>
      </c>
      <c r="D1081" s="4" t="s">
        <v>4032</v>
      </c>
      <c r="E1081" s="4" t="s">
        <v>1039</v>
      </c>
      <c r="F1081" s="4" t="s">
        <v>33</v>
      </c>
      <c r="G1081" s="4" t="s">
        <v>46</v>
      </c>
      <c r="H1081" s="4" t="s">
        <v>2231</v>
      </c>
      <c r="I1081" s="5">
        <v>99087</v>
      </c>
      <c r="J1081" s="4" t="s">
        <v>522</v>
      </c>
      <c r="K1081" s="4" t="s">
        <v>2859</v>
      </c>
      <c r="L1081" s="4">
        <v>1999</v>
      </c>
      <c r="M1081" s="4" t="s">
        <v>27</v>
      </c>
      <c r="N1081" s="4">
        <v>23</v>
      </c>
      <c r="O1081" s="4">
        <v>23</v>
      </c>
      <c r="P1081" s="4" t="s">
        <v>2234</v>
      </c>
      <c r="Q1081" s="4">
        <v>23</v>
      </c>
      <c r="R1081" s="4" t="s">
        <v>2235</v>
      </c>
    </row>
    <row r="1082" spans="1:18" hidden="1" x14ac:dyDescent="0.35">
      <c r="A1082" s="4" t="s">
        <v>519</v>
      </c>
      <c r="B1082" s="4" t="s">
        <v>4080</v>
      </c>
      <c r="C1082" s="4" t="s">
        <v>520</v>
      </c>
      <c r="D1082" s="4" t="s">
        <v>4032</v>
      </c>
      <c r="E1082" s="4" t="s">
        <v>4050</v>
      </c>
      <c r="F1082" s="4" t="s">
        <v>33</v>
      </c>
      <c r="G1082" s="4" t="s">
        <v>46</v>
      </c>
      <c r="H1082" s="4" t="s">
        <v>2231</v>
      </c>
      <c r="I1082" s="5">
        <v>99087</v>
      </c>
      <c r="J1082" s="4" t="s">
        <v>522</v>
      </c>
      <c r="K1082" s="4" t="s">
        <v>2859</v>
      </c>
      <c r="L1082" s="4">
        <v>2022</v>
      </c>
      <c r="M1082" s="4" t="s">
        <v>27</v>
      </c>
      <c r="N1082" s="4">
        <v>10.5</v>
      </c>
      <c r="O1082" s="4">
        <v>10.5</v>
      </c>
      <c r="P1082" s="4" t="s">
        <v>2234</v>
      </c>
      <c r="Q1082" s="4">
        <v>10.5</v>
      </c>
      <c r="R1082" s="4" t="s">
        <v>2235</v>
      </c>
    </row>
    <row r="1083" spans="1:18" x14ac:dyDescent="0.35">
      <c r="A1083" s="4" t="s">
        <v>3279</v>
      </c>
      <c r="B1083" s="4" t="s">
        <v>4080</v>
      </c>
      <c r="C1083" s="4" t="s">
        <v>1214</v>
      </c>
      <c r="D1083" s="4" t="s">
        <v>3280</v>
      </c>
      <c r="E1083" s="4" t="s">
        <v>4051</v>
      </c>
      <c r="F1083" s="4" t="s">
        <v>2255</v>
      </c>
      <c r="G1083" s="4" t="s">
        <v>2256</v>
      </c>
      <c r="H1083" s="4" t="s">
        <v>2249</v>
      </c>
      <c r="I1083" s="5">
        <v>37547</v>
      </c>
      <c r="J1083" s="4" t="s">
        <v>3281</v>
      </c>
      <c r="K1083" s="4" t="s">
        <v>765</v>
      </c>
      <c r="L1083" s="4">
        <v>1964</v>
      </c>
      <c r="M1083" s="4" t="s">
        <v>27</v>
      </c>
      <c r="N1083" s="4">
        <v>50</v>
      </c>
      <c r="O1083" s="4">
        <v>50</v>
      </c>
      <c r="P1083" s="4" t="s">
        <v>2255</v>
      </c>
      <c r="Q1083" s="4">
        <v>50</v>
      </c>
      <c r="R1083" s="4" t="s">
        <v>2255</v>
      </c>
    </row>
    <row r="1084" spans="1:18" x14ac:dyDescent="0.35">
      <c r="A1084" s="4" t="s">
        <v>3279</v>
      </c>
      <c r="B1084" s="4" t="s">
        <v>4080</v>
      </c>
      <c r="C1084" s="4" t="s">
        <v>1214</v>
      </c>
      <c r="D1084" s="4" t="s">
        <v>3280</v>
      </c>
      <c r="E1084" s="4" t="s">
        <v>2604</v>
      </c>
      <c r="F1084" s="4" t="s">
        <v>2255</v>
      </c>
      <c r="G1084" s="4" t="s">
        <v>2256</v>
      </c>
      <c r="H1084" s="4" t="s">
        <v>2249</v>
      </c>
      <c r="I1084" s="5">
        <v>37547</v>
      </c>
      <c r="J1084" s="4" t="s">
        <v>3281</v>
      </c>
      <c r="K1084" s="4" t="s">
        <v>765</v>
      </c>
      <c r="L1084" s="4">
        <v>1964</v>
      </c>
      <c r="M1084" s="4" t="s">
        <v>27</v>
      </c>
      <c r="N1084" s="4">
        <v>50</v>
      </c>
      <c r="O1084" s="4">
        <v>50</v>
      </c>
      <c r="P1084" s="4" t="s">
        <v>2255</v>
      </c>
      <c r="Q1084" s="4">
        <v>50</v>
      </c>
      <c r="R1084" s="4" t="s">
        <v>2255</v>
      </c>
    </row>
    <row r="1085" spans="1:18" x14ac:dyDescent="0.35">
      <c r="A1085" s="4" t="s">
        <v>3279</v>
      </c>
      <c r="B1085" s="4" t="s">
        <v>4080</v>
      </c>
      <c r="C1085" s="4" t="s">
        <v>1214</v>
      </c>
      <c r="D1085" s="4" t="s">
        <v>3280</v>
      </c>
      <c r="E1085" s="4" t="s">
        <v>2606</v>
      </c>
      <c r="F1085" s="4" t="s">
        <v>2255</v>
      </c>
      <c r="G1085" s="4" t="s">
        <v>2256</v>
      </c>
      <c r="H1085" s="4" t="s">
        <v>2249</v>
      </c>
      <c r="I1085" s="5">
        <v>37547</v>
      </c>
      <c r="J1085" s="4" t="s">
        <v>3281</v>
      </c>
      <c r="K1085" s="4" t="s">
        <v>765</v>
      </c>
      <c r="L1085" s="4">
        <v>1964</v>
      </c>
      <c r="M1085" s="4" t="s">
        <v>27</v>
      </c>
      <c r="N1085" s="4">
        <v>50</v>
      </c>
      <c r="O1085" s="4">
        <v>50</v>
      </c>
      <c r="P1085" s="4" t="s">
        <v>2255</v>
      </c>
      <c r="Q1085" s="4">
        <v>50</v>
      </c>
      <c r="R1085" s="4" t="s">
        <v>2255</v>
      </c>
    </row>
    <row r="1086" spans="1:18" hidden="1" x14ac:dyDescent="0.35">
      <c r="A1086" s="4" t="s">
        <v>4052</v>
      </c>
      <c r="B1086" s="4" t="s">
        <v>4080</v>
      </c>
      <c r="C1086" s="4" t="s">
        <v>4053</v>
      </c>
      <c r="D1086" s="4" t="s">
        <v>4054</v>
      </c>
      <c r="E1086" s="4" t="s">
        <v>2227</v>
      </c>
      <c r="F1086" s="4" t="s">
        <v>33</v>
      </c>
      <c r="G1086" s="4" t="s">
        <v>409</v>
      </c>
      <c r="H1086" s="4" t="s">
        <v>2231</v>
      </c>
      <c r="I1086" s="5">
        <v>99817</v>
      </c>
      <c r="J1086" s="4" t="s">
        <v>4055</v>
      </c>
      <c r="K1086" s="4" t="s">
        <v>2859</v>
      </c>
      <c r="L1086" s="4">
        <v>1993</v>
      </c>
      <c r="M1086" s="4" t="s">
        <v>27</v>
      </c>
      <c r="N1086" s="4">
        <v>9.5</v>
      </c>
      <c r="O1086" s="4">
        <v>9.5</v>
      </c>
      <c r="P1086" s="4" t="s">
        <v>2234</v>
      </c>
      <c r="Q1086" s="4">
        <v>9.5</v>
      </c>
      <c r="R1086" s="4" t="s">
        <v>2235</v>
      </c>
    </row>
    <row r="1087" spans="1:18" hidden="1" x14ac:dyDescent="0.35">
      <c r="A1087" s="4" t="s">
        <v>2227</v>
      </c>
      <c r="B1087" s="4" t="s">
        <v>4080</v>
      </c>
      <c r="C1087" s="4" t="s">
        <v>2227</v>
      </c>
      <c r="D1087" s="4" t="s">
        <v>2227</v>
      </c>
      <c r="E1087" s="4" t="s">
        <v>2227</v>
      </c>
      <c r="F1087" s="4" t="s">
        <v>2234</v>
      </c>
      <c r="G1087" s="4" t="s">
        <v>46</v>
      </c>
      <c r="H1087" s="4" t="s">
        <v>2231</v>
      </c>
      <c r="I1087" s="5" t="s">
        <v>2227</v>
      </c>
      <c r="J1087" s="5" t="s">
        <v>2227</v>
      </c>
      <c r="K1087" s="4" t="s">
        <v>32</v>
      </c>
      <c r="L1087" s="4" t="s">
        <v>2227</v>
      </c>
      <c r="M1087" s="4" t="s">
        <v>2459</v>
      </c>
      <c r="N1087" s="6">
        <v>850</v>
      </c>
      <c r="O1087" s="6">
        <v>767.37745776793133</v>
      </c>
      <c r="P1087" s="4" t="s">
        <v>2234</v>
      </c>
      <c r="Q1087" s="6">
        <v>767.37745776793133</v>
      </c>
      <c r="R1087" s="4" t="s">
        <v>2235</v>
      </c>
    </row>
    <row r="1088" spans="1:18" hidden="1" x14ac:dyDescent="0.35">
      <c r="A1088" s="4" t="s">
        <v>2227</v>
      </c>
      <c r="B1088" s="4" t="s">
        <v>4080</v>
      </c>
      <c r="C1088" s="4" t="s">
        <v>2227</v>
      </c>
      <c r="D1088" s="4" t="s">
        <v>2227</v>
      </c>
      <c r="E1088" s="4" t="s">
        <v>2227</v>
      </c>
      <c r="F1088" s="4" t="s">
        <v>2234</v>
      </c>
      <c r="G1088" s="4" t="s">
        <v>46</v>
      </c>
      <c r="H1088" s="4" t="s">
        <v>2231</v>
      </c>
      <c r="I1088" s="5" t="s">
        <v>2227</v>
      </c>
      <c r="J1088" s="5" t="s">
        <v>2227</v>
      </c>
      <c r="K1088" s="4" t="s">
        <v>32</v>
      </c>
      <c r="L1088" s="4">
        <v>2027</v>
      </c>
      <c r="M1088" s="4" t="s">
        <v>2459</v>
      </c>
      <c r="N1088" s="4">
        <v>870</v>
      </c>
      <c r="O1088" s="4">
        <v>870</v>
      </c>
      <c r="P1088" s="4" t="s">
        <v>2234</v>
      </c>
      <c r="Q1088" s="4">
        <v>870</v>
      </c>
      <c r="R1088" s="4" t="s">
        <v>2235</v>
      </c>
    </row>
    <row r="1089" spans="1:18" hidden="1" x14ac:dyDescent="0.35">
      <c r="A1089" s="4" t="s">
        <v>2227</v>
      </c>
      <c r="B1089" s="4" t="s">
        <v>4080</v>
      </c>
      <c r="C1089" s="4" t="s">
        <v>2227</v>
      </c>
      <c r="D1089" s="4" t="s">
        <v>2227</v>
      </c>
      <c r="E1089" s="4" t="s">
        <v>2227</v>
      </c>
      <c r="F1089" s="4" t="s">
        <v>2234</v>
      </c>
      <c r="G1089" s="4" t="s">
        <v>46</v>
      </c>
      <c r="H1089" s="4" t="s">
        <v>2231</v>
      </c>
      <c r="I1089" s="5" t="s">
        <v>2227</v>
      </c>
      <c r="J1089" s="5" t="s">
        <v>2227</v>
      </c>
      <c r="K1089" s="4" t="s">
        <v>32</v>
      </c>
      <c r="L1089" s="4" t="s">
        <v>2227</v>
      </c>
      <c r="M1089" s="4" t="s">
        <v>2459</v>
      </c>
      <c r="N1089" s="6">
        <v>850</v>
      </c>
      <c r="O1089" s="6">
        <v>767.37745776793133</v>
      </c>
      <c r="P1089" s="4" t="s">
        <v>2234</v>
      </c>
      <c r="Q1089" s="6">
        <v>767.37745776793133</v>
      </c>
      <c r="R1089" s="4" t="s">
        <v>2235</v>
      </c>
    </row>
    <row r="1090" spans="1:18" hidden="1" x14ac:dyDescent="0.35">
      <c r="A1090" s="4" t="s">
        <v>2227</v>
      </c>
      <c r="B1090" s="4" t="s">
        <v>4081</v>
      </c>
      <c r="C1090" s="4" t="s">
        <v>2227</v>
      </c>
      <c r="D1090" s="4" t="s">
        <v>2227</v>
      </c>
      <c r="E1090" s="4" t="s">
        <v>2227</v>
      </c>
      <c r="F1090" s="4" t="s">
        <v>2234</v>
      </c>
      <c r="G1090" s="4" t="s">
        <v>36</v>
      </c>
      <c r="H1090" s="4" t="s">
        <v>2249</v>
      </c>
      <c r="I1090" s="5" t="s">
        <v>2227</v>
      </c>
      <c r="J1090" s="5" t="s">
        <v>2227</v>
      </c>
      <c r="K1090" s="4" t="s">
        <v>2232</v>
      </c>
      <c r="L1090" s="4">
        <v>2035</v>
      </c>
      <c r="M1090" s="4" t="s">
        <v>2459</v>
      </c>
      <c r="N1090" s="4">
        <v>990</v>
      </c>
      <c r="O1090" s="4">
        <v>990</v>
      </c>
      <c r="P1090" s="4" t="s">
        <v>2234</v>
      </c>
      <c r="Q1090" s="4">
        <v>990</v>
      </c>
      <c r="R1090" s="4" t="s">
        <v>2235</v>
      </c>
    </row>
    <row r="1091" spans="1:18" hidden="1" x14ac:dyDescent="0.35">
      <c r="A1091" s="4" t="s">
        <v>2227</v>
      </c>
      <c r="B1091" s="4" t="s">
        <v>4081</v>
      </c>
      <c r="C1091" s="4" t="s">
        <v>2227</v>
      </c>
      <c r="D1091" s="4" t="s">
        <v>2227</v>
      </c>
      <c r="E1091" s="4" t="s">
        <v>2227</v>
      </c>
      <c r="F1091" s="4" t="s">
        <v>2234</v>
      </c>
      <c r="G1091" s="4" t="s">
        <v>36</v>
      </c>
      <c r="H1091" s="4" t="s">
        <v>2249</v>
      </c>
      <c r="I1091" s="5" t="s">
        <v>2227</v>
      </c>
      <c r="J1091" s="5" t="s">
        <v>2227</v>
      </c>
      <c r="K1091" s="4" t="s">
        <v>2232</v>
      </c>
      <c r="L1091" s="4">
        <v>2035</v>
      </c>
      <c r="M1091" s="4" t="s">
        <v>2459</v>
      </c>
      <c r="N1091" s="4">
        <v>1440</v>
      </c>
      <c r="O1091" s="4">
        <v>1440</v>
      </c>
      <c r="P1091" s="4" t="s">
        <v>2234</v>
      </c>
      <c r="Q1091" s="4">
        <v>1440</v>
      </c>
      <c r="R1091" s="4" t="s">
        <v>2235</v>
      </c>
    </row>
    <row r="1092" spans="1:18" hidden="1" x14ac:dyDescent="0.35">
      <c r="A1092" s="4" t="s">
        <v>2227</v>
      </c>
      <c r="B1092" s="4" t="s">
        <v>4080</v>
      </c>
      <c r="C1092" s="4" t="s">
        <v>2227</v>
      </c>
      <c r="D1092" s="4" t="s">
        <v>2227</v>
      </c>
      <c r="E1092" s="4" t="s">
        <v>2227</v>
      </c>
      <c r="F1092" s="4" t="s">
        <v>2234</v>
      </c>
      <c r="G1092" s="4" t="s">
        <v>46</v>
      </c>
      <c r="H1092" s="4" t="s">
        <v>2231</v>
      </c>
      <c r="I1092" s="5" t="s">
        <v>2227</v>
      </c>
      <c r="J1092" s="5" t="s">
        <v>2227</v>
      </c>
      <c r="K1092" s="4" t="s">
        <v>132</v>
      </c>
      <c r="L1092" s="4">
        <v>2027</v>
      </c>
      <c r="M1092" s="4" t="s">
        <v>2459</v>
      </c>
      <c r="N1092" s="4">
        <v>870</v>
      </c>
      <c r="O1092" s="4">
        <v>870</v>
      </c>
      <c r="P1092" s="4" t="s">
        <v>2234</v>
      </c>
      <c r="Q1092" s="4">
        <v>870</v>
      </c>
      <c r="R1092" s="4" t="s">
        <v>2235</v>
      </c>
    </row>
    <row r="1093" spans="1:18" hidden="1" x14ac:dyDescent="0.35">
      <c r="A1093" s="4" t="s">
        <v>2227</v>
      </c>
      <c r="B1093" s="4" t="s">
        <v>4080</v>
      </c>
      <c r="C1093" s="4" t="s">
        <v>2227</v>
      </c>
      <c r="D1093" s="4" t="s">
        <v>2227</v>
      </c>
      <c r="E1093" s="4" t="s">
        <v>2227</v>
      </c>
      <c r="F1093" s="4" t="s">
        <v>2234</v>
      </c>
      <c r="G1093" s="4" t="s">
        <v>46</v>
      </c>
      <c r="H1093" s="4" t="s">
        <v>2231</v>
      </c>
      <c r="I1093" s="5" t="s">
        <v>2227</v>
      </c>
      <c r="J1093" s="5" t="s">
        <v>2227</v>
      </c>
      <c r="K1093" s="4" t="s">
        <v>119</v>
      </c>
      <c r="L1093" s="4">
        <v>2028</v>
      </c>
      <c r="M1093" s="4" t="s">
        <v>2459</v>
      </c>
      <c r="N1093" s="6">
        <v>939</v>
      </c>
      <c r="O1093" s="6">
        <v>847.72639158127936</v>
      </c>
      <c r="P1093" s="4" t="s">
        <v>2234</v>
      </c>
      <c r="Q1093" s="6">
        <v>847.72639158127936</v>
      </c>
      <c r="R1093" s="4" t="s">
        <v>2235</v>
      </c>
    </row>
    <row r="1094" spans="1:18" hidden="1" x14ac:dyDescent="0.35">
      <c r="A1094" s="4" t="s">
        <v>2227</v>
      </c>
      <c r="B1094" s="4" t="s">
        <v>4080</v>
      </c>
      <c r="C1094" s="4" t="s">
        <v>4056</v>
      </c>
      <c r="D1094" s="4" t="s">
        <v>4057</v>
      </c>
      <c r="E1094" s="4" t="s">
        <v>4058</v>
      </c>
      <c r="F1094" s="4" t="s">
        <v>2255</v>
      </c>
      <c r="G1094" s="4" t="s">
        <v>2256</v>
      </c>
      <c r="H1094" s="4" t="s">
        <v>2249</v>
      </c>
      <c r="I1094" s="5" t="s">
        <v>2857</v>
      </c>
      <c r="J1094" s="4" t="s">
        <v>4059</v>
      </c>
      <c r="K1094" s="4" t="s">
        <v>2859</v>
      </c>
      <c r="L1094" s="4">
        <v>2034</v>
      </c>
      <c r="M1094" s="4" t="s">
        <v>2459</v>
      </c>
      <c r="N1094" s="4">
        <v>201</v>
      </c>
      <c r="O1094" s="4">
        <v>201</v>
      </c>
      <c r="P1094" s="4" t="s">
        <v>2255</v>
      </c>
      <c r="Q1094" s="4">
        <v>201</v>
      </c>
      <c r="R1094" s="4" t="s">
        <v>2255</v>
      </c>
    </row>
    <row r="1095" spans="1:18" hidden="1" x14ac:dyDescent="0.35">
      <c r="A1095" s="4" t="s">
        <v>2227</v>
      </c>
      <c r="B1095" s="4" t="s">
        <v>4080</v>
      </c>
      <c r="C1095" s="4" t="s">
        <v>4056</v>
      </c>
      <c r="D1095" s="4" t="s">
        <v>4057</v>
      </c>
      <c r="E1095" s="4" t="s">
        <v>3212</v>
      </c>
      <c r="F1095" s="4" t="s">
        <v>2255</v>
      </c>
      <c r="G1095" s="4" t="s">
        <v>2256</v>
      </c>
      <c r="H1095" s="4" t="s">
        <v>2249</v>
      </c>
      <c r="I1095" s="5" t="s">
        <v>2857</v>
      </c>
      <c r="J1095" s="4" t="s">
        <v>4059</v>
      </c>
      <c r="K1095" s="4" t="s">
        <v>2859</v>
      </c>
      <c r="L1095" s="4">
        <v>2034</v>
      </c>
      <c r="M1095" s="4" t="s">
        <v>2459</v>
      </c>
      <c r="N1095" s="4">
        <v>201</v>
      </c>
      <c r="O1095" s="4">
        <v>201</v>
      </c>
      <c r="P1095" s="4" t="s">
        <v>2255</v>
      </c>
      <c r="Q1095" s="4">
        <v>201</v>
      </c>
      <c r="R1095" s="4" t="s">
        <v>2255</v>
      </c>
    </row>
    <row r="1096" spans="1:18" hidden="1" x14ac:dyDescent="0.35">
      <c r="A1096" s="4" t="s">
        <v>4060</v>
      </c>
      <c r="B1096" s="4" t="s">
        <v>4081</v>
      </c>
      <c r="C1096" s="4" t="s">
        <v>4061</v>
      </c>
      <c r="D1096" s="4" t="s">
        <v>4062</v>
      </c>
      <c r="E1096" s="4" t="s">
        <v>2150</v>
      </c>
      <c r="F1096" s="4" t="s">
        <v>2255</v>
      </c>
      <c r="G1096" s="4" t="s">
        <v>2256</v>
      </c>
      <c r="H1096" s="4" t="s">
        <v>2249</v>
      </c>
      <c r="I1096" s="5" t="s">
        <v>4063</v>
      </c>
      <c r="J1096" s="4" t="s">
        <v>4064</v>
      </c>
      <c r="K1096" s="4" t="s">
        <v>2227</v>
      </c>
      <c r="L1096" s="4">
        <v>1962</v>
      </c>
      <c r="M1096" s="4" t="s">
        <v>27</v>
      </c>
      <c r="N1096" s="4">
        <v>100</v>
      </c>
      <c r="O1096" s="4">
        <v>100</v>
      </c>
      <c r="P1096" s="4" t="s">
        <v>2255</v>
      </c>
      <c r="Q1096" s="4">
        <v>100</v>
      </c>
      <c r="R1096" s="4" t="s">
        <v>2255</v>
      </c>
    </row>
    <row r="1097" spans="1:18" hidden="1" x14ac:dyDescent="0.35">
      <c r="A1097" s="4" t="s">
        <v>4065</v>
      </c>
      <c r="B1097" s="4" t="s">
        <v>4081</v>
      </c>
      <c r="C1097" s="4" t="s">
        <v>4061</v>
      </c>
      <c r="D1097" s="4" t="s">
        <v>4062</v>
      </c>
      <c r="E1097" s="4" t="s">
        <v>2153</v>
      </c>
      <c r="F1097" s="4" t="s">
        <v>2255</v>
      </c>
      <c r="G1097" s="4" t="s">
        <v>2256</v>
      </c>
      <c r="H1097" s="4" t="s">
        <v>2249</v>
      </c>
      <c r="I1097" s="5" t="s">
        <v>4063</v>
      </c>
      <c r="J1097" s="4" t="s">
        <v>4064</v>
      </c>
      <c r="K1097" s="4" t="s">
        <v>2227</v>
      </c>
      <c r="L1097" s="4">
        <v>1962</v>
      </c>
      <c r="M1097" s="4" t="s">
        <v>27</v>
      </c>
      <c r="N1097" s="4">
        <v>100</v>
      </c>
      <c r="O1097" s="4">
        <v>100</v>
      </c>
      <c r="P1097" s="4" t="s">
        <v>2255</v>
      </c>
      <c r="Q1097" s="4">
        <v>100</v>
      </c>
      <c r="R1097" s="4" t="s">
        <v>2255</v>
      </c>
    </row>
    <row r="1098" spans="1:18" hidden="1" x14ac:dyDescent="0.35">
      <c r="A1098" s="4" t="s">
        <v>4066</v>
      </c>
      <c r="B1098" s="4" t="s">
        <v>4081</v>
      </c>
      <c r="C1098" s="4" t="s">
        <v>4061</v>
      </c>
      <c r="D1098" s="4" t="s">
        <v>4062</v>
      </c>
      <c r="E1098" s="4" t="s">
        <v>2155</v>
      </c>
      <c r="F1098" s="4" t="s">
        <v>2255</v>
      </c>
      <c r="G1098" s="4" t="s">
        <v>2256</v>
      </c>
      <c r="H1098" s="4" t="s">
        <v>2249</v>
      </c>
      <c r="I1098" s="5" t="s">
        <v>4063</v>
      </c>
      <c r="J1098" s="4" t="s">
        <v>4064</v>
      </c>
      <c r="K1098" s="4" t="s">
        <v>2227</v>
      </c>
      <c r="L1098" s="4">
        <v>1963</v>
      </c>
      <c r="M1098" s="4" t="s">
        <v>27</v>
      </c>
      <c r="N1098" s="4">
        <v>100</v>
      </c>
      <c r="O1098" s="4">
        <v>100</v>
      </c>
      <c r="P1098" s="4" t="s">
        <v>2255</v>
      </c>
      <c r="Q1098" s="4">
        <v>100</v>
      </c>
      <c r="R1098" s="4" t="s">
        <v>2255</v>
      </c>
    </row>
    <row r="1099" spans="1:18" hidden="1" x14ac:dyDescent="0.35">
      <c r="A1099" s="4" t="s">
        <v>4067</v>
      </c>
      <c r="B1099" s="4" t="s">
        <v>4081</v>
      </c>
      <c r="C1099" s="4" t="s">
        <v>4061</v>
      </c>
      <c r="D1099" s="4" t="s">
        <v>4062</v>
      </c>
      <c r="E1099" s="4" t="s">
        <v>2157</v>
      </c>
      <c r="F1099" s="4" t="s">
        <v>2255</v>
      </c>
      <c r="G1099" s="4" t="s">
        <v>2256</v>
      </c>
      <c r="H1099" s="4" t="s">
        <v>2249</v>
      </c>
      <c r="I1099" s="5" t="s">
        <v>4063</v>
      </c>
      <c r="J1099" s="4" t="s">
        <v>4064</v>
      </c>
      <c r="K1099" s="4" t="s">
        <v>2227</v>
      </c>
      <c r="L1099" s="4">
        <v>1963</v>
      </c>
      <c r="M1099" s="4" t="s">
        <v>27</v>
      </c>
      <c r="N1099" s="4">
        <v>100</v>
      </c>
      <c r="O1099" s="4">
        <v>100</v>
      </c>
      <c r="P1099" s="4" t="s">
        <v>2255</v>
      </c>
      <c r="Q1099" s="4">
        <v>100</v>
      </c>
      <c r="R1099" s="4" t="s">
        <v>2255</v>
      </c>
    </row>
    <row r="1100" spans="1:18" hidden="1" x14ac:dyDescent="0.35">
      <c r="A1100" s="4" t="s">
        <v>4068</v>
      </c>
      <c r="B1100" s="4" t="s">
        <v>4081</v>
      </c>
      <c r="C1100" s="4" t="s">
        <v>4061</v>
      </c>
      <c r="D1100" s="4" t="s">
        <v>4062</v>
      </c>
      <c r="E1100" s="4" t="s">
        <v>2254</v>
      </c>
      <c r="F1100" s="4" t="s">
        <v>2255</v>
      </c>
      <c r="G1100" s="4" t="s">
        <v>2256</v>
      </c>
      <c r="H1100" s="4" t="s">
        <v>2249</v>
      </c>
      <c r="I1100" s="5" t="s">
        <v>4063</v>
      </c>
      <c r="J1100" s="4" t="s">
        <v>4064</v>
      </c>
      <c r="K1100" s="4" t="s">
        <v>2227</v>
      </c>
      <c r="L1100" s="4">
        <v>1963</v>
      </c>
      <c r="M1100" s="4" t="s">
        <v>27</v>
      </c>
      <c r="N1100" s="4">
        <v>100</v>
      </c>
      <c r="O1100" s="4">
        <v>100</v>
      </c>
      <c r="P1100" s="4" t="s">
        <v>2255</v>
      </c>
      <c r="Q1100" s="4">
        <v>100</v>
      </c>
      <c r="R1100" s="4" t="s">
        <v>2255</v>
      </c>
    </row>
    <row r="1101" spans="1:18" hidden="1" x14ac:dyDescent="0.35">
      <c r="A1101" s="4" t="s">
        <v>4069</v>
      </c>
      <c r="B1101" s="4" t="s">
        <v>4081</v>
      </c>
      <c r="C1101" s="4" t="s">
        <v>4061</v>
      </c>
      <c r="D1101" s="4" t="s">
        <v>4062</v>
      </c>
      <c r="E1101" s="4" t="s">
        <v>2259</v>
      </c>
      <c r="F1101" s="4" t="s">
        <v>2255</v>
      </c>
      <c r="G1101" s="4" t="s">
        <v>2256</v>
      </c>
      <c r="H1101" s="4" t="s">
        <v>2249</v>
      </c>
      <c r="I1101" s="5" t="s">
        <v>4063</v>
      </c>
      <c r="J1101" s="4" t="s">
        <v>4064</v>
      </c>
      <c r="K1101" s="4" t="s">
        <v>2227</v>
      </c>
      <c r="L1101" s="4">
        <v>1964</v>
      </c>
      <c r="M1101" s="4" t="s">
        <v>27</v>
      </c>
      <c r="N1101" s="4">
        <v>100</v>
      </c>
      <c r="O1101" s="4">
        <v>100</v>
      </c>
      <c r="P1101" s="4" t="s">
        <v>2255</v>
      </c>
      <c r="Q1101" s="4">
        <v>100</v>
      </c>
      <c r="R1101" s="4" t="s">
        <v>2255</v>
      </c>
    </row>
    <row r="1102" spans="1:18" hidden="1" x14ac:dyDescent="0.35">
      <c r="A1102" s="4" t="s">
        <v>4070</v>
      </c>
      <c r="B1102" s="4" t="s">
        <v>4081</v>
      </c>
      <c r="C1102" s="4" t="s">
        <v>4061</v>
      </c>
      <c r="D1102" s="4" t="s">
        <v>4062</v>
      </c>
      <c r="E1102" s="4" t="s">
        <v>4071</v>
      </c>
      <c r="F1102" s="4" t="s">
        <v>2255</v>
      </c>
      <c r="G1102" s="4" t="s">
        <v>2256</v>
      </c>
      <c r="H1102" s="4" t="s">
        <v>2249</v>
      </c>
      <c r="I1102" s="5" t="s">
        <v>4063</v>
      </c>
      <c r="J1102" s="4" t="s">
        <v>4064</v>
      </c>
      <c r="K1102" s="4" t="s">
        <v>2227</v>
      </c>
      <c r="L1102" s="4">
        <v>1964</v>
      </c>
      <c r="M1102" s="4" t="s">
        <v>27</v>
      </c>
      <c r="N1102" s="4">
        <v>100</v>
      </c>
      <c r="O1102" s="4">
        <v>100</v>
      </c>
      <c r="P1102" s="4" t="s">
        <v>2255</v>
      </c>
      <c r="Q1102" s="4">
        <v>100</v>
      </c>
      <c r="R1102" s="4" t="s">
        <v>2255</v>
      </c>
    </row>
    <row r="1103" spans="1:18" hidden="1" x14ac:dyDescent="0.35">
      <c r="A1103" s="4" t="s">
        <v>4072</v>
      </c>
      <c r="B1103" s="4" t="s">
        <v>4081</v>
      </c>
      <c r="C1103" s="4" t="s">
        <v>4061</v>
      </c>
      <c r="D1103" s="4" t="s">
        <v>4062</v>
      </c>
      <c r="E1103" s="4" t="s">
        <v>4073</v>
      </c>
      <c r="F1103" s="4" t="s">
        <v>2255</v>
      </c>
      <c r="G1103" s="4" t="s">
        <v>2256</v>
      </c>
      <c r="H1103" s="4" t="s">
        <v>2249</v>
      </c>
      <c r="I1103" s="5" t="s">
        <v>4063</v>
      </c>
      <c r="J1103" s="4" t="s">
        <v>4064</v>
      </c>
      <c r="K1103" s="4" t="s">
        <v>2227</v>
      </c>
      <c r="L1103" s="4">
        <v>1963</v>
      </c>
      <c r="M1103" s="4" t="s">
        <v>27</v>
      </c>
      <c r="N1103" s="4">
        <v>100</v>
      </c>
      <c r="O1103" s="4">
        <v>100</v>
      </c>
      <c r="P1103" s="4" t="s">
        <v>2255</v>
      </c>
      <c r="Q1103" s="4">
        <v>100</v>
      </c>
      <c r="R1103" s="4" t="s">
        <v>2255</v>
      </c>
    </row>
    <row r="1104" spans="1:18" hidden="1" x14ac:dyDescent="0.35">
      <c r="A1104" s="4" t="s">
        <v>4074</v>
      </c>
      <c r="B1104" s="4" t="s">
        <v>4081</v>
      </c>
      <c r="C1104" s="4" t="s">
        <v>4061</v>
      </c>
      <c r="D1104" s="4" t="s">
        <v>4062</v>
      </c>
      <c r="E1104" s="4" t="s">
        <v>4075</v>
      </c>
      <c r="F1104" s="4" t="s">
        <v>2255</v>
      </c>
      <c r="G1104" s="4" t="s">
        <v>2256</v>
      </c>
      <c r="H1104" s="4" t="s">
        <v>2249</v>
      </c>
      <c r="I1104" s="5" t="s">
        <v>4063</v>
      </c>
      <c r="J1104" s="4" t="s">
        <v>4064</v>
      </c>
      <c r="K1104" s="4" t="s">
        <v>2227</v>
      </c>
      <c r="L1104" s="4">
        <v>1964</v>
      </c>
      <c r="M1104" s="4" t="s">
        <v>27</v>
      </c>
      <c r="N1104" s="4">
        <v>100</v>
      </c>
      <c r="O1104" s="4">
        <v>100</v>
      </c>
      <c r="P1104" s="4" t="s">
        <v>2255</v>
      </c>
      <c r="Q1104" s="4">
        <v>100</v>
      </c>
      <c r="R1104" s="4" t="s">
        <v>2255</v>
      </c>
    </row>
    <row r="1105" spans="1:18" hidden="1" x14ac:dyDescent="0.35">
      <c r="A1105" s="4" t="s">
        <v>2227</v>
      </c>
      <c r="B1105" s="4" t="s">
        <v>4081</v>
      </c>
      <c r="C1105" s="4" t="s">
        <v>2227</v>
      </c>
      <c r="D1105" s="4" t="s">
        <v>2227</v>
      </c>
      <c r="E1105" s="4" t="s">
        <v>2227</v>
      </c>
      <c r="F1105" s="4" t="s">
        <v>2234</v>
      </c>
      <c r="G1105" s="4" t="s">
        <v>46</v>
      </c>
      <c r="H1105" s="4" t="s">
        <v>2231</v>
      </c>
      <c r="I1105" s="5" t="s">
        <v>2227</v>
      </c>
      <c r="J1105" s="5" t="s">
        <v>2227</v>
      </c>
      <c r="K1105" s="4" t="s">
        <v>2232</v>
      </c>
      <c r="L1105" s="4" t="s">
        <v>2227</v>
      </c>
      <c r="M1105" s="4" t="s">
        <v>2459</v>
      </c>
      <c r="N1105" s="4">
        <v>960</v>
      </c>
      <c r="O1105" s="4">
        <v>960</v>
      </c>
      <c r="P1105" s="4" t="s">
        <v>2234</v>
      </c>
      <c r="Q1105" s="4">
        <v>960</v>
      </c>
      <c r="R1105" s="4" t="s">
        <v>2235</v>
      </c>
    </row>
    <row r="1106" spans="1:18" hidden="1" x14ac:dyDescent="0.35">
      <c r="A1106" s="4" t="s">
        <v>2227</v>
      </c>
      <c r="B1106" s="4" t="s">
        <v>4081</v>
      </c>
      <c r="C1106" s="4" t="s">
        <v>2227</v>
      </c>
      <c r="D1106" s="4" t="s">
        <v>2227</v>
      </c>
      <c r="E1106" s="4" t="s">
        <v>2227</v>
      </c>
      <c r="F1106" s="4" t="s">
        <v>2234</v>
      </c>
      <c r="G1106" s="4" t="s">
        <v>46</v>
      </c>
      <c r="H1106" s="4" t="s">
        <v>2231</v>
      </c>
      <c r="I1106" s="5" t="s">
        <v>2227</v>
      </c>
      <c r="J1106" s="5" t="s">
        <v>2227</v>
      </c>
      <c r="K1106" s="4" t="s">
        <v>2232</v>
      </c>
      <c r="L1106" s="4" t="s">
        <v>2227</v>
      </c>
      <c r="M1106" s="4" t="s">
        <v>2459</v>
      </c>
      <c r="N1106" s="4">
        <v>190</v>
      </c>
      <c r="O1106" s="4">
        <v>190</v>
      </c>
      <c r="P1106" s="4" t="s">
        <v>2234</v>
      </c>
      <c r="Q1106" s="4">
        <v>190</v>
      </c>
      <c r="R1106" s="4" t="s">
        <v>2235</v>
      </c>
    </row>
    <row r="1107" spans="1:18" hidden="1" x14ac:dyDescent="0.35">
      <c r="A1107" s="4" t="s">
        <v>2227</v>
      </c>
      <c r="B1107" s="4" t="s">
        <v>4081</v>
      </c>
      <c r="C1107" s="4" t="s">
        <v>2227</v>
      </c>
      <c r="D1107" s="4" t="s">
        <v>2227</v>
      </c>
      <c r="E1107" s="4" t="s">
        <v>2227</v>
      </c>
      <c r="F1107" s="4" t="s">
        <v>2234</v>
      </c>
      <c r="G1107" s="4" t="s">
        <v>46</v>
      </c>
      <c r="H1107" s="4" t="s">
        <v>2231</v>
      </c>
      <c r="I1107" s="5" t="s">
        <v>2227</v>
      </c>
      <c r="J1107" s="5" t="s">
        <v>2227</v>
      </c>
      <c r="K1107" s="4" t="s">
        <v>2232</v>
      </c>
      <c r="L1107" s="4">
        <v>2035</v>
      </c>
      <c r="M1107" s="4" t="s">
        <v>2459</v>
      </c>
      <c r="N1107" s="4">
        <v>300</v>
      </c>
      <c r="O1107" s="4">
        <v>300</v>
      </c>
      <c r="P1107" s="4" t="s">
        <v>2234</v>
      </c>
      <c r="Q1107" s="4">
        <v>300</v>
      </c>
      <c r="R1107" s="4" t="s">
        <v>2235</v>
      </c>
    </row>
    <row r="1108" spans="1:18" hidden="1" x14ac:dyDescent="0.35">
      <c r="A1108" s="4" t="s">
        <v>2227</v>
      </c>
      <c r="B1108" s="4" t="s">
        <v>4081</v>
      </c>
      <c r="C1108" s="4" t="s">
        <v>2227</v>
      </c>
      <c r="D1108" s="4" t="s">
        <v>2227</v>
      </c>
      <c r="E1108" s="4" t="s">
        <v>2227</v>
      </c>
      <c r="F1108" s="4" t="s">
        <v>2234</v>
      </c>
      <c r="G1108" s="4" t="s">
        <v>46</v>
      </c>
      <c r="H1108" s="4" t="s">
        <v>2231</v>
      </c>
      <c r="I1108" s="5" t="s">
        <v>2227</v>
      </c>
      <c r="J1108" s="5" t="s">
        <v>2227</v>
      </c>
      <c r="K1108" s="4" t="s">
        <v>2232</v>
      </c>
      <c r="L1108" s="4">
        <v>2035</v>
      </c>
      <c r="M1108" s="4" t="s">
        <v>2459</v>
      </c>
      <c r="N1108" s="4">
        <v>300</v>
      </c>
      <c r="O1108" s="4">
        <v>300</v>
      </c>
      <c r="P1108" s="4" t="s">
        <v>2234</v>
      </c>
      <c r="Q1108" s="4">
        <v>300</v>
      </c>
      <c r="R1108" s="4" t="s">
        <v>2235</v>
      </c>
    </row>
    <row r="1109" spans="1:18" hidden="1" x14ac:dyDescent="0.35">
      <c r="A1109" s="4" t="s">
        <v>2227</v>
      </c>
      <c r="B1109" s="4" t="s">
        <v>4081</v>
      </c>
      <c r="C1109" s="4" t="s">
        <v>2227</v>
      </c>
      <c r="D1109" s="4" t="s">
        <v>2227</v>
      </c>
      <c r="E1109" s="4" t="s">
        <v>2227</v>
      </c>
      <c r="F1109" s="4" t="s">
        <v>2234</v>
      </c>
      <c r="G1109" s="4" t="s">
        <v>46</v>
      </c>
      <c r="H1109" s="4" t="s">
        <v>2231</v>
      </c>
      <c r="I1109" s="5" t="s">
        <v>2227</v>
      </c>
      <c r="J1109" s="5" t="s">
        <v>2227</v>
      </c>
      <c r="K1109" s="4" t="s">
        <v>2232</v>
      </c>
      <c r="L1109" s="4">
        <v>2035</v>
      </c>
      <c r="M1109" s="4" t="s">
        <v>2459</v>
      </c>
      <c r="N1109" s="4">
        <v>80</v>
      </c>
      <c r="O1109" s="4">
        <v>80</v>
      </c>
      <c r="P1109" s="4" t="s">
        <v>2234</v>
      </c>
      <c r="Q1109" s="4">
        <v>80</v>
      </c>
      <c r="R1109" s="4" t="s">
        <v>2235</v>
      </c>
    </row>
    <row r="1110" spans="1:18" hidden="1" x14ac:dyDescent="0.35">
      <c r="A1110" s="4" t="s">
        <v>2227</v>
      </c>
      <c r="B1110" s="4" t="s">
        <v>4081</v>
      </c>
      <c r="C1110" s="4" t="s">
        <v>2227</v>
      </c>
      <c r="D1110" s="4" t="s">
        <v>2227</v>
      </c>
      <c r="E1110" s="4" t="s">
        <v>2227</v>
      </c>
      <c r="F1110" s="4" t="s">
        <v>2234</v>
      </c>
      <c r="G1110" s="4" t="s">
        <v>46</v>
      </c>
      <c r="H1110" s="4" t="s">
        <v>2231</v>
      </c>
      <c r="I1110" s="5" t="s">
        <v>2227</v>
      </c>
      <c r="J1110" s="5" t="s">
        <v>2227</v>
      </c>
      <c r="K1110" s="4" t="s">
        <v>2232</v>
      </c>
      <c r="L1110" s="4">
        <v>2028</v>
      </c>
      <c r="M1110" s="4" t="s">
        <v>2459</v>
      </c>
      <c r="N1110" s="4">
        <v>16</v>
      </c>
      <c r="O1110" s="4">
        <v>16</v>
      </c>
      <c r="P1110" s="4" t="s">
        <v>2234</v>
      </c>
      <c r="Q1110" s="4">
        <v>16</v>
      </c>
      <c r="R1110" s="4" t="s">
        <v>2235</v>
      </c>
    </row>
    <row r="1111" spans="1:18" x14ac:dyDescent="0.35">
      <c r="A1111" s="4" t="s">
        <v>2227</v>
      </c>
      <c r="B1111" s="4" t="s">
        <v>4080</v>
      </c>
      <c r="C1111" s="4" t="s">
        <v>2227</v>
      </c>
      <c r="D1111" s="4" t="s">
        <v>2227</v>
      </c>
      <c r="E1111" s="4" t="s">
        <v>2227</v>
      </c>
      <c r="F1111" s="4" t="s">
        <v>2234</v>
      </c>
      <c r="G1111" s="4" t="s">
        <v>46</v>
      </c>
      <c r="H1111" s="4" t="s">
        <v>2231</v>
      </c>
      <c r="I1111" s="5" t="s">
        <v>2227</v>
      </c>
      <c r="J1111" s="5" t="s">
        <v>2227</v>
      </c>
      <c r="K1111" s="4" t="s">
        <v>765</v>
      </c>
      <c r="L1111" s="4" t="s">
        <v>2227</v>
      </c>
      <c r="M1111" s="4" t="s">
        <v>2459</v>
      </c>
      <c r="N1111" s="4">
        <v>900</v>
      </c>
      <c r="O1111" s="4">
        <v>900</v>
      </c>
      <c r="P1111" s="4" t="s">
        <v>2234</v>
      </c>
      <c r="Q1111" s="4">
        <v>900</v>
      </c>
      <c r="R1111" s="4" t="s">
        <v>2235</v>
      </c>
    </row>
    <row r="1112" spans="1:18" x14ac:dyDescent="0.35">
      <c r="A1112" s="4" t="s">
        <v>2227</v>
      </c>
      <c r="B1112" s="4" t="s">
        <v>4080</v>
      </c>
      <c r="C1112" s="4" t="s">
        <v>2227</v>
      </c>
      <c r="D1112" s="4" t="s">
        <v>2227</v>
      </c>
      <c r="E1112" s="4" t="s">
        <v>2227</v>
      </c>
      <c r="F1112" s="4" t="s">
        <v>2234</v>
      </c>
      <c r="G1112" s="4" t="s">
        <v>46</v>
      </c>
      <c r="H1112" s="4" t="s">
        <v>2231</v>
      </c>
      <c r="I1112" s="5" t="s">
        <v>2227</v>
      </c>
      <c r="J1112" s="5" t="s">
        <v>2227</v>
      </c>
      <c r="K1112" s="4" t="s">
        <v>865</v>
      </c>
      <c r="L1112" s="4" t="s">
        <v>2227</v>
      </c>
      <c r="M1112" s="4" t="s">
        <v>2459</v>
      </c>
      <c r="N1112" s="4">
        <v>880</v>
      </c>
      <c r="O1112" s="4">
        <v>880</v>
      </c>
      <c r="P1112" s="4" t="s">
        <v>2234</v>
      </c>
      <c r="Q1112" s="4">
        <v>880</v>
      </c>
      <c r="R1112" s="4" t="s">
        <v>2235</v>
      </c>
    </row>
    <row r="1113" spans="1:18" x14ac:dyDescent="0.35">
      <c r="A1113" s="4" t="s">
        <v>2227</v>
      </c>
      <c r="B1113" s="4" t="s">
        <v>4080</v>
      </c>
      <c r="C1113" s="4" t="s">
        <v>2227</v>
      </c>
      <c r="D1113" s="4" t="s">
        <v>2227</v>
      </c>
      <c r="E1113" s="4" t="s">
        <v>2227</v>
      </c>
      <c r="F1113" s="4" t="s">
        <v>2234</v>
      </c>
      <c r="G1113" s="4" t="s">
        <v>46</v>
      </c>
      <c r="H1113" s="4" t="s">
        <v>2231</v>
      </c>
      <c r="I1113" s="5" t="s">
        <v>2227</v>
      </c>
      <c r="J1113" s="5" t="s">
        <v>2227</v>
      </c>
      <c r="K1113" s="4" t="s">
        <v>865</v>
      </c>
      <c r="L1113" s="4" t="s">
        <v>2227</v>
      </c>
      <c r="M1113" s="4" t="s">
        <v>2459</v>
      </c>
      <c r="N1113" s="4">
        <v>124</v>
      </c>
      <c r="O1113" s="4">
        <v>124</v>
      </c>
      <c r="P1113" s="4" t="s">
        <v>2234</v>
      </c>
      <c r="Q1113" s="4">
        <v>124</v>
      </c>
      <c r="R1113" s="4" t="s">
        <v>2235</v>
      </c>
    </row>
    <row r="1114" spans="1:18" hidden="1" x14ac:dyDescent="0.35">
      <c r="A1114" s="4" t="s">
        <v>2227</v>
      </c>
      <c r="B1114" s="4" t="s">
        <v>4081</v>
      </c>
      <c r="C1114" s="4" t="s">
        <v>2227</v>
      </c>
      <c r="D1114" s="4" t="s">
        <v>2227</v>
      </c>
      <c r="E1114" s="4" t="s">
        <v>2227</v>
      </c>
      <c r="F1114" s="4" t="s">
        <v>2234</v>
      </c>
      <c r="G1114" s="4" t="s">
        <v>46</v>
      </c>
      <c r="H1114" s="4" t="s">
        <v>2231</v>
      </c>
      <c r="I1114" s="5" t="s">
        <v>2227</v>
      </c>
      <c r="J1114" s="5" t="s">
        <v>2227</v>
      </c>
      <c r="K1114" s="4" t="s">
        <v>701</v>
      </c>
      <c r="L1114" s="4" t="s">
        <v>2227</v>
      </c>
      <c r="M1114" s="4" t="s">
        <v>2459</v>
      </c>
      <c r="N1114" s="4">
        <v>100</v>
      </c>
      <c r="O1114" s="4">
        <v>100</v>
      </c>
      <c r="P1114" s="4" t="s">
        <v>2234</v>
      </c>
      <c r="Q1114" s="4">
        <v>100</v>
      </c>
      <c r="R1114" s="4" t="s">
        <v>2235</v>
      </c>
    </row>
    <row r="1115" spans="1:18" x14ac:dyDescent="0.35">
      <c r="A1115" s="4" t="s">
        <v>2227</v>
      </c>
      <c r="B1115" s="4" t="s">
        <v>4080</v>
      </c>
      <c r="C1115" s="4" t="s">
        <v>2227</v>
      </c>
      <c r="D1115" s="4" t="s">
        <v>2227</v>
      </c>
      <c r="E1115" s="4" t="s">
        <v>2227</v>
      </c>
      <c r="F1115" s="4" t="s">
        <v>2234</v>
      </c>
      <c r="G1115" s="4" t="s">
        <v>36</v>
      </c>
      <c r="H1115" s="4" t="s">
        <v>2249</v>
      </c>
      <c r="I1115" s="5" t="s">
        <v>2227</v>
      </c>
      <c r="J1115" s="5" t="s">
        <v>2227</v>
      </c>
      <c r="K1115" s="4" t="s">
        <v>765</v>
      </c>
      <c r="L1115" s="4">
        <v>2029</v>
      </c>
      <c r="M1115" s="4" t="s">
        <v>2459</v>
      </c>
      <c r="N1115" s="7">
        <v>40</v>
      </c>
      <c r="O1115" s="7">
        <v>15.64245810055866</v>
      </c>
      <c r="P1115" s="4" t="s">
        <v>2234</v>
      </c>
      <c r="Q1115" s="7">
        <v>15.64245810055866</v>
      </c>
      <c r="R1115" s="4" t="s">
        <v>2235</v>
      </c>
    </row>
    <row r="1116" spans="1:18" x14ac:dyDescent="0.35">
      <c r="A1116" s="4" t="s">
        <v>2227</v>
      </c>
      <c r="B1116" s="4" t="s">
        <v>4080</v>
      </c>
      <c r="C1116" s="4" t="s">
        <v>2227</v>
      </c>
      <c r="D1116" s="4" t="s">
        <v>2227</v>
      </c>
      <c r="E1116" s="4" t="s">
        <v>2227</v>
      </c>
      <c r="F1116" s="4" t="s">
        <v>2234</v>
      </c>
      <c r="G1116" s="4" t="s">
        <v>36</v>
      </c>
      <c r="H1116" s="4" t="s">
        <v>2249</v>
      </c>
      <c r="I1116" s="5" t="s">
        <v>2227</v>
      </c>
      <c r="J1116" s="5" t="s">
        <v>2227</v>
      </c>
      <c r="K1116" s="4" t="s">
        <v>765</v>
      </c>
      <c r="L1116" s="4">
        <v>2032</v>
      </c>
      <c r="M1116" s="4" t="s">
        <v>2459</v>
      </c>
      <c r="N1116" s="7">
        <v>1000</v>
      </c>
      <c r="O1116" s="7">
        <v>391.06145251396646</v>
      </c>
      <c r="P1116" s="4" t="s">
        <v>2234</v>
      </c>
      <c r="Q1116" s="7">
        <v>391.06145251396646</v>
      </c>
      <c r="R1116" s="4" t="s">
        <v>2235</v>
      </c>
    </row>
    <row r="1117" spans="1:18" x14ac:dyDescent="0.35">
      <c r="A1117" s="4" t="s">
        <v>2227</v>
      </c>
      <c r="B1117" s="4" t="s">
        <v>4080</v>
      </c>
      <c r="C1117" s="4" t="s">
        <v>2227</v>
      </c>
      <c r="D1117" s="4" t="s">
        <v>2227</v>
      </c>
      <c r="E1117" s="4" t="s">
        <v>2227</v>
      </c>
      <c r="F1117" s="4" t="s">
        <v>2234</v>
      </c>
      <c r="G1117" s="4" t="s">
        <v>36</v>
      </c>
      <c r="H1117" s="4" t="s">
        <v>2249</v>
      </c>
      <c r="I1117" s="5" t="s">
        <v>2227</v>
      </c>
      <c r="J1117" s="5" t="s">
        <v>2227</v>
      </c>
      <c r="K1117" s="4" t="s">
        <v>765</v>
      </c>
      <c r="L1117" s="4">
        <v>2029</v>
      </c>
      <c r="M1117" s="4" t="s">
        <v>2459</v>
      </c>
      <c r="N1117" s="7">
        <v>40</v>
      </c>
      <c r="O1117" s="7">
        <v>15.64245810055866</v>
      </c>
      <c r="P1117" s="4" t="s">
        <v>2234</v>
      </c>
      <c r="Q1117" s="7">
        <v>15.64245810055866</v>
      </c>
      <c r="R1117" s="4" t="s">
        <v>2235</v>
      </c>
    </row>
    <row r="1118" spans="1:18" x14ac:dyDescent="0.35">
      <c r="A1118" s="4" t="s">
        <v>2227</v>
      </c>
      <c r="B1118" s="4" t="s">
        <v>4080</v>
      </c>
      <c r="C1118" s="4" t="s">
        <v>2227</v>
      </c>
      <c r="D1118" s="4" t="s">
        <v>2227</v>
      </c>
      <c r="E1118" s="4" t="s">
        <v>2227</v>
      </c>
      <c r="F1118" s="4" t="s">
        <v>2234</v>
      </c>
      <c r="G1118" s="4" t="s">
        <v>36</v>
      </c>
      <c r="H1118" s="4" t="s">
        <v>2249</v>
      </c>
      <c r="I1118" s="5" t="s">
        <v>2227</v>
      </c>
      <c r="J1118" s="5" t="s">
        <v>2227</v>
      </c>
      <c r="K1118" s="4" t="s">
        <v>765</v>
      </c>
      <c r="L1118" s="4">
        <v>2028</v>
      </c>
      <c r="M1118" s="4" t="s">
        <v>2459</v>
      </c>
      <c r="N1118" s="7">
        <v>10</v>
      </c>
      <c r="O1118" s="7">
        <v>3.9106145251396649</v>
      </c>
      <c r="P1118" s="4" t="s">
        <v>2234</v>
      </c>
      <c r="Q1118" s="7">
        <v>3.9106145251396649</v>
      </c>
      <c r="R1118" s="4" t="s">
        <v>2235</v>
      </c>
    </row>
    <row r="1119" spans="1:18" x14ac:dyDescent="0.35">
      <c r="A1119" s="4" t="s">
        <v>2227</v>
      </c>
      <c r="B1119" s="4" t="s">
        <v>4080</v>
      </c>
      <c r="C1119" s="4" t="s">
        <v>2227</v>
      </c>
      <c r="D1119" s="4" t="s">
        <v>2227</v>
      </c>
      <c r="E1119" s="4" t="s">
        <v>2227</v>
      </c>
      <c r="F1119" s="4" t="s">
        <v>2234</v>
      </c>
      <c r="G1119" s="4" t="s">
        <v>36</v>
      </c>
      <c r="H1119" s="4" t="s">
        <v>2249</v>
      </c>
      <c r="I1119" s="5" t="s">
        <v>2227</v>
      </c>
      <c r="J1119" s="5" t="s">
        <v>2227</v>
      </c>
      <c r="K1119" s="4" t="s">
        <v>1531</v>
      </c>
      <c r="L1119" s="4">
        <v>2035</v>
      </c>
      <c r="M1119" s="4" t="s">
        <v>2459</v>
      </c>
      <c r="N1119" s="7">
        <v>200</v>
      </c>
      <c r="O1119" s="7">
        <v>78.212290502793294</v>
      </c>
      <c r="P1119" s="4" t="s">
        <v>2234</v>
      </c>
      <c r="Q1119" s="7">
        <v>78.212290502793294</v>
      </c>
      <c r="R1119" s="4" t="s">
        <v>2235</v>
      </c>
    </row>
    <row r="1120" spans="1:18" x14ac:dyDescent="0.35">
      <c r="A1120" s="4" t="s">
        <v>2227</v>
      </c>
      <c r="B1120" s="4" t="s">
        <v>4080</v>
      </c>
      <c r="C1120" s="4" t="s">
        <v>2227</v>
      </c>
      <c r="D1120" s="4" t="s">
        <v>2227</v>
      </c>
      <c r="E1120" s="4" t="s">
        <v>2227</v>
      </c>
      <c r="F1120" s="4" t="s">
        <v>2234</v>
      </c>
      <c r="G1120" s="4" t="s">
        <v>36</v>
      </c>
      <c r="H1120" s="4" t="s">
        <v>2249</v>
      </c>
      <c r="I1120" s="5" t="s">
        <v>2227</v>
      </c>
      <c r="J1120" s="5" t="s">
        <v>2227</v>
      </c>
      <c r="K1120" s="4" t="s">
        <v>765</v>
      </c>
      <c r="L1120" s="4" t="s">
        <v>2227</v>
      </c>
      <c r="M1120" s="4" t="s">
        <v>2459</v>
      </c>
      <c r="N1120" s="7">
        <v>500</v>
      </c>
      <c r="O1120" s="7">
        <v>195.53072625698323</v>
      </c>
      <c r="P1120" s="4" t="s">
        <v>2234</v>
      </c>
      <c r="Q1120" s="7">
        <v>195.53072625698323</v>
      </c>
      <c r="R1120" s="4" t="s">
        <v>2235</v>
      </c>
    </row>
    <row r="1121" spans="1:18" hidden="1" x14ac:dyDescent="0.35">
      <c r="A1121" s="4" t="s">
        <v>2227</v>
      </c>
      <c r="B1121" s="4" t="s">
        <v>4081</v>
      </c>
      <c r="C1121" s="4" t="s">
        <v>2227</v>
      </c>
      <c r="D1121" s="4" t="s">
        <v>2227</v>
      </c>
      <c r="E1121" s="4" t="s">
        <v>2227</v>
      </c>
      <c r="F1121" s="4" t="s">
        <v>2234</v>
      </c>
      <c r="G1121" s="4" t="s">
        <v>36</v>
      </c>
      <c r="H1121" s="4" t="s">
        <v>2249</v>
      </c>
      <c r="I1121" s="5" t="s">
        <v>2227</v>
      </c>
      <c r="J1121" s="5" t="s">
        <v>2227</v>
      </c>
      <c r="K1121" s="4" t="s">
        <v>701</v>
      </c>
      <c r="L1121" s="4" t="s">
        <v>2227</v>
      </c>
      <c r="M1121" s="4" t="s">
        <v>2459</v>
      </c>
      <c r="N1121" s="7">
        <v>570</v>
      </c>
      <c r="O1121" s="7">
        <v>22.064516129032256</v>
      </c>
      <c r="P1121" s="4" t="s">
        <v>2234</v>
      </c>
      <c r="Q1121" s="7">
        <v>22.064516129032256</v>
      </c>
      <c r="R1121" s="4" t="s">
        <v>2235</v>
      </c>
    </row>
    <row r="1122" spans="1:18" hidden="1" x14ac:dyDescent="0.35">
      <c r="A1122" s="4" t="s">
        <v>2227</v>
      </c>
      <c r="B1122" s="4" t="s">
        <v>4081</v>
      </c>
      <c r="C1122" s="4" t="s">
        <v>2227</v>
      </c>
      <c r="D1122" s="4" t="s">
        <v>2227</v>
      </c>
      <c r="E1122" s="4" t="s">
        <v>2227</v>
      </c>
      <c r="F1122" s="4" t="s">
        <v>2234</v>
      </c>
      <c r="G1122" s="4" t="s">
        <v>36</v>
      </c>
      <c r="H1122" s="4" t="s">
        <v>2249</v>
      </c>
      <c r="I1122" s="5" t="s">
        <v>2227</v>
      </c>
      <c r="J1122" s="5" t="s">
        <v>2227</v>
      </c>
      <c r="K1122" s="4" t="s">
        <v>701</v>
      </c>
      <c r="L1122" s="4" t="s">
        <v>2227</v>
      </c>
      <c r="M1122" s="4" t="s">
        <v>2459</v>
      </c>
      <c r="N1122" s="7">
        <v>570</v>
      </c>
      <c r="O1122" s="7">
        <v>22.064516129032256</v>
      </c>
      <c r="P1122" s="4" t="s">
        <v>2234</v>
      </c>
      <c r="Q1122" s="7">
        <v>22.064516129032256</v>
      </c>
      <c r="R1122" s="4" t="s">
        <v>2235</v>
      </c>
    </row>
    <row r="1123" spans="1:18" hidden="1" x14ac:dyDescent="0.35">
      <c r="A1123" s="4" t="s">
        <v>2227</v>
      </c>
      <c r="B1123" s="4" t="s">
        <v>4081</v>
      </c>
      <c r="C1123" s="4" t="s">
        <v>2227</v>
      </c>
      <c r="D1123" s="4" t="s">
        <v>2227</v>
      </c>
      <c r="E1123" s="4" t="s">
        <v>2227</v>
      </c>
      <c r="F1123" s="4" t="s">
        <v>2234</v>
      </c>
      <c r="G1123" s="4" t="s">
        <v>36</v>
      </c>
      <c r="H1123" s="4" t="s">
        <v>2249</v>
      </c>
      <c r="I1123" s="5" t="s">
        <v>2227</v>
      </c>
      <c r="J1123" s="5" t="s">
        <v>2227</v>
      </c>
      <c r="K1123" s="4" t="s">
        <v>701</v>
      </c>
      <c r="L1123" s="4" t="s">
        <v>2227</v>
      </c>
      <c r="M1123" s="4" t="s">
        <v>2459</v>
      </c>
      <c r="N1123" s="7">
        <v>570</v>
      </c>
      <c r="O1123" s="7">
        <v>22.064516129032256</v>
      </c>
      <c r="P1123" s="4" t="s">
        <v>2234</v>
      </c>
      <c r="Q1123" s="7">
        <v>22.064516129032256</v>
      </c>
      <c r="R1123" s="4" t="s">
        <v>2235</v>
      </c>
    </row>
    <row r="1124" spans="1:18" hidden="1" x14ac:dyDescent="0.35">
      <c r="A1124" s="4" t="s">
        <v>2227</v>
      </c>
      <c r="B1124" s="4" t="s">
        <v>4081</v>
      </c>
      <c r="C1124" s="4" t="s">
        <v>2227</v>
      </c>
      <c r="D1124" s="4" t="s">
        <v>2227</v>
      </c>
      <c r="E1124" s="4" t="s">
        <v>2227</v>
      </c>
      <c r="F1124" s="4" t="s">
        <v>2234</v>
      </c>
      <c r="G1124" s="4" t="s">
        <v>36</v>
      </c>
      <c r="H1124" s="4" t="s">
        <v>2249</v>
      </c>
      <c r="I1124" s="5" t="s">
        <v>2227</v>
      </c>
      <c r="J1124" s="5" t="s">
        <v>2227</v>
      </c>
      <c r="K1124" s="4" t="s">
        <v>701</v>
      </c>
      <c r="L1124" s="4" t="s">
        <v>2227</v>
      </c>
      <c r="M1124" s="4" t="s">
        <v>2459</v>
      </c>
      <c r="N1124" s="7">
        <v>570</v>
      </c>
      <c r="O1124" s="7">
        <v>22.064516129032256</v>
      </c>
      <c r="P1124" s="4" t="s">
        <v>2234</v>
      </c>
      <c r="Q1124" s="7">
        <v>22.064516129032256</v>
      </c>
      <c r="R1124" s="4" t="s">
        <v>2235</v>
      </c>
    </row>
    <row r="1125" spans="1:18" hidden="1" x14ac:dyDescent="0.35">
      <c r="A1125" s="4" t="s">
        <v>2227</v>
      </c>
      <c r="B1125" s="4" t="s">
        <v>4081</v>
      </c>
      <c r="C1125" s="4" t="s">
        <v>2227</v>
      </c>
      <c r="D1125" s="4" t="s">
        <v>2227</v>
      </c>
      <c r="E1125" s="4" t="s">
        <v>2227</v>
      </c>
      <c r="F1125" s="4" t="s">
        <v>2234</v>
      </c>
      <c r="G1125" s="4" t="s">
        <v>36</v>
      </c>
      <c r="H1125" s="4" t="s">
        <v>2249</v>
      </c>
      <c r="I1125" s="5" t="s">
        <v>2227</v>
      </c>
      <c r="J1125" s="5" t="s">
        <v>2227</v>
      </c>
      <c r="K1125" s="4" t="s">
        <v>701</v>
      </c>
      <c r="L1125" s="4" t="s">
        <v>2227</v>
      </c>
      <c r="M1125" s="4" t="s">
        <v>2459</v>
      </c>
      <c r="N1125" s="7">
        <v>100</v>
      </c>
      <c r="O1125" s="7">
        <v>3.870967741935484</v>
      </c>
      <c r="P1125" s="4" t="s">
        <v>2234</v>
      </c>
      <c r="Q1125" s="7">
        <v>3.870967741935484</v>
      </c>
      <c r="R1125" s="4" t="s">
        <v>2235</v>
      </c>
    </row>
    <row r="1126" spans="1:18" hidden="1" x14ac:dyDescent="0.35">
      <c r="A1126" s="4" t="s">
        <v>2227</v>
      </c>
      <c r="B1126" s="4" t="s">
        <v>4081</v>
      </c>
      <c r="C1126" s="4" t="s">
        <v>2227</v>
      </c>
      <c r="D1126" s="4" t="s">
        <v>2227</v>
      </c>
      <c r="E1126" s="4" t="s">
        <v>2227</v>
      </c>
      <c r="F1126" s="4" t="s">
        <v>2234</v>
      </c>
      <c r="G1126" s="4" t="s">
        <v>36</v>
      </c>
      <c r="H1126" s="4" t="s">
        <v>2249</v>
      </c>
      <c r="I1126" s="5" t="s">
        <v>2227</v>
      </c>
      <c r="J1126" s="5" t="s">
        <v>2227</v>
      </c>
      <c r="K1126" s="4" t="s">
        <v>701</v>
      </c>
      <c r="L1126" s="4" t="s">
        <v>2227</v>
      </c>
      <c r="M1126" s="4" t="s">
        <v>2459</v>
      </c>
      <c r="N1126" s="7">
        <v>100</v>
      </c>
      <c r="O1126" s="7">
        <v>3.870967741935484</v>
      </c>
      <c r="P1126" s="4" t="s">
        <v>2234</v>
      </c>
      <c r="Q1126" s="7">
        <v>3.870967741935484</v>
      </c>
      <c r="R1126" s="4" t="s">
        <v>2235</v>
      </c>
    </row>
    <row r="1127" spans="1:18" hidden="1" x14ac:dyDescent="0.35">
      <c r="A1127" s="4" t="s">
        <v>4076</v>
      </c>
      <c r="B1127" s="4" t="s">
        <v>4081</v>
      </c>
      <c r="C1127" s="4" t="s">
        <v>4061</v>
      </c>
      <c r="D1127" s="4" t="s">
        <v>4062</v>
      </c>
      <c r="E1127" s="4" t="s">
        <v>4077</v>
      </c>
      <c r="F1127" s="4" t="s">
        <v>2255</v>
      </c>
      <c r="G1127" s="4" t="s">
        <v>2256</v>
      </c>
      <c r="H1127" s="4" t="s">
        <v>2249</v>
      </c>
      <c r="I1127" s="5" t="s">
        <v>4063</v>
      </c>
      <c r="J1127" s="4" t="s">
        <v>4064</v>
      </c>
      <c r="K1127" s="4" t="s">
        <v>2227</v>
      </c>
      <c r="L1127" s="4">
        <v>1975</v>
      </c>
      <c r="M1127" s="4" t="s">
        <v>27</v>
      </c>
      <c r="N1127" s="4">
        <v>196</v>
      </c>
      <c r="O1127" s="4">
        <v>196</v>
      </c>
      <c r="P1127" s="4" t="s">
        <v>2255</v>
      </c>
      <c r="Q1127" s="4">
        <v>196</v>
      </c>
      <c r="R1127" s="4" t="s">
        <v>2255</v>
      </c>
    </row>
    <row r="1128" spans="1:18" hidden="1" x14ac:dyDescent="0.35">
      <c r="A1128" s="4" t="s">
        <v>4078</v>
      </c>
      <c r="B1128" s="4" t="s">
        <v>4081</v>
      </c>
      <c r="C1128" s="4" t="s">
        <v>4061</v>
      </c>
      <c r="D1128" s="4" t="s">
        <v>4062</v>
      </c>
      <c r="E1128" s="4" t="s">
        <v>4079</v>
      </c>
      <c r="F1128" s="4" t="s">
        <v>2255</v>
      </c>
      <c r="G1128" s="4" t="s">
        <v>2256</v>
      </c>
      <c r="H1128" s="4" t="s">
        <v>2249</v>
      </c>
      <c r="I1128" s="5" t="s">
        <v>4063</v>
      </c>
      <c r="J1128" s="4" t="s">
        <v>4064</v>
      </c>
      <c r="K1128" s="4" t="s">
        <v>2227</v>
      </c>
      <c r="L1128" s="4">
        <v>2015</v>
      </c>
      <c r="M1128" s="4" t="s">
        <v>27</v>
      </c>
      <c r="N1128" s="4">
        <v>198</v>
      </c>
      <c r="O1128" s="4">
        <v>198</v>
      </c>
      <c r="P1128" s="4" t="s">
        <v>2255</v>
      </c>
      <c r="Q1128" s="4">
        <v>198</v>
      </c>
      <c r="R1128" s="4" t="s">
        <v>2255</v>
      </c>
    </row>
    <row r="1129" spans="1:18" hidden="1" x14ac:dyDescent="0.35">
      <c r="A1129" s="4" t="s">
        <v>2227</v>
      </c>
      <c r="B1129" s="4" t="s">
        <v>4081</v>
      </c>
      <c r="C1129" s="4" t="s">
        <v>2227</v>
      </c>
      <c r="D1129" s="4" t="s">
        <v>2227</v>
      </c>
      <c r="E1129" s="4" t="s">
        <v>2227</v>
      </c>
      <c r="F1129" s="4" t="s">
        <v>2234</v>
      </c>
      <c r="G1129" s="4" t="s">
        <v>46</v>
      </c>
      <c r="H1129" s="4" t="s">
        <v>2231</v>
      </c>
      <c r="I1129" s="5" t="s">
        <v>2227</v>
      </c>
      <c r="J1129" s="5" t="s">
        <v>2227</v>
      </c>
      <c r="K1129" s="4" t="s">
        <v>2232</v>
      </c>
      <c r="L1129" s="4">
        <v>2028</v>
      </c>
      <c r="M1129" s="4" t="s">
        <v>2459</v>
      </c>
      <c r="N1129" s="4">
        <v>2200</v>
      </c>
      <c r="O1129" s="4">
        <v>2200</v>
      </c>
      <c r="P1129" s="4" t="s">
        <v>2234</v>
      </c>
      <c r="Q1129" s="4">
        <v>2200</v>
      </c>
      <c r="R1129" s="4" t="s">
        <v>2235</v>
      </c>
    </row>
  </sheetData>
  <autoFilter ref="A1:R1129" xr:uid="{8585D2B8-D579-4AC3-BFDF-462B4F7B7A77}">
    <filterColumn colId="1">
      <filters>
        <filter val="TenneT"/>
      </filters>
    </filterColumn>
    <filterColumn colId="10">
      <filters>
        <filter val="Bremen"/>
        <filter val="Hessen"/>
        <filter val="Niedersachsen"/>
        <filter val="Nordrhein-Westfalen"/>
        <filter val="Schleswig-Holstein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Kraftwerksliste_Miri</vt:lpstr>
      <vt:lpstr>Tabelle3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Schmid, Miriam</dc:creator>
  <cp:keywords/>
  <dc:description/>
  <cp:lastModifiedBy>Grupp, Benedikt</cp:lastModifiedBy>
  <cp:revision/>
  <dcterms:created xsi:type="dcterms:W3CDTF">2025-12-18T10:36:19Z</dcterms:created>
  <dcterms:modified xsi:type="dcterms:W3CDTF">2026-01-05T11:19:37Z</dcterms:modified>
  <cp:category/>
  <cp:contentStatus/>
</cp:coreProperties>
</file>